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codeName="ThisWorkbook" defaultThemeVersion="202300"/>
  <mc:AlternateContent xmlns:mc="http://schemas.openxmlformats.org/markup-compatibility/2006">
    <mc:Choice Requires="x15">
      <x15ac:absPath xmlns:x15ac="http://schemas.microsoft.com/office/spreadsheetml/2010/11/ac" url="/Users/dam.ho/Desktop/Work/damcake-work-wiki/Raw/Finance/Unit Economic/Q325/Payday/"/>
    </mc:Choice>
  </mc:AlternateContent>
  <xr:revisionPtr revIDLastSave="0" documentId="13_ncr:101_{DECF6989-1E20-EF41-BDD2-7F38C6D199B0}" xr6:coauthVersionLast="47" xr6:coauthVersionMax="47" xr10:uidLastSave="{00000000-0000-0000-0000-000000000000}"/>
  <bookViews>
    <workbookView xWindow="1080" yWindow="1240" windowWidth="27640" windowHeight="16760" xr2:uid="{B8822465-F1F9-AC49-8380-B0F225871471}"/>
  </bookViews>
  <sheets>
    <sheet name="COF" sheetId="2" r:id="rId1"/>
    <sheet name="NOTE" sheetId="3" r:id="rId2"/>
    <sheet name="Leadsheet" sheetId="4" r:id="rId3"/>
    <sheet name="DATA" sheetId="5" r:id="rId4"/>
    <sheet name="SAP_Speadsheet" sheetId="6" r:id="rId5"/>
    <sheet name="Saleplan&amp;PnL" sheetId="7" r:id="rId6"/>
    <sheet name="PnL_Speadsheet" sheetId="8" r:id="rId7"/>
    <sheet name="Sheet1" sheetId="1" r:id="rId8"/>
  </sheets>
  <externalReferences>
    <externalReference r:id="rId9"/>
    <externalReference r:id="rId10"/>
  </externalReferences>
  <definedNames>
    <definedName name="_____T3" localSheetId="0" hidden="1">{"'Sheet1'!$L$16"}</definedName>
    <definedName name="_____T3" localSheetId="3" hidden="1">{"'Sheet1'!$L$16"}</definedName>
    <definedName name="_____T3" localSheetId="1" hidden="1">{"'Sheet1'!$L$16"}</definedName>
    <definedName name="_____T3" hidden="1">{"'Sheet1'!$L$16"}</definedName>
    <definedName name="____T3" localSheetId="0" hidden="1">{"'Sheet1'!$L$16"}</definedName>
    <definedName name="____T3" localSheetId="3" hidden="1">{"'Sheet1'!$L$16"}</definedName>
    <definedName name="____T3" localSheetId="1" hidden="1">{"'Sheet1'!$L$16"}</definedName>
    <definedName name="____T3" hidden="1">{"'Sheet1'!$L$16"}</definedName>
    <definedName name="___T3" localSheetId="0" hidden="1">{"'Sheet1'!$L$16"}</definedName>
    <definedName name="___T3" localSheetId="3" hidden="1">{"'Sheet1'!$L$16"}</definedName>
    <definedName name="___T3" localSheetId="1" hidden="1">{"'Sheet1'!$L$16"}</definedName>
    <definedName name="___T3" hidden="1">{"'Sheet1'!$L$16"}</definedName>
    <definedName name="__123Graph_A" localSheetId="1"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1"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1" hidden="1">#REF!</definedName>
    <definedName name="__123Graph_LBL_A" hidden="1">#REF!</definedName>
    <definedName name="__123Graph_LBL_B" localSheetId="1" hidden="1">#REF!</definedName>
    <definedName name="__123Graph_LBL_B" hidden="1">#REF!</definedName>
    <definedName name="__123Graph_X" localSheetId="1"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1" hidden="1">#REF!</definedName>
    <definedName name="__123Graph_Z" hidden="1">#REF!</definedName>
    <definedName name="__f5" localSheetId="0" hidden="1">{"'Sheet1'!$L$16"}</definedName>
    <definedName name="__f5" localSheetId="3" hidden="1">{"'Sheet1'!$L$16"}</definedName>
    <definedName name="__f5" localSheetId="1" hidden="1">{"'Sheet1'!$L$16"}</definedName>
    <definedName name="__f5" hidden="1">{"'Sheet1'!$L$16"}</definedName>
    <definedName name="__NSO2" localSheetId="0" hidden="1">{"'Sheet1'!$L$16"}</definedName>
    <definedName name="__NSO2" localSheetId="3" hidden="1">{"'Sheet1'!$L$16"}</definedName>
    <definedName name="__NSO2" localSheetId="1" hidden="1">{"'Sheet1'!$L$16"}</definedName>
    <definedName name="__NSO2" hidden="1">{"'Sheet1'!$L$16"}</definedName>
    <definedName name="__S1" localSheetId="0">{"Book1"}</definedName>
    <definedName name="__S1" localSheetId="3">{"Book1"}</definedName>
    <definedName name="__S1" localSheetId="1">{"Book1"}</definedName>
    <definedName name="__S1">{"Book1"}</definedName>
    <definedName name="__T3" localSheetId="0" hidden="1">{"'Sheet1'!$L$16"}</definedName>
    <definedName name="__T3" localSheetId="3" hidden="1">{"'Sheet1'!$L$16"}</definedName>
    <definedName name="__T3" localSheetId="1" hidden="1">{"'Sheet1'!$L$16"}</definedName>
    <definedName name="__T3" hidden="1">{"'Sheet1'!$L$16"}</definedName>
    <definedName name="__T5" localSheetId="0" hidden="1">{"'Sheet1'!$L$16"}</definedName>
    <definedName name="__T5" localSheetId="3"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3">{"'Sheet1'!$L$16"}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3"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3"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3"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3"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3" hidden="1">{"'Sheet1'!$L$16"}</definedName>
    <definedName name="_f5" localSheetId="1" hidden="1">{"'Sheet1'!$L$16"}</definedName>
    <definedName name="_f5" hidden="1">{"'Sheet1'!$L$16"}</definedName>
    <definedName name="_Fill" localSheetId="1" hidden="1">#REF!</definedName>
    <definedName name="_Fill" hidden="1">#REF!</definedName>
    <definedName name="_xlnm._FilterDatabase" localSheetId="0" hidden="1">COF!$B$3:$H$42</definedName>
    <definedName name="_xlnm._FilterDatabase" localSheetId="1" hidden="1">#REF!</definedName>
    <definedName name="_xlnm._FilterDatabase" hidden="1">#REF!</definedName>
    <definedName name="_GSRATES_1" hidden="1">"CT300001Latest          "</definedName>
    <definedName name="_GSRATES_COUNT" hidden="1">1</definedName>
    <definedName name="_GSRATESR_1" hidden="1">#REF!</definedName>
    <definedName name="_Key1" localSheetId="1" hidden="1">#REF!</definedName>
    <definedName name="_Key1" hidden="1">#REF!</definedName>
    <definedName name="_Key2" localSheetId="1" hidden="1">#REF!</definedName>
    <definedName name="_Key2" hidden="1">#REF!</definedName>
    <definedName name="_NSO2" localSheetId="0" hidden="1">{"'Sheet1'!$L$16"}</definedName>
    <definedName name="_NSO2" localSheetId="3"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3">{"Book1"}</definedName>
    <definedName name="_S1" localSheetId="1">{"Book1"}</definedName>
    <definedName name="_S1">{"Book1"}</definedName>
    <definedName name="_Sort" localSheetId="1"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3"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1">#REF!</definedName>
    <definedName name="â259">#REF!</definedName>
    <definedName name="â312" localSheetId="1">#REF!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 localSheetId="3">(PeriodInActual*(#REF!&gt;0))*PeriodInPlan</definedName>
    <definedName name="Actual" localSheetId="1">(PeriodInActual*(#REF!&gt;0))*PeriodInPlan</definedName>
    <definedName name="Actual">(PeriodInActual*(#REF!&gt;0))*PeriodInPlan</definedName>
    <definedName name="ActualBeyond" localSheetId="0">PeriodInActual*(#REF!&gt;0)</definedName>
    <definedName name="ActualBeyond" localSheetId="3">PeriodInActual*(#REF!&gt;0)</definedName>
    <definedName name="ActualBeyond" localSheetId="1">PeriodInActual*(#REF!&gt;0)</definedName>
    <definedName name="ActualBeyond">PeriodInActual*(#REF!&gt;0)</definedName>
    <definedName name="adcasdas" localSheetId="1" hidden="1">#REF!</definedName>
    <definedName name="adcasdas" hidden="1">#REF!</definedName>
    <definedName name="adf" localSheetId="1">#REF!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3"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1">#REF!</definedName>
    <definedName name="approval">#REF!</definedName>
    <definedName name="AS2DocOpenMode" hidden="1">"AS2DocumentEdit"</definedName>
    <definedName name="asd" localSheetId="0" hidden="1">{"'Sheet1'!$L$16"}</definedName>
    <definedName name="asd" localSheetId="3" hidden="1">{"'Sheet1'!$L$16"}</definedName>
    <definedName name="asd" localSheetId="1" hidden="1">{"'Sheet1'!$L$16"}</definedName>
    <definedName name="asd" hidden="1">{"'Sheet1'!$L$16"}</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3"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3"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3"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1">#REF!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1">#REF!</definedName>
    <definedName name="chart">#REF!</definedName>
    <definedName name="ChuyenTienNoiBo">#REF!</definedName>
    <definedName name="CIQWBGuid" hidden="1">"621f55ae-6bbd-4e45-8f58-3e88dc7f13f9"</definedName>
    <definedName name="CL" localSheetId="1">#REF!</definedName>
    <definedName name="CL">#REF!</definedName>
    <definedName name="CLVC3">0.1</definedName>
    <definedName name="cnc" localSheetId="1">#REF!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1">#REF!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3"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1">#REF!</definedName>
    <definedName name="DataYTD">#REF!</definedName>
    <definedName name="DateSelected">#REF!</definedName>
    <definedName name="DCR" localSheetId="1" hidden="1">#REF!</definedName>
    <definedName name="DCR" hidden="1">#REF!</definedName>
    <definedName name="dcwqc" localSheetId="0" hidden="1">{#N/A,#N/A,FALSE,"Aging Summary";#N/A,#N/A,FALSE,"Ratio Analysis";#N/A,#N/A,FALSE,"Test 120 Day Accts";#N/A,#N/A,FALSE,"Tickmarks"}</definedName>
    <definedName name="dcwqc" localSheetId="3"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3"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3"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1" hidden="1">#REF!</definedName>
    <definedName name="dgjdgjdg" hidden="1">#REF!</definedName>
    <definedName name="DGN">#REF!</definedName>
    <definedName name="dgnx">#REF!</definedName>
    <definedName name="dgsdg" localSheetId="0" hidden="1">{"'Sheet1'!$L$16"}</definedName>
    <definedName name="dgsdg" localSheetId="3" hidden="1">{"'Sheet1'!$L$16"}</definedName>
    <definedName name="dgsdg" localSheetId="1" hidden="1">{"'Sheet1'!$L$16"}</definedName>
    <definedName name="dgsdg" hidden="1">{"'Sheet1'!$L$16"}</definedName>
    <definedName name="dgx">#REF!</definedName>
    <definedName name="dhgfdhgfd" localSheetId="1"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3"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3" hidden="1">{"'Sheet1'!$L$16"}</definedName>
    <definedName name="dhhs" localSheetId="1" hidden="1">{"'Sheet1'!$L$16"}</definedName>
    <definedName name="dhhs" hidden="1">{"'Sheet1'!$L$16"}</definedName>
    <definedName name="dhjdjhg" localSheetId="1"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1"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3">{"Book1"}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1">#REF!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1"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1" hidden="1">#REF!</definedName>
    <definedName name="FGDG" hidden="1">#REF!</definedName>
    <definedName name="finance">#REF!</definedName>
    <definedName name="FROM_DATE" localSheetId="1">#REF!</definedName>
    <definedName name="FROM_DATE">#REF!</definedName>
    <definedName name="front" localSheetId="1">#REF!</definedName>
    <definedName name="front">#REF!</definedName>
    <definedName name="fsdsfafd" localSheetId="0" hidden="1">{"CSheet",#N/A,FALSE,"C";"SmCap",#N/A,FALSE,"VAL1";"GulfCoast",#N/A,FALSE,"VAL1";"nav",#N/A,FALSE,"NAV";"Summary",#N/A,FALSE,"NAV"}</definedName>
    <definedName name="fsdsfafd" localSheetId="3"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3"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0" hidden="1">{#N/A,"DR",FALSE,"increm pf";#N/A,"MAMSI",FALSE,"increm pf";#N/A,"MAXI",FALSE,"increm pf";#N/A,"PCAM",FALSE,"increm pf";#N/A,"PHSV",FALSE,"increm pf";#N/A,"SIE",FALSE,"increm pf"}</definedName>
    <definedName name="g" localSheetId="3"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1">#REF!</definedName>
    <definedName name="g.">#REF!</definedName>
    <definedName name="gd" localSheetId="1">#REF!</definedName>
    <definedName name="gd">#REF!</definedName>
    <definedName name="gdshd" localSheetId="0" hidden="1">{"'Sheet1'!$L$16"}</definedName>
    <definedName name="gdshd" localSheetId="3" hidden="1">{"'Sheet1'!$L$16"}</definedName>
    <definedName name="gdshd" localSheetId="1" hidden="1">{"'Sheet1'!$L$16"}</definedName>
    <definedName name="gdshd" hidden="1">{"'Sheet1'!$L$16"}</definedName>
    <definedName name="GDV" localSheetId="1">#REF!</definedName>
    <definedName name="GDV">#REF!</definedName>
    <definedName name="gfgfg" localSheetId="1">#REF!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1"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3"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3"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1">#REF!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1" hidden="1">#REF!</definedName>
    <definedName name="hjdgjdgh" hidden="1">#REF!</definedName>
    <definedName name="hjjkl" localSheetId="0" hidden="1">{"'Sheet1'!$L$16"}</definedName>
    <definedName name="hjjkl" localSheetId="3" hidden="1">{"'Sheet1'!$L$16"}</definedName>
    <definedName name="hjjkl" localSheetId="1" hidden="1">{"'Sheet1'!$L$16"}</definedName>
    <definedName name="hjjkl" hidden="1">{"'Sheet1'!$L$16"}</definedName>
    <definedName name="Hoang" localSheetId="0">{"Book1"}</definedName>
    <definedName name="Hoang" localSheetId="3">{"Book1"}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3"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3">{"Book1"}</definedName>
    <definedName name="HTthang10" localSheetId="1">{"Book1"}</definedName>
    <definedName name="HTthang10">{"Book1"}</definedName>
    <definedName name="huy" localSheetId="0" hidden="1">{"'Sheet1'!$L$16"}</definedName>
    <definedName name="huy" localSheetId="3"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3"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1">#REF!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1" hidden="1">#REF!</definedName>
    <definedName name="Khối" hidden="1">#REF!</definedName>
    <definedName name="khu" localSheetId="1">#REF!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1">#REF!</definedName>
    <definedName name="l41a">#REF!</definedName>
    <definedName name="lcbthitruong" localSheetId="1">#REF!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1">#REF!</definedName>
    <definedName name="luongcodinhtt">#REF!</definedName>
    <definedName name="luongtoithieuvung" localSheetId="1">#REF!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1">#REF!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1">#REF!</definedName>
    <definedName name="MonthsPaid">#REF!</definedName>
    <definedName name="mst">#REF!</definedName>
    <definedName name="mucdich" localSheetId="1">#REF!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3">{"Book1"}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3">{"Book1"}</definedName>
    <definedName name="ngoclan210779" localSheetId="1">{"Book1"}</definedName>
    <definedName name="ngoclan210779">{"Book1"}</definedName>
    <definedName name="NhanSu">#REF!</definedName>
    <definedName name="nnn" localSheetId="1" hidden="1">#REF!</definedName>
    <definedName name="nnn" hidden="1">#REF!</definedName>
    <definedName name="nodky">#REF!</definedName>
    <definedName name="noidungcongviec" localSheetId="1">#REF!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3"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0" hidden="1">{#N/A,"DR",FALSE,"increm pf";#N/A,"MAMSI",FALSE,"increm pf";#N/A,"MAXI",FALSE,"increm pf";#N/A,"PCAM",FALSE,"increm pf";#N/A,"PHSV",FALSE,"increm pf";#N/A,"SIE",FALSE,"increm pf"}</definedName>
    <definedName name="P" localSheetId="3"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PercentCompleteBeyond*PeriodInPlan</definedName>
    <definedName name="PercentComplete" localSheetId="3">PercentCompleteBeyond*PeriodInPlan</definedName>
    <definedName name="PercentComplete" localSheetId="1">[0]!PercentCompleteBeyond*[0]!PeriodInPlan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1">#REF!</definedName>
    <definedName name="PhucapThamnien">#REF!</definedName>
    <definedName name="picture1" localSheetId="1">#REF!</definedName>
    <definedName name="picture1">#REF!</definedName>
    <definedName name="picture2" localSheetId="1">#REF!</definedName>
    <definedName name="picture2">#REF!</definedName>
    <definedName name="picture23" localSheetId="1">INDEX(#REF!,MATCH(#REF!,#REF!))</definedName>
    <definedName name="picture23">INDEX(#REF!,MATCH(#REF!,#REF!))</definedName>
    <definedName name="PL" localSheetId="1">OFFSET(#REF!,0,0,COUNTA(#REF!),1)</definedName>
    <definedName name="PL">OFFSET(#REF!,0,0,COUNTA(#REF!),1)</definedName>
    <definedName name="Plan" localSheetId="0">PeriodInPlan*(#REF!&gt;0)</definedName>
    <definedName name="Plan" localSheetId="3">PeriodInPlan*(#REF!&gt;0)</definedName>
    <definedName name="Plan" localSheetId="1">PeriodInPlan*(#REF!&gt;0)</definedName>
    <definedName name="Plan">PeriodInPlan*(#REF!&gt;0)</definedName>
    <definedName name="PLLYDOTUCHOI" localSheetId="1">#REF!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0" hidden="1">{"'Sheet1'!$L$16"}</definedName>
    <definedName name="PR" localSheetId="3" hidden="1">{"'Sheet1'!$L$16"}</definedName>
    <definedName name="PR" hidden="1">{"'Sheet1'!$L$16"}</definedName>
    <definedName name="prd" localSheetId="0" hidden="1">{"Netbacks",#N/A,FALSE,"Netbacks"}</definedName>
    <definedName name="prd" localSheetId="3" hidden="1">{"Netbacks",#N/A,FALSE,"Netbacks"}</definedName>
    <definedName name="prd" hidden="1">{"Netbacks",#N/A,FALSE,"Netbacks"}</definedName>
    <definedName name="prd." localSheetId="0" hidden="1">{"IS Years",#N/A,FALSE,"Income Statement";"IS Q96",#N/A,FALSE,"Income Statement";"IS Q97",#N/A,FALSE,"Income Statement";"Corporate",#N/A,FALSE,"Corporate Profile";"Netbacks",#N/A,FALSE,"Netbacks"}</definedName>
    <definedName name="prd." localSheetId="3"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5">'Saleplan&amp;PnL'!$A$1:$AO$33</definedName>
    <definedName name="_xlnm.Print_Area" localSheetId="4">SAP_Speadsheet!$A$1:$BF$215</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1">#REF!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1">#REF!</definedName>
    <definedName name="purpose">#REF!</definedName>
    <definedName name="q" localSheetId="1"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3"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1">#REF!</definedName>
    <definedName name="Rate">#REF!</definedName>
    <definedName name="rawdata" localSheetId="1">#REF!</definedName>
    <definedName name="rawdata">#REF!</definedName>
    <definedName name="RCArea" hidden="1">#REF!</definedName>
    <definedName name="REFSITE" localSheetId="1">#REF!</definedName>
    <definedName name="REFSITE">#REF!</definedName>
    <definedName name="refuse" localSheetId="1">#REF!</definedName>
    <definedName name="refuse">#REF!</definedName>
    <definedName name="Region" localSheetId="1">#REF!</definedName>
    <definedName name="Region">#REF!</definedName>
    <definedName name="Region_Business_Overview" localSheetId="1">#REF!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1">#REF!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1">#REF!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1">#REF!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1">#REF!</definedName>
    <definedName name="sda">#REF!</definedName>
    <definedName name="sdas" localSheetId="0" hidden="1">{"Total",#N/A,FALSE,"Six Fields";"PDP",#N/A,FALSE,"Six Fields";"PNP",#N/A,FALSE,"Six Fields";"PUD",#N/A,FALSE,"Six Fields";"Prob",#N/A,FALSE,"Six Fields"}</definedName>
    <definedName name="sdas" localSheetId="3"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3" hidden="1">{"'Sheet1'!$L$16"}</definedName>
    <definedName name="sdgfdh" localSheetId="1" hidden="1">{"'Sheet1'!$L$16"}</definedName>
    <definedName name="sdgfdh" hidden="1">{"'Sheet1'!$L$16"}</definedName>
    <definedName name="sdhrt" localSheetId="0" hidden="1">{"'Sheet1'!$L$16"}</definedName>
    <definedName name="sdhrt" localSheetId="3"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3" hidden="1">{"'Sheet1'!$L$16"}</definedName>
    <definedName name="seyrt" localSheetId="1" hidden="1">{"'Sheet1'!$L$16"}</definedName>
    <definedName name="seyrt" hidden="1">{"'Sheet1'!$L$16"}</definedName>
    <definedName name="sgfhg" localSheetId="0" hidden="1">{"'Sheet1'!$L$16"}</definedName>
    <definedName name="sgfhg" localSheetId="3"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3"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3"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3" hidden="1">{#N/A,#N/A,FALSE,"Chi tiÆt"}</definedName>
    <definedName name="shfg" localSheetId="1" hidden="1">{#N/A,#N/A,FALSE,"Chi tiÆt"}</definedName>
    <definedName name="shfg" hidden="1">{#N/A,#N/A,FALSE,"Chi tiÆt"}</definedName>
    <definedName name="shfgb" localSheetId="0" hidden="1">{"'Sheet1'!$L$16"}</definedName>
    <definedName name="shfgb" localSheetId="3" hidden="1">{"'Sheet1'!$L$16"}</definedName>
    <definedName name="shfgb" localSheetId="1" hidden="1">{"'Sheet1'!$L$16"}</definedName>
    <definedName name="shfgb" hidden="1">{"'Sheet1'!$L$16"}</definedName>
    <definedName name="shfgf" localSheetId="0" hidden="1">{"'Sheet1'!$L$16"}</definedName>
    <definedName name="shfgf" localSheetId="3"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3"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3"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3"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3" hidden="1">{"'Sheet1'!$L$16"}</definedName>
    <definedName name="sygg" localSheetId="1" hidden="1">{"'Sheet1'!$L$16"}</definedName>
    <definedName name="sygg" hidden="1">{"'Sheet1'!$L$16"}</definedName>
    <definedName name="TABLE" localSheetId="1">#REF!</definedName>
    <definedName name="TABLE">#REF!</definedName>
    <definedName name="table_total_apps" localSheetId="0">data_total_Apps</definedName>
    <definedName name="table_total_apps" localSheetId="3">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3" hidden="1">{"'Sheet1'!$L$16"}</definedName>
    <definedName name="tha" localSheetId="1" hidden="1">{"'Sheet1'!$L$16"}</definedName>
    <definedName name="tha" hidden="1">{"'Sheet1'!$L$16"}</definedName>
    <definedName name="thang10" localSheetId="0">{"Book1"}</definedName>
    <definedName name="thang10" localSheetId="3">{"Book1"}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1">#REF!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1">#REF!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1">#REF!</definedName>
    <definedName name="TTD">#REF!</definedName>
    <definedName name="ttntt" localSheetId="1">#REF!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1">#REF!</definedName>
    <definedName name="tuchoi">#REF!</definedName>
    <definedName name="tyledieuchinhluong" localSheetId="1">#REF!</definedName>
    <definedName name="tyledieuchinhluong">#REF!</definedName>
    <definedName name="Type_detail">#REF!</definedName>
    <definedName name="u" localSheetId="0" hidden="1">{"CSheet",#N/A,FALSE,"C";"SmCap",#N/A,FALSE,"VAL1";"GulfCoast",#N/A,FALSE,"VAL1";"nav",#N/A,FALSE,"NAV";"Summary",#N/A,FALSE,"NAV"}</definedName>
    <definedName name="u" localSheetId="3"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1">#REF!</definedName>
    <definedName name="ư377">#REF!</definedName>
    <definedName name="ủ8" localSheetId="1">#REF!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1">#REF!</definedName>
    <definedName name="VPBBaseSalaryScale">#REF!</definedName>
    <definedName name="VPBBaseSalaryScaleSale" localSheetId="1">#REF!</definedName>
    <definedName name="VPBBaseSalaryScaleSale">#REF!</definedName>
    <definedName name="VPBdata" localSheetId="1">#REF!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3"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3" hidden="1">{#N/A,#N/A,FALSE,"Chi tiÆt"}</definedName>
    <definedName name="wrn.chi._.tiÆt." localSheetId="1" hidden="1">{#N/A,#N/A,FALSE,"Chi tiÆt"}</definedName>
    <definedName name="wrn.chi._.tiÆt." hidden="1">{#N/A,#N/A,FALSE,"Chi tiÆt"}</definedName>
    <definedName name="wrn.Corporate." localSheetId="0" hidden="1">{"Corporate",#N/A,FALSE,"Corporate Profile"}</definedName>
    <definedName name="wrn.Corporate." localSheetId="3" hidden="1">{"Corporate",#N/A,FALSE,"Corporate Profile"}</definedName>
    <definedName name="wrn.Corporate." hidden="1">{"Corporate",#N/A,FALSE,"Corporate Profile"}</definedName>
    <definedName name="wrn.cotop." localSheetId="0" hidden="1">{"ReportTop",#N/A,FALSE,"report top"}</definedName>
    <definedName name="wrn.cotop." localSheetId="3" hidden="1">{"ReportTop",#N/A,FALSE,"report top"}</definedName>
    <definedName name="wrn.cotop." hidden="1">{"ReportTop",#N/A,FALSE,"report top"}</definedName>
    <definedName name="wrn.cotop2." localSheetId="0" hidden="1">{"ReportTop",#N/A,FALSE,"report top"}</definedName>
    <definedName name="wrn.cotop2." localSheetId="3" hidden="1">{"ReportTop",#N/A,FALSE,"report top"}</definedName>
    <definedName name="wrn.cotop2." hidden="1">{"ReportTop",#N/A,FALSE,"report top"}</definedName>
    <definedName name="wrn.FCB." localSheetId="0" hidden="1">{"FCB_ALL",#N/A,FALSE,"FCB"}</definedName>
    <definedName name="wrn.FCB." localSheetId="3" hidden="1">{"FCB_ALL",#N/A,FALSE,"FCB"}</definedName>
    <definedName name="wrn.FCB." hidden="1">{"FCB_ALL",#N/A,FALSE,"FCB"}</definedName>
    <definedName name="wrn.fcb2" localSheetId="0" hidden="1">{"FCB_ALL",#N/A,FALSE,"FCB"}</definedName>
    <definedName name="wrn.fcb2" localSheetId="3" hidden="1">{"FCB_ALL",#N/A,FALSE,"FCB"}</definedName>
    <definedName name="wrn.fcb2" hidden="1">{"FCB_ALL",#N/A,FALSE,"FCB"}</definedName>
    <definedName name="wrn.graph." localSheetId="0" hidden="1">{"graph",#N/A,FALSE,"RIGCOUNT";"graph",#N/A,FALSE,"ON_OFFSHORE";"graph",#N/A,FALSE,"crewcnt";"graph",#N/A,FALSE,"OILvGAS";"graph",#N/A,FALSE,"OFF_RIGCOUNT";"graph",#N/A,FALSE,"indep perf";"graph",#N/A,FALSE,"oil serv perf"}</definedName>
    <definedName name="wrn.graph." localSheetId="3"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3"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3"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0" hidden="1">{"IS Q96",#N/A,FALSE,"Income Statement"}</definedName>
    <definedName name="wrn.IS._.Q96." localSheetId="3" hidden="1">{"IS Q96",#N/A,FALSE,"Income Statement"}</definedName>
    <definedName name="wrn.IS._.Q96." hidden="1">{"IS Q96",#N/A,FALSE,"Income Statement"}</definedName>
    <definedName name="wrn.IS._.Q97." localSheetId="0" hidden="1">{"IS Q97",#N/A,FALSE,"Income Statement"}</definedName>
    <definedName name="wrn.IS._.Q97." localSheetId="3" hidden="1">{"IS Q97",#N/A,FALSE,"Income Statement"}</definedName>
    <definedName name="wrn.IS._.Q97." hidden="1">{"IS Q97",#N/A,FALSE,"Income Statement"}</definedName>
    <definedName name="wrn.IS._.Years." localSheetId="0" hidden="1">{"IS Years",#N/A,FALSE,"Income Statement"}</definedName>
    <definedName name="wrn.IS._.Years." localSheetId="3" hidden="1">{"IS Years",#N/A,FALSE,"Income Statement"}</definedName>
    <definedName name="wrn.IS._.Years." hidden="1">{"IS Years",#N/A,FALSE,"Income Statement"}</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0" hidden="1">{"Netbacks",#N/A,FALSE,"Netbacks"}</definedName>
    <definedName name="wrn.Netbacks." localSheetId="3" hidden="1">{"Netbacks",#N/A,FALSE,"Netbacks"}</definedName>
    <definedName name="wrn.Netbacks." hidden="1">{"Netbacks",#N/A,FALSE,"Netbacks"}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0"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0" hidden="1">{"IS Years",#N/A,FALSE,"Income Statement";"IS Q96",#N/A,FALSE,"Income Statement";"IS Q97",#N/A,FALSE,"Income Statement";"Corporate",#N/A,FALSE,"Corporate Profile";"Netbacks",#N/A,FALSE,"Netbacks"}</definedName>
    <definedName name="wrn.Print._.All." localSheetId="3"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localSheetId="3"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localSheetId="3"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0" hidden="1">{"Total",#N/A,FALSE,"Six Fields";"PDP",#N/A,FALSE,"Six Fields";"PNP",#N/A,FALSE,"Six Fields";"PUD",#N/A,FALSE,"Six Fields";"Prob",#N/A,FALSE,"Six Fields"}</definedName>
    <definedName name="wrn.Roll._.Up._.Fields." localSheetId="3"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0" hidden="1">{"FCB_ALL",#N/A,FALSE,"FCB";"GREY_ALL",#N/A,FALSE,"GREY"}</definedName>
    <definedName name="wrn.STAND_ALONE_BOTH." localSheetId="3" hidden="1">{"FCB_ALL",#N/A,FALSE,"FCB";"GREY_ALL",#N/A,FALSE,"GREY"}</definedName>
    <definedName name="wrn.STAND_ALONE_BOTH." hidden="1">{"FCB_ALL",#N/A,FALSE,"FCB";"GREY_ALL",#N/A,FALSE,"GREY"}</definedName>
    <definedName name="wrn.Summary." localSheetId="0" hidden="1">{"Sum1",#N/A,FALSE,"Reserve Report";"Sum2",#N/A,FALSE,"Reserve Report";"Sum3",#N/A,FALSE,"Reserve Report";"Sum4",#N/A,FALSE,"Reserve Report"}</definedName>
    <definedName name="wrn.Summary." localSheetId="3"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0" hidden="1">{"CSheet",#N/A,FALSE,"C";"SmCap",#N/A,FALSE,"VAL1";"GulfCoast",#N/A,FALSE,"VAL1";"nav",#N/A,FALSE,"NAV";"Summary",#N/A,FALSE,"NAV"}</definedName>
    <definedName name="wrn.TheWholeEnchilada." localSheetId="3"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0" hidden="1">{"Total",#N/A,FALSE,"Total Proved";"PDP",#N/A,FALSE,"Total Proved";"PNP",#N/A,FALSE,"Total Proved";"PUD",#N/A,FALSE,"Total Proved"}</definedName>
    <definedName name="wrn.Total._.Proved." localSheetId="3"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localSheetId="3"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3"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3"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1">#REF!</definedName>
    <definedName name="ỵ">#REF!</definedName>
    <definedName name="Ỷ9" localSheetId="1">#REF!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1">#REF!</definedName>
    <definedName name="YTD1">#REF!</definedName>
    <definedName name="YTD10" localSheetId="1">#REF!</definedName>
    <definedName name="YTD10">#REF!</definedName>
    <definedName name="YTD11" localSheetId="1">#REF!</definedName>
    <definedName name="YTD11">#REF!</definedName>
    <definedName name="YTD12" localSheetId="1">#REF!</definedName>
    <definedName name="YTD12">#REF!</definedName>
    <definedName name="YTD2" localSheetId="1">#REF!</definedName>
    <definedName name="YTD2">#REF!</definedName>
    <definedName name="YTD3" localSheetId="1">#REF!</definedName>
    <definedName name="YTD3">#REF!</definedName>
    <definedName name="YTD4" localSheetId="1">#REF!</definedName>
    <definedName name="YTD4">#REF!</definedName>
    <definedName name="YTD5" localSheetId="1">#REF!</definedName>
    <definedName name="YTD5">#REF!</definedName>
    <definedName name="YTD6" localSheetId="1">#REF!</definedName>
    <definedName name="YTD6">#REF!</definedName>
    <definedName name="YTD7" localSheetId="1">#REF!</definedName>
    <definedName name="YTD7">#REF!</definedName>
    <definedName name="YTD8" localSheetId="1">#REF!</definedName>
    <definedName name="YTD8">#REF!</definedName>
    <definedName name="YTD9" localSheetId="1">#REF!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{"CSheet",#N/A,FALSE,"C";"SmCap",#N/A,FALSE,"VAL1";"GulfCoast",#N/A,FALSE,"VAL1";"nav",#N/A,FALSE,"NAV";"Summary",#N/A,FALSE,"NAV"}</definedName>
    <definedName name="z" localSheetId="3" hidden="1">{"CSheet",#N/A,FALSE,"C";"SmCap",#N/A,FALSE,"VAL1";"GulfCoast",#N/A,FALSE,"VAL1";"nav",#N/A,FALSE,"NAV";"Summary",#N/A,FALSE,"NAV"}</definedName>
    <definedName name="z" hidden="1">{"CSheet",#N/A,FALSE,"C";"SmCap",#N/A,FALSE,"VAL1";"GulfCoast",#N/A,FALSE,"VAL1";"nav",#N/A,FALSE,"NAV";"Summary",#N/A,FALSE,"NAV"}</definedName>
    <definedName name="zdfgxzdfg" localSheetId="0" hidden="1">{"ReportTop",#N/A,FALSE,"report top"}</definedName>
    <definedName name="zdfgxzdfg" localSheetId="3" hidden="1">{"ReportTop",#N/A,FALSE,"report top"}</definedName>
    <definedName name="zdfgxzdfg" hidden="1">{"ReportTop",#N/A,FALSE,"report top"}</definedName>
    <definedName name="zone" localSheetId="1">#REF!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3"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3"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3"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3"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3"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8" l="1"/>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C113" i="8"/>
  <c r="B113" i="8"/>
  <c r="AK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C112" i="8"/>
  <c r="B112" i="8"/>
  <c r="AK111"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C111" i="8"/>
  <c r="B111" i="8"/>
  <c r="AK110"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B110" i="8"/>
  <c r="AK109"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C109" i="8"/>
  <c r="B109" i="8"/>
  <c r="AK108"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C108" i="8"/>
  <c r="B108" i="8"/>
  <c r="AK107"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C107" i="8"/>
  <c r="B107" i="8"/>
  <c r="AK106"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C106" i="8"/>
  <c r="B106" i="8"/>
  <c r="AK105"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C105" i="8"/>
  <c r="B105" i="8"/>
  <c r="AK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C104" i="8"/>
  <c r="B104" i="8"/>
  <c r="AK103"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C103" i="8"/>
  <c r="B103" i="8"/>
  <c r="AK102"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C102" i="8"/>
  <c r="B102" i="8"/>
  <c r="AK101"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C101" i="8"/>
  <c r="B101" i="8"/>
  <c r="AK100"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C100" i="8"/>
  <c r="B100" i="8"/>
  <c r="AK99"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C99" i="8"/>
  <c r="B99" i="8"/>
  <c r="AK98"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C98" i="8"/>
  <c r="B98" i="8"/>
  <c r="AK97"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C97" i="8"/>
  <c r="B97" i="8"/>
  <c r="AK96"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C96" i="8"/>
  <c r="B96" i="8"/>
  <c r="AK95"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C95" i="8"/>
  <c r="B95" i="8"/>
  <c r="AK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C94" i="8"/>
  <c r="B94" i="8"/>
  <c r="AK93"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C93" i="8"/>
  <c r="B93" i="8"/>
  <c r="AK92"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B92" i="8"/>
  <c r="AK91"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C91" i="8"/>
  <c r="B91" i="8"/>
  <c r="AK90"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C90" i="8"/>
  <c r="B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C89" i="8"/>
  <c r="B89"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C88" i="8"/>
  <c r="B88"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C87" i="8"/>
  <c r="B87"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C86" i="8"/>
  <c r="B86"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C85" i="8"/>
  <c r="B85"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C84" i="8"/>
  <c r="B84"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C83" i="8"/>
  <c r="B83" i="8"/>
  <c r="AC82" i="8"/>
  <c r="AB82" i="8"/>
  <c r="AA82" i="8"/>
  <c r="Z82" i="8"/>
  <c r="Y82" i="8"/>
  <c r="X82" i="8"/>
  <c r="W82" i="8"/>
  <c r="V82" i="8"/>
  <c r="U82" i="8"/>
  <c r="T82" i="8"/>
  <c r="S82" i="8"/>
  <c r="R82" i="8"/>
  <c r="Q82" i="8"/>
  <c r="P82" i="8"/>
  <c r="O82" i="8"/>
  <c r="N82" i="8"/>
  <c r="M82" i="8"/>
  <c r="L82" i="8"/>
  <c r="K82" i="8"/>
  <c r="J82" i="8"/>
  <c r="I82" i="8"/>
  <c r="H82" i="8"/>
  <c r="G82" i="8"/>
  <c r="F82" i="8"/>
  <c r="E82" i="8"/>
  <c r="D82" i="8"/>
  <c r="C82" i="8"/>
  <c r="B82" i="8"/>
  <c r="AB81" i="8"/>
  <c r="AA81" i="8"/>
  <c r="Z81" i="8"/>
  <c r="Y81" i="8"/>
  <c r="X81" i="8"/>
  <c r="W81" i="8"/>
  <c r="V81" i="8"/>
  <c r="U81" i="8"/>
  <c r="T81" i="8"/>
  <c r="S81" i="8"/>
  <c r="R81" i="8"/>
  <c r="Q81" i="8"/>
  <c r="P81" i="8"/>
  <c r="O81" i="8"/>
  <c r="N81" i="8"/>
  <c r="M81" i="8"/>
  <c r="L81" i="8"/>
  <c r="K81" i="8"/>
  <c r="J81" i="8"/>
  <c r="I81" i="8"/>
  <c r="H81" i="8"/>
  <c r="G81" i="8"/>
  <c r="F81" i="8"/>
  <c r="E81" i="8"/>
  <c r="D81" i="8"/>
  <c r="C81" i="8"/>
  <c r="B81" i="8"/>
  <c r="AA80" i="8"/>
  <c r="Z80" i="8"/>
  <c r="Y80" i="8"/>
  <c r="X80" i="8"/>
  <c r="W80" i="8"/>
  <c r="V80" i="8"/>
  <c r="U80" i="8"/>
  <c r="T80" i="8"/>
  <c r="S80" i="8"/>
  <c r="R80" i="8"/>
  <c r="Q80" i="8"/>
  <c r="P80" i="8"/>
  <c r="O80" i="8"/>
  <c r="N80" i="8"/>
  <c r="M80" i="8"/>
  <c r="L80" i="8"/>
  <c r="K80" i="8"/>
  <c r="J80" i="8"/>
  <c r="I80" i="8"/>
  <c r="H80" i="8"/>
  <c r="G80" i="8"/>
  <c r="F80" i="8"/>
  <c r="E80" i="8"/>
  <c r="D80" i="8"/>
  <c r="C80" i="8"/>
  <c r="B80" i="8"/>
  <c r="Z79" i="8"/>
  <c r="Y79" i="8"/>
  <c r="X79" i="8"/>
  <c r="W79" i="8"/>
  <c r="V79" i="8"/>
  <c r="U79" i="8"/>
  <c r="T79" i="8"/>
  <c r="S79" i="8"/>
  <c r="R79" i="8"/>
  <c r="Q79" i="8"/>
  <c r="P79" i="8"/>
  <c r="O79" i="8"/>
  <c r="N79" i="8"/>
  <c r="M79" i="8"/>
  <c r="L79" i="8"/>
  <c r="K79" i="8"/>
  <c r="J79" i="8"/>
  <c r="I79" i="8"/>
  <c r="H79" i="8"/>
  <c r="G79" i="8"/>
  <c r="F79" i="8"/>
  <c r="E79" i="8"/>
  <c r="D79" i="8"/>
  <c r="C79" i="8"/>
  <c r="B79" i="8"/>
  <c r="Y78" i="8"/>
  <c r="X78" i="8"/>
  <c r="W78" i="8"/>
  <c r="V78" i="8"/>
  <c r="U78" i="8"/>
  <c r="T78" i="8"/>
  <c r="S78" i="8"/>
  <c r="R78" i="8"/>
  <c r="Q78" i="8"/>
  <c r="P78" i="8"/>
  <c r="O78" i="8"/>
  <c r="N78" i="8"/>
  <c r="M78" i="8"/>
  <c r="L78" i="8"/>
  <c r="K78" i="8"/>
  <c r="J78" i="8"/>
  <c r="I78" i="8"/>
  <c r="H78" i="8"/>
  <c r="G78" i="8"/>
  <c r="F78" i="8"/>
  <c r="E78" i="8"/>
  <c r="D78" i="8"/>
  <c r="C78" i="8"/>
  <c r="B78" i="8"/>
  <c r="X77"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V75" i="8"/>
  <c r="U75" i="8"/>
  <c r="T75" i="8"/>
  <c r="S75" i="8"/>
  <c r="R75" i="8"/>
  <c r="Q75" i="8"/>
  <c r="P75" i="8"/>
  <c r="O75" i="8"/>
  <c r="N75" i="8"/>
  <c r="M75" i="8"/>
  <c r="L75" i="8"/>
  <c r="K75" i="8"/>
  <c r="J75" i="8"/>
  <c r="I75" i="8"/>
  <c r="H75" i="8"/>
  <c r="G75" i="8"/>
  <c r="F75" i="8"/>
  <c r="E75" i="8"/>
  <c r="D75" i="8"/>
  <c r="C75" i="8"/>
  <c r="B75" i="8"/>
  <c r="U74" i="8"/>
  <c r="T74" i="8"/>
  <c r="S74" i="8"/>
  <c r="R74" i="8"/>
  <c r="Q74" i="8"/>
  <c r="P74" i="8"/>
  <c r="O74" i="8"/>
  <c r="N74" i="8"/>
  <c r="M74" i="8"/>
  <c r="L74" i="8"/>
  <c r="K74" i="8"/>
  <c r="J74" i="8"/>
  <c r="I74" i="8"/>
  <c r="H74" i="8"/>
  <c r="G74" i="8"/>
  <c r="F74" i="8"/>
  <c r="E74" i="8"/>
  <c r="D74" i="8"/>
  <c r="C74" i="8"/>
  <c r="B74" i="8"/>
  <c r="T73" i="8"/>
  <c r="S73" i="8"/>
  <c r="R73" i="8"/>
  <c r="Q73" i="8"/>
  <c r="P73" i="8"/>
  <c r="O73" i="8"/>
  <c r="N73" i="8"/>
  <c r="M73" i="8"/>
  <c r="L73" i="8"/>
  <c r="K73" i="8"/>
  <c r="J73" i="8"/>
  <c r="I73" i="8"/>
  <c r="H73" i="8"/>
  <c r="G73" i="8"/>
  <c r="F73" i="8"/>
  <c r="E73" i="8"/>
  <c r="D73" i="8"/>
  <c r="C73" i="8"/>
  <c r="B73" i="8"/>
  <c r="S72" i="8"/>
  <c r="R72" i="8"/>
  <c r="Q72" i="8"/>
  <c r="P72" i="8"/>
  <c r="O72" i="8"/>
  <c r="N72" i="8"/>
  <c r="M72" i="8"/>
  <c r="L72" i="8"/>
  <c r="K72" i="8"/>
  <c r="J72" i="8"/>
  <c r="I72" i="8"/>
  <c r="H72" i="8"/>
  <c r="G72" i="8"/>
  <c r="F72" i="8"/>
  <c r="E72" i="8"/>
  <c r="D72" i="8"/>
  <c r="C72" i="8"/>
  <c r="B72" i="8"/>
  <c r="R71" i="8"/>
  <c r="Q71" i="8"/>
  <c r="P71" i="8"/>
  <c r="O71" i="8"/>
  <c r="N71" i="8"/>
  <c r="M71" i="8"/>
  <c r="L71" i="8"/>
  <c r="K71" i="8"/>
  <c r="J71" i="8"/>
  <c r="I71" i="8"/>
  <c r="H71" i="8"/>
  <c r="G71" i="8"/>
  <c r="F71" i="8"/>
  <c r="E71" i="8"/>
  <c r="D71" i="8"/>
  <c r="C71" i="8"/>
  <c r="B71" i="8"/>
  <c r="Q70" i="8"/>
  <c r="P70" i="8"/>
  <c r="O70" i="8"/>
  <c r="N70" i="8"/>
  <c r="M70" i="8"/>
  <c r="L70" i="8"/>
  <c r="K70" i="8"/>
  <c r="J70" i="8"/>
  <c r="I70" i="8"/>
  <c r="H70" i="8"/>
  <c r="G70" i="8"/>
  <c r="F70" i="8"/>
  <c r="E70" i="8"/>
  <c r="D70" i="8"/>
  <c r="C70" i="8"/>
  <c r="B70" i="8"/>
  <c r="P69" i="8"/>
  <c r="O69" i="8"/>
  <c r="N69" i="8"/>
  <c r="M69" i="8"/>
  <c r="L69" i="8"/>
  <c r="K69" i="8"/>
  <c r="J69" i="8"/>
  <c r="I69" i="8"/>
  <c r="H69" i="8"/>
  <c r="G69" i="8"/>
  <c r="F69" i="8"/>
  <c r="E69" i="8"/>
  <c r="D69" i="8"/>
  <c r="C69" i="8"/>
  <c r="B69" i="8"/>
  <c r="O68" i="8"/>
  <c r="N68" i="8"/>
  <c r="M68" i="8"/>
  <c r="L68" i="8"/>
  <c r="K68" i="8"/>
  <c r="J68" i="8"/>
  <c r="I68" i="8"/>
  <c r="H68" i="8"/>
  <c r="G68" i="8"/>
  <c r="F68" i="8"/>
  <c r="E68" i="8"/>
  <c r="D68" i="8"/>
  <c r="C68" i="8"/>
  <c r="B68" i="8"/>
  <c r="N67" i="8"/>
  <c r="M67" i="8"/>
  <c r="L67" i="8"/>
  <c r="K67" i="8"/>
  <c r="J67" i="8"/>
  <c r="I67" i="8"/>
  <c r="H67" i="8"/>
  <c r="G67" i="8"/>
  <c r="F67" i="8"/>
  <c r="E67" i="8"/>
  <c r="D67" i="8"/>
  <c r="C67" i="8"/>
  <c r="B67" i="8"/>
  <c r="M66" i="8"/>
  <c r="L66" i="8"/>
  <c r="K66" i="8"/>
  <c r="J66" i="8"/>
  <c r="I66" i="8"/>
  <c r="H66" i="8"/>
  <c r="G66" i="8"/>
  <c r="F66" i="8"/>
  <c r="E66" i="8"/>
  <c r="D66" i="8"/>
  <c r="C66" i="8"/>
  <c r="B66" i="8"/>
  <c r="L65" i="8"/>
  <c r="K65" i="8"/>
  <c r="J65" i="8"/>
  <c r="I65" i="8"/>
  <c r="H65" i="8"/>
  <c r="G65" i="8"/>
  <c r="F65" i="8"/>
  <c r="E65" i="8"/>
  <c r="D65" i="8"/>
  <c r="C65" i="8"/>
  <c r="B65" i="8"/>
  <c r="K64" i="8"/>
  <c r="J64" i="8"/>
  <c r="I64" i="8"/>
  <c r="H64" i="8"/>
  <c r="G64" i="8"/>
  <c r="F64" i="8"/>
  <c r="E64" i="8"/>
  <c r="D64" i="8"/>
  <c r="C64" i="8"/>
  <c r="B64" i="8"/>
  <c r="J63" i="8"/>
  <c r="I63" i="8"/>
  <c r="H63" i="8"/>
  <c r="G63" i="8"/>
  <c r="F63" i="8"/>
  <c r="E63" i="8"/>
  <c r="D63" i="8"/>
  <c r="C63" i="8"/>
  <c r="B63" i="8"/>
  <c r="I62" i="8"/>
  <c r="H62" i="8"/>
  <c r="G62" i="8"/>
  <c r="F62" i="8"/>
  <c r="E62" i="8"/>
  <c r="D62" i="8"/>
  <c r="C62" i="8"/>
  <c r="B62" i="8"/>
  <c r="H61" i="8"/>
  <c r="G61" i="8"/>
  <c r="F61" i="8"/>
  <c r="E61" i="8"/>
  <c r="D61" i="8"/>
  <c r="C61" i="8"/>
  <c r="B61" i="8"/>
  <c r="G60" i="8"/>
  <c r="F60" i="8"/>
  <c r="E60" i="8"/>
  <c r="D60" i="8"/>
  <c r="C60" i="8"/>
  <c r="B60" i="8"/>
  <c r="F59" i="8"/>
  <c r="E59" i="8"/>
  <c r="D59" i="8"/>
  <c r="C59" i="8"/>
  <c r="B59" i="8"/>
  <c r="E58" i="8"/>
  <c r="D58" i="8"/>
  <c r="C58" i="8"/>
  <c r="B58" i="8"/>
  <c r="D57" i="8"/>
  <c r="C57" i="8"/>
  <c r="B57" i="8"/>
  <c r="C56" i="8"/>
  <c r="B56" i="8"/>
  <c r="B55" i="8"/>
  <c r="AN5" i="8"/>
  <c r="AM5" i="8"/>
  <c r="AL5" i="8"/>
  <c r="B4" i="8"/>
  <c r="B3" i="8" s="1"/>
  <c r="G10" i="7"/>
  <c r="F10" i="7"/>
  <c r="I6" i="7"/>
  <c r="H6" i="7"/>
  <c r="G6" i="7"/>
  <c r="D5" i="7"/>
  <c r="E4" i="7"/>
  <c r="E213" i="6"/>
  <c r="AY210" i="6"/>
  <c r="AZ209" i="6" s="1"/>
  <c r="AN210" i="6"/>
  <c r="AO209" i="6" s="1"/>
  <c r="AL210" i="6"/>
  <c r="AM209" i="6" s="1"/>
  <c r="AK210" i="6"/>
  <c r="AL209" i="6" s="1"/>
  <c r="AC210" i="6"/>
  <c r="AA210" i="6"/>
  <c r="S210" i="6"/>
  <c r="T209" i="6" s="1"/>
  <c r="R210" i="6"/>
  <c r="S209" i="6" s="1"/>
  <c r="P210" i="6"/>
  <c r="Q209" i="6" s="1"/>
  <c r="H210" i="6"/>
  <c r="I209" i="6" s="1"/>
  <c r="AX209" i="6"/>
  <c r="AW209" i="6"/>
  <c r="AP209" i="6"/>
  <c r="AN209" i="6"/>
  <c r="AF209" i="6"/>
  <c r="AD209" i="6"/>
  <c r="AB209" i="6"/>
  <c r="R209" i="6"/>
  <c r="J209" i="6"/>
  <c r="H209" i="6"/>
  <c r="F209" i="6"/>
  <c r="E209" i="6"/>
  <c r="E201" i="6"/>
  <c r="E205" i="6" s="1"/>
  <c r="BE197" i="6"/>
  <c r="BE210" i="6" s="1"/>
  <c r="BF209" i="6" s="1"/>
  <c r="BD197" i="6"/>
  <c r="BD210" i="6" s="1"/>
  <c r="BE209" i="6" s="1"/>
  <c r="BB197" i="6"/>
  <c r="BB210" i="6" s="1"/>
  <c r="BC209" i="6" s="1"/>
  <c r="AZ197" i="6"/>
  <c r="AZ210" i="6" s="1"/>
  <c r="BA209" i="6" s="1"/>
  <c r="AY197" i="6"/>
  <c r="AW197" i="6"/>
  <c r="AW210" i="6" s="1"/>
  <c r="AT197" i="6"/>
  <c r="AT210" i="6" s="1"/>
  <c r="AU209" i="6" s="1"/>
  <c r="AR197" i="6"/>
  <c r="AR210" i="6" s="1"/>
  <c r="AS209" i="6" s="1"/>
  <c r="AQ197" i="6"/>
  <c r="AQ210" i="6" s="1"/>
  <c r="AR209" i="6" s="1"/>
  <c r="AP197" i="6"/>
  <c r="AP210" i="6" s="1"/>
  <c r="AQ209" i="6" s="1"/>
  <c r="AO197" i="6"/>
  <c r="AO210" i="6" s="1"/>
  <c r="AI197" i="6"/>
  <c r="AI210" i="6" s="1"/>
  <c r="AJ209" i="6" s="1"/>
  <c r="AH197" i="6"/>
  <c r="AH210" i="6" s="1"/>
  <c r="AI209" i="6" s="1"/>
  <c r="AG197" i="6"/>
  <c r="AG210" i="6" s="1"/>
  <c r="AH209" i="6" s="1"/>
  <c r="AF197" i="6"/>
  <c r="AF210" i="6" s="1"/>
  <c r="AG209" i="6" s="1"/>
  <c r="AA197" i="6"/>
  <c r="Y197" i="6"/>
  <c r="Y210" i="6" s="1"/>
  <c r="Z209" i="6" s="1"/>
  <c r="X197" i="6"/>
  <c r="X210" i="6" s="1"/>
  <c r="Y209" i="6" s="1"/>
  <c r="V197" i="6"/>
  <c r="V210" i="6" s="1"/>
  <c r="W209" i="6" s="1"/>
  <c r="T197" i="6"/>
  <c r="T210" i="6" s="1"/>
  <c r="U209" i="6" s="1"/>
  <c r="S197" i="6"/>
  <c r="Q197" i="6"/>
  <c r="Q210" i="6" s="1"/>
  <c r="N197" i="6"/>
  <c r="N210" i="6" s="1"/>
  <c r="O209" i="6" s="1"/>
  <c r="L197" i="6"/>
  <c r="L210" i="6" s="1"/>
  <c r="M209" i="6" s="1"/>
  <c r="K197" i="6"/>
  <c r="K210" i="6" s="1"/>
  <c r="L209" i="6" s="1"/>
  <c r="J197" i="6"/>
  <c r="J210" i="6" s="1"/>
  <c r="K209" i="6" s="1"/>
  <c r="I197" i="6"/>
  <c r="I210" i="6" s="1"/>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V194" i="6"/>
  <c r="U194" i="6"/>
  <c r="T194" i="6"/>
  <c r="S194" i="6"/>
  <c r="R194" i="6"/>
  <c r="Q194" i="6"/>
  <c r="P194" i="6"/>
  <c r="O194" i="6"/>
  <c r="N194" i="6"/>
  <c r="M194" i="6"/>
  <c r="L194" i="6"/>
  <c r="K194" i="6"/>
  <c r="J194" i="6"/>
  <c r="I194" i="6"/>
  <c r="H194" i="6"/>
  <c r="G194" i="6"/>
  <c r="F194" i="6"/>
  <c r="BF193" i="6"/>
  <c r="BF197" i="6" s="1"/>
  <c r="BF210" i="6" s="1"/>
  <c r="BE193" i="6"/>
  <c r="BD193" i="6"/>
  <c r="BC193" i="6"/>
  <c r="BC197" i="6" s="1"/>
  <c r="BC210" i="6" s="1"/>
  <c r="BD209" i="6" s="1"/>
  <c r="BB193" i="6"/>
  <c r="BA193" i="6"/>
  <c r="BA197" i="6" s="1"/>
  <c r="BA210" i="6" s="1"/>
  <c r="BB209" i="6" s="1"/>
  <c r="AZ193" i="6"/>
  <c r="AY193" i="6"/>
  <c r="AX193" i="6"/>
  <c r="AX197" i="6" s="1"/>
  <c r="AX210" i="6" s="1"/>
  <c r="AY209" i="6" s="1"/>
  <c r="AW193" i="6"/>
  <c r="AV193" i="6"/>
  <c r="AV197" i="6" s="1"/>
  <c r="AV210" i="6" s="1"/>
  <c r="AU193" i="6"/>
  <c r="AU197" i="6" s="1"/>
  <c r="AU210" i="6" s="1"/>
  <c r="AV209" i="6" s="1"/>
  <c r="AT193" i="6"/>
  <c r="AS193" i="6"/>
  <c r="AS197" i="6" s="1"/>
  <c r="AS210" i="6" s="1"/>
  <c r="AT209" i="6" s="1"/>
  <c r="AR193" i="6"/>
  <c r="AQ193" i="6"/>
  <c r="AP193" i="6"/>
  <c r="AO193" i="6"/>
  <c r="AN193" i="6"/>
  <c r="AN197" i="6" s="1"/>
  <c r="AM193" i="6"/>
  <c r="AM197" i="6" s="1"/>
  <c r="AM210" i="6" s="1"/>
  <c r="AL193" i="6"/>
  <c r="AL197" i="6" s="1"/>
  <c r="AK193" i="6"/>
  <c r="AK197" i="6" s="1"/>
  <c r="AJ193" i="6"/>
  <c r="AJ197" i="6" s="1"/>
  <c r="AJ210" i="6" s="1"/>
  <c r="AK209" i="6" s="1"/>
  <c r="AI193" i="6"/>
  <c r="AH193" i="6"/>
  <c r="AG193" i="6"/>
  <c r="AF193" i="6"/>
  <c r="AE193" i="6"/>
  <c r="AE197" i="6" s="1"/>
  <c r="AE210" i="6" s="1"/>
  <c r="AD193" i="6"/>
  <c r="AD197" i="6" s="1"/>
  <c r="AD210" i="6" s="1"/>
  <c r="AE209" i="6" s="1"/>
  <c r="AC193" i="6"/>
  <c r="AC197" i="6" s="1"/>
  <c r="AB193" i="6"/>
  <c r="AB197" i="6" s="1"/>
  <c r="AB210" i="6" s="1"/>
  <c r="AC209" i="6" s="1"/>
  <c r="AA193" i="6"/>
  <c r="Z193" i="6"/>
  <c r="Z197" i="6" s="1"/>
  <c r="Z210" i="6" s="1"/>
  <c r="AA209" i="6" s="1"/>
  <c r="Y193" i="6"/>
  <c r="X193" i="6"/>
  <c r="W193" i="6"/>
  <c r="W197" i="6" s="1"/>
  <c r="W210" i="6" s="1"/>
  <c r="X209" i="6" s="1"/>
  <c r="V193" i="6"/>
  <c r="U193" i="6"/>
  <c r="U197" i="6" s="1"/>
  <c r="U210" i="6" s="1"/>
  <c r="V209" i="6" s="1"/>
  <c r="T193" i="6"/>
  <c r="S193" i="6"/>
  <c r="R193" i="6"/>
  <c r="R197" i="6" s="1"/>
  <c r="Q193" i="6"/>
  <c r="P193" i="6"/>
  <c r="P197" i="6" s="1"/>
  <c r="O193" i="6"/>
  <c r="O197" i="6" s="1"/>
  <c r="O210" i="6" s="1"/>
  <c r="P209" i="6" s="1"/>
  <c r="N193" i="6"/>
  <c r="M193" i="6"/>
  <c r="M197" i="6" s="1"/>
  <c r="M210" i="6" s="1"/>
  <c r="N209" i="6" s="1"/>
  <c r="L193" i="6"/>
  <c r="K193" i="6"/>
  <c r="J193" i="6"/>
  <c r="I193" i="6"/>
  <c r="H193" i="6"/>
  <c r="H197" i="6" s="1"/>
  <c r="G193" i="6"/>
  <c r="G197" i="6" s="1"/>
  <c r="G210" i="6" s="1"/>
  <c r="F193" i="6"/>
  <c r="F197" i="6" s="1"/>
  <c r="F210" i="6" s="1"/>
  <c r="G209" i="6" s="1"/>
  <c r="E193" i="6"/>
  <c r="E197" i="6" s="1"/>
  <c r="E210" i="6" s="1"/>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V186" i="6"/>
  <c r="U186" i="6"/>
  <c r="T186" i="6"/>
  <c r="S186" i="6"/>
  <c r="R186" i="6"/>
  <c r="Q186" i="6"/>
  <c r="P186" i="6"/>
  <c r="O186" i="6"/>
  <c r="N186" i="6"/>
  <c r="M186" i="6"/>
  <c r="L186" i="6"/>
  <c r="K186" i="6"/>
  <c r="J186" i="6"/>
  <c r="I186" i="6"/>
  <c r="H186" i="6"/>
  <c r="G186" i="6"/>
  <c r="F186" i="6"/>
  <c r="E186" i="6"/>
  <c r="E185" i="6"/>
  <c r="E88" i="6"/>
  <c r="E87" i="6" s="1"/>
  <c r="E83" i="6"/>
  <c r="E82" i="6"/>
  <c r="BK72" i="6"/>
  <c r="BF72" i="6"/>
  <c r="BC72" i="6"/>
  <c r="AX72" i="6"/>
  <c r="AW72" i="6"/>
  <c r="AU72" i="6"/>
  <c r="AQ72" i="6"/>
  <c r="AP72" i="6"/>
  <c r="AO72" i="6"/>
  <c r="AM72" i="6"/>
  <c r="AH72" i="6"/>
  <c r="AG72" i="6"/>
  <c r="AE72" i="6"/>
  <c r="AD72" i="6"/>
  <c r="Y72" i="6"/>
  <c r="W72" i="6"/>
  <c r="V72" i="6"/>
  <c r="O72" i="6"/>
  <c r="N72" i="6"/>
  <c r="G72" i="6"/>
  <c r="F72" i="6"/>
  <c r="F63" i="6" a="1"/>
  <c r="F63" i="6" s="1"/>
  <c r="BL59" i="6"/>
  <c r="BL72" i="6" s="1"/>
  <c r="BK59" i="6"/>
  <c r="BJ59" i="6"/>
  <c r="BJ72" i="6" s="1"/>
  <c r="BI59" i="6"/>
  <c r="BI72" i="6" s="1"/>
  <c r="BH59" i="6"/>
  <c r="BH72" i="6" s="1"/>
  <c r="BG59" i="6"/>
  <c r="BG72" i="6" s="1"/>
  <c r="BF59" i="6"/>
  <c r="BE59" i="6"/>
  <c r="BE72" i="6" s="1"/>
  <c r="BD59" i="6"/>
  <c r="BD72" i="6" s="1"/>
  <c r="BC59" i="6"/>
  <c r="BB59" i="6"/>
  <c r="BB72" i="6" s="1"/>
  <c r="BA59" i="6"/>
  <c r="BA72" i="6" s="1"/>
  <c r="AZ59" i="6"/>
  <c r="AZ72" i="6" s="1"/>
  <c r="AY59" i="6"/>
  <c r="AY72" i="6" s="1"/>
  <c r="AX59" i="6"/>
  <c r="AW59" i="6"/>
  <c r="AV59" i="6"/>
  <c r="AV72" i="6" s="1"/>
  <c r="AU59" i="6"/>
  <c r="AT59" i="6"/>
  <c r="AT72" i="6" s="1"/>
  <c r="AS59" i="6"/>
  <c r="AS72" i="6" s="1"/>
  <c r="AR59" i="6"/>
  <c r="AR72" i="6" s="1"/>
  <c r="AQ59" i="6"/>
  <c r="AP59" i="6"/>
  <c r="AO59" i="6"/>
  <c r="AN59" i="6"/>
  <c r="AN72" i="6" s="1"/>
  <c r="AM59" i="6"/>
  <c r="AL59" i="6"/>
  <c r="AL72" i="6" s="1"/>
  <c r="AK59" i="6"/>
  <c r="AK72" i="6" s="1"/>
  <c r="AJ59" i="6"/>
  <c r="AJ72" i="6" s="1"/>
  <c r="AI59" i="6"/>
  <c r="AI72" i="6" s="1"/>
  <c r="AH59" i="6"/>
  <c r="AG59" i="6"/>
  <c r="AF59" i="6"/>
  <c r="AF72" i="6" s="1"/>
  <c r="AE59" i="6"/>
  <c r="AD59" i="6"/>
  <c r="AC59" i="6"/>
  <c r="AC72" i="6" s="1"/>
  <c r="AB59" i="6"/>
  <c r="AB72" i="6" s="1"/>
  <c r="AA59" i="6"/>
  <c r="AA72" i="6" s="1"/>
  <c r="Z59" i="6"/>
  <c r="Z72" i="6" s="1"/>
  <c r="Y59" i="6"/>
  <c r="X59" i="6"/>
  <c r="X72" i="6" s="1"/>
  <c r="W59" i="6"/>
  <c r="V59" i="6"/>
  <c r="U59" i="6"/>
  <c r="U72" i="6" s="1"/>
  <c r="T59" i="6"/>
  <c r="T72" i="6" s="1"/>
  <c r="S59" i="6"/>
  <c r="S72" i="6" s="1"/>
  <c r="R59" i="6"/>
  <c r="R72" i="6" s="1"/>
  <c r="Q59" i="6"/>
  <c r="Q72" i="6" s="1"/>
  <c r="P59" i="6"/>
  <c r="P72" i="6" s="1"/>
  <c r="O59" i="6"/>
  <c r="N59" i="6"/>
  <c r="M59" i="6"/>
  <c r="M72" i="6" s="1"/>
  <c r="L59" i="6"/>
  <c r="L72" i="6" s="1"/>
  <c r="K59" i="6"/>
  <c r="K72" i="6" s="1"/>
  <c r="J59" i="6"/>
  <c r="J72" i="6" s="1"/>
  <c r="I59" i="6"/>
  <c r="I72" i="6" s="1"/>
  <c r="H59" i="6"/>
  <c r="H72" i="6" s="1"/>
  <c r="G59" i="6"/>
  <c r="F59" i="6"/>
  <c r="E38" i="6"/>
  <c r="E30" i="6"/>
  <c r="E127" i="6" s="1"/>
  <c r="F25" i="6"/>
  <c r="E25" i="6"/>
  <c r="F22" i="6"/>
  <c r="F13" i="6"/>
  <c r="E13" i="6"/>
  <c r="D7" i="6"/>
  <c r="E36" i="6" s="1"/>
  <c r="F6" i="6"/>
  <c r="E6" i="6"/>
  <c r="D6" i="6"/>
  <c r="F5" i="6"/>
  <c r="F99" i="6" s="1"/>
  <c r="E5" i="6"/>
  <c r="H109" i="5"/>
  <c r="C112" i="5" s="1"/>
  <c r="E35" i="4" s="1"/>
  <c r="H108" i="5"/>
  <c r="H107" i="5"/>
  <c r="H106" i="5"/>
  <c r="G101" i="5"/>
  <c r="E51" i="4" s="1"/>
  <c r="E81" i="6" s="1"/>
  <c r="G100" i="5"/>
  <c r="E84" i="5"/>
  <c r="D84" i="5"/>
  <c r="C84" i="5"/>
  <c r="E83" i="5"/>
  <c r="F83" i="5" s="1"/>
  <c r="D83" i="5"/>
  <c r="C83" i="5"/>
  <c r="E82" i="5"/>
  <c r="D82" i="5"/>
  <c r="C82" i="5"/>
  <c r="F82" i="5" s="1"/>
  <c r="F81" i="5"/>
  <c r="E81" i="5"/>
  <c r="D81" i="5"/>
  <c r="C81" i="5"/>
  <c r="E80" i="5"/>
  <c r="D80" i="5"/>
  <c r="C80" i="5"/>
  <c r="F80" i="5" s="1"/>
  <c r="E79" i="5"/>
  <c r="D79" i="5"/>
  <c r="C79" i="5"/>
  <c r="F78" i="5"/>
  <c r="E78" i="5"/>
  <c r="D78" i="5"/>
  <c r="C78" i="5"/>
  <c r="E77" i="5"/>
  <c r="D77" i="5"/>
  <c r="F77" i="5" s="1"/>
  <c r="D78" i="4" s="1"/>
  <c r="C77" i="5"/>
  <c r="E76" i="5"/>
  <c r="D76" i="5"/>
  <c r="C76" i="5"/>
  <c r="E75" i="5"/>
  <c r="D75" i="5"/>
  <c r="C75" i="5"/>
  <c r="F75" i="5" s="1"/>
  <c r="H9" i="5"/>
  <c r="G9" i="5"/>
  <c r="E18" i="4" s="1"/>
  <c r="E9" i="5"/>
  <c r="D9" i="5"/>
  <c r="C9" i="5"/>
  <c r="E100" i="4"/>
  <c r="F91" i="4"/>
  <c r="F90" i="4"/>
  <c r="E118" i="6" s="1"/>
  <c r="F89" i="4"/>
  <c r="E117" i="6" s="1"/>
  <c r="E88" i="4"/>
  <c r="F88" i="4" s="1"/>
  <c r="E116" i="6" s="1"/>
  <c r="E87" i="4"/>
  <c r="F87" i="4" s="1"/>
  <c r="E115" i="6" s="1"/>
  <c r="F86" i="4"/>
  <c r="E114" i="6" s="1"/>
  <c r="E86" i="4"/>
  <c r="F85" i="4"/>
  <c r="E113" i="6" s="1"/>
  <c r="E85" i="4"/>
  <c r="E84" i="4"/>
  <c r="F84" i="4" s="1"/>
  <c r="E112" i="6" s="1"/>
  <c r="E83" i="4"/>
  <c r="F83" i="4" s="1"/>
  <c r="E111" i="6" s="1"/>
  <c r="F82" i="4"/>
  <c r="E110" i="6" s="1"/>
  <c r="E82" i="4"/>
  <c r="F81" i="4"/>
  <c r="E109" i="6" s="1"/>
  <c r="E81" i="4"/>
  <c r="E80" i="4"/>
  <c r="F80" i="4" s="1"/>
  <c r="E108" i="6" s="1"/>
  <c r="E79" i="4"/>
  <c r="F79" i="4" s="1"/>
  <c r="E107" i="6" s="1"/>
  <c r="D77" i="4"/>
  <c r="E55" i="4"/>
  <c r="E54" i="4"/>
  <c r="S49" i="4"/>
  <c r="R49" i="4"/>
  <c r="Q49" i="4"/>
  <c r="P49" i="4"/>
  <c r="O49" i="4"/>
  <c r="N49" i="4" s="1"/>
  <c r="E49" i="4"/>
  <c r="E78" i="6" s="1"/>
  <c r="S46" i="4"/>
  <c r="R46" i="4"/>
  <c r="Q46" i="4"/>
  <c r="P46" i="4"/>
  <c r="N46" i="4" s="1"/>
  <c r="O46" i="4"/>
  <c r="S45" i="4"/>
  <c r="R45" i="4"/>
  <c r="R44" i="4" s="1"/>
  <c r="R19" i="4" s="1"/>
  <c r="Q45" i="4"/>
  <c r="P45" i="4"/>
  <c r="P44" i="4" s="1"/>
  <c r="P19" i="4" s="1"/>
  <c r="S44" i="4"/>
  <c r="S19" i="4" s="1"/>
  <c r="Q44" i="4"/>
  <c r="Q19" i="4" s="1"/>
  <c r="S43" i="4"/>
  <c r="R43" i="4"/>
  <c r="Q43" i="4"/>
  <c r="P43" i="4"/>
  <c r="S41" i="4"/>
  <c r="R41" i="4"/>
  <c r="Q41" i="4"/>
  <c r="P41" i="4"/>
  <c r="S36" i="4"/>
  <c r="R36" i="4"/>
  <c r="Q36" i="4"/>
  <c r="P36" i="4"/>
  <c r="S35" i="4"/>
  <c r="R35" i="4"/>
  <c r="Q35" i="4"/>
  <c r="P35" i="4"/>
  <c r="S34" i="4"/>
  <c r="R34" i="4"/>
  <c r="Q34" i="4"/>
  <c r="P34" i="4"/>
  <c r="E22" i="4"/>
  <c r="F19" i="4"/>
  <c r="D19" i="4"/>
  <c r="C19" i="4"/>
  <c r="E11" i="6" s="1"/>
  <c r="F18" i="4"/>
  <c r="D12" i="6" s="1"/>
  <c r="S14" i="4"/>
  <c r="R14" i="4"/>
  <c r="Q14" i="4"/>
  <c r="P14" i="4"/>
  <c r="E14" i="4"/>
  <c r="E10" i="4"/>
  <c r="H6" i="4"/>
  <c r="H5" i="4"/>
  <c r="H4" i="4"/>
  <c r="D2" i="4"/>
  <c r="C2" i="4"/>
  <c r="H2" i="2"/>
  <c r="F2" i="2"/>
  <c r="E2" i="2"/>
  <c r="H1" i="2"/>
  <c r="F1" i="2"/>
  <c r="E1" i="2"/>
  <c r="G18" i="4" l="1"/>
  <c r="E19" i="4"/>
  <c r="D11" i="6"/>
  <c r="H76" i="4"/>
  <c r="E78" i="4"/>
  <c r="F78" i="4" s="1"/>
  <c r="E106" i="6" s="1"/>
  <c r="E76" i="4"/>
  <c r="F76" i="4" s="1"/>
  <c r="E104" i="6" s="1"/>
  <c r="E28" i="6"/>
  <c r="O43" i="4"/>
  <c r="N43" i="4" s="1"/>
  <c r="E77" i="6"/>
  <c r="E77" i="4"/>
  <c r="F77" i="4" s="1"/>
  <c r="E105" i="6" s="1"/>
  <c r="E80" i="6"/>
  <c r="O45" i="4"/>
  <c r="E18" i="6"/>
  <c r="U49" i="4"/>
  <c r="U46" i="4"/>
  <c r="E34" i="6"/>
  <c r="F97" i="6"/>
  <c r="C113" i="5"/>
  <c r="E45" i="4" s="1"/>
  <c r="E68" i="6" s="1"/>
  <c r="E133" i="6"/>
  <c r="E32" i="6"/>
  <c r="F163" i="6"/>
  <c r="F154" i="6"/>
  <c r="F142" i="6"/>
  <c r="F126" i="6"/>
  <c r="F98" i="6"/>
  <c r="F96" i="6"/>
  <c r="F95" i="6" s="1"/>
  <c r="F92" i="6"/>
  <c r="F91" i="6" s="1"/>
  <c r="F122" i="6"/>
  <c r="F189" i="6"/>
  <c r="G185" i="6" s="1"/>
  <c r="F153" i="6"/>
  <c r="F148" i="6"/>
  <c r="F170" i="6"/>
  <c r="F136" i="6"/>
  <c r="F133" i="6"/>
  <c r="F168" i="6"/>
  <c r="F162" i="6"/>
  <c r="F152" i="6"/>
  <c r="F26" i="6"/>
  <c r="F128" i="6"/>
  <c r="F85" i="6"/>
  <c r="F39" i="6"/>
  <c r="F156" i="6" s="1"/>
  <c r="F37" i="6"/>
  <c r="F35" i="6"/>
  <c r="F132" i="6" s="1"/>
  <c r="F33" i="6"/>
  <c r="F130" i="6" s="1"/>
  <c r="F31" i="6"/>
  <c r="F29" i="6"/>
  <c r="F134" i="6"/>
  <c r="F16" i="6"/>
  <c r="BF53" i="8"/>
  <c r="AX53" i="8"/>
  <c r="AP53" i="8"/>
  <c r="AH53" i="8"/>
  <c r="Z53" i="8"/>
  <c r="R53" i="8"/>
  <c r="J53" i="8"/>
  <c r="B53" i="8"/>
  <c r="BE53" i="8"/>
  <c r="AW53" i="8"/>
  <c r="AO53" i="8"/>
  <c r="AG53" i="8"/>
  <c r="AM60" i="8" s="1"/>
  <c r="Y53" i="8"/>
  <c r="Q53" i="8"/>
  <c r="AN77" i="8" s="1"/>
  <c r="I53" i="8"/>
  <c r="BD53" i="8"/>
  <c r="AV53" i="8"/>
  <c r="AN53" i="8"/>
  <c r="AN54" i="8" s="1"/>
  <c r="AF53" i="8"/>
  <c r="X53" i="8"/>
  <c r="AN70" i="8" s="1"/>
  <c r="P53" i="8"/>
  <c r="H53" i="8"/>
  <c r="AL84" i="8" s="1"/>
  <c r="BG53" i="8"/>
  <c r="AY53" i="8"/>
  <c r="AQ53" i="8"/>
  <c r="AI53" i="8"/>
  <c r="AA53" i="8"/>
  <c r="S53" i="8"/>
  <c r="K53" i="8"/>
  <c r="C53" i="8"/>
  <c r="AM90" i="8" s="1"/>
  <c r="AU53" i="8"/>
  <c r="AE53" i="8"/>
  <c r="O53" i="8"/>
  <c r="AT53" i="8"/>
  <c r="AD53" i="8"/>
  <c r="AM63" i="8" s="1"/>
  <c r="N53" i="8"/>
  <c r="BI53" i="8"/>
  <c r="AS53" i="8"/>
  <c r="AC53" i="8"/>
  <c r="M53" i="8"/>
  <c r="BH53" i="8"/>
  <c r="AR53" i="8"/>
  <c r="AB53" i="8"/>
  <c r="AM65" i="8" s="1"/>
  <c r="L53" i="8"/>
  <c r="AM81" i="8" s="1"/>
  <c r="BC53" i="8"/>
  <c r="AM53" i="8"/>
  <c r="AM54" i="8" s="1"/>
  <c r="W53" i="8"/>
  <c r="BB53" i="8"/>
  <c r="AL53" i="8"/>
  <c r="V53" i="8"/>
  <c r="BA53" i="8"/>
  <c r="AK53" i="8"/>
  <c r="AK54" i="8" s="1"/>
  <c r="U53" i="8"/>
  <c r="AZ53" i="8"/>
  <c r="AJ53" i="8"/>
  <c r="T53" i="8"/>
  <c r="D53" i="8"/>
  <c r="D25" i="6"/>
  <c r="E60" i="6"/>
  <c r="E61" i="6"/>
  <c r="O36" i="4" s="1"/>
  <c r="N36" i="4" s="1"/>
  <c r="D16" i="6"/>
  <c r="G5" i="6"/>
  <c r="E27" i="6"/>
  <c r="F28" i="6" s="1"/>
  <c r="E63" i="6" a="1"/>
  <c r="E63" i="6" s="1"/>
  <c r="E122" i="6"/>
  <c r="F12" i="6"/>
  <c r="F18" i="6"/>
  <c r="F36" i="6"/>
  <c r="G49" i="6"/>
  <c r="E92" i="6"/>
  <c r="E91" i="6" s="1"/>
  <c r="E171" i="6"/>
  <c r="E169" i="6"/>
  <c r="E167" i="6"/>
  <c r="E165" i="6"/>
  <c r="E156" i="6"/>
  <c r="E151" i="6"/>
  <c r="E142" i="6"/>
  <c r="E132" i="6"/>
  <c r="E135" i="6"/>
  <c r="E128" i="6"/>
  <c r="E150" i="6"/>
  <c r="E162" i="6"/>
  <c r="E153" i="6"/>
  <c r="E148" i="6"/>
  <c r="E125" i="6"/>
  <c r="E97" i="6"/>
  <c r="E149" i="6"/>
  <c r="E152" i="6"/>
  <c r="E144" i="6"/>
  <c r="E147" i="6"/>
  <c r="E99" i="6"/>
  <c r="E168" i="6"/>
  <c r="E155" i="6"/>
  <c r="E189" i="6"/>
  <c r="F185" i="6" s="1"/>
  <c r="E131" i="6"/>
  <c r="E98" i="6"/>
  <c r="E12" i="6"/>
  <c r="E15" i="6"/>
  <c r="F15" i="6" s="1"/>
  <c r="E96" i="6"/>
  <c r="E145" i="6"/>
  <c r="E29" i="6"/>
  <c r="E31" i="6"/>
  <c r="F32" i="6" s="1"/>
  <c r="E33" i="6"/>
  <c r="E74" i="6" s="1"/>
  <c r="E35" i="6"/>
  <c r="E37" i="6"/>
  <c r="E134" i="6" s="1"/>
  <c r="E39" i="6"/>
  <c r="E129" i="6"/>
  <c r="E214" i="6"/>
  <c r="E206" i="6"/>
  <c r="C4" i="8"/>
  <c r="E5" i="7"/>
  <c r="F4" i="7"/>
  <c r="H10" i="7"/>
  <c r="AN112" i="8"/>
  <c r="AN110" i="8"/>
  <c r="AN108" i="8"/>
  <c r="AN106" i="8"/>
  <c r="AN104" i="8"/>
  <c r="AN102" i="8"/>
  <c r="AN100" i="8"/>
  <c r="AN98" i="8"/>
  <c r="AN96" i="8"/>
  <c r="AN94" i="8"/>
  <c r="AN92" i="8"/>
  <c r="AN113" i="8"/>
  <c r="AN87" i="8"/>
  <c r="AN86" i="8"/>
  <c r="AN83" i="8"/>
  <c r="AN111" i="8"/>
  <c r="AN107" i="8"/>
  <c r="AN103" i="8"/>
  <c r="AN109" i="8"/>
  <c r="AN105" i="8"/>
  <c r="AN101" i="8"/>
  <c r="AN97" i="8"/>
  <c r="AN93" i="8"/>
  <c r="AN91" i="8"/>
  <c r="AN90" i="8"/>
  <c r="AN85" i="8"/>
  <c r="AN78" i="8"/>
  <c r="AN76" i="8"/>
  <c r="AN73" i="8"/>
  <c r="AN74" i="8"/>
  <c r="AN71" i="8"/>
  <c r="AN69" i="8"/>
  <c r="AN68" i="8"/>
  <c r="AN99" i="8"/>
  <c r="AN58" i="8"/>
  <c r="AN56" i="8"/>
  <c r="AN84" i="8"/>
  <c r="AN95" i="8"/>
  <c r="AN79" i="8"/>
  <c r="AN63" i="8"/>
  <c r="AN66" i="8"/>
  <c r="AN65" i="8"/>
  <c r="AN55" i="8"/>
  <c r="AO5" i="8"/>
  <c r="G53" i="8"/>
  <c r="AM86" i="8" s="1"/>
  <c r="E14" i="7"/>
  <c r="E187" i="6"/>
  <c r="E188" i="6"/>
  <c r="AM112" i="8"/>
  <c r="AM110" i="8"/>
  <c r="AM108" i="8"/>
  <c r="AM106" i="8"/>
  <c r="AM104" i="8"/>
  <c r="AM102" i="8"/>
  <c r="AM100" i="8"/>
  <c r="AM98" i="8"/>
  <c r="AM96" i="8"/>
  <c r="AM94" i="8"/>
  <c r="AM92" i="8"/>
  <c r="AM84" i="8"/>
  <c r="AM82" i="8"/>
  <c r="AM78" i="8"/>
  <c r="AM89" i="8"/>
  <c r="AM113" i="8"/>
  <c r="AM109" i="8"/>
  <c r="AM105" i="8"/>
  <c r="AM101" i="8"/>
  <c r="AM97" i="8"/>
  <c r="AM93" i="8"/>
  <c r="AM91" i="8"/>
  <c r="AM75" i="8"/>
  <c r="AM73" i="8"/>
  <c r="AM71" i="8"/>
  <c r="AM67" i="8"/>
  <c r="AM111" i="8"/>
  <c r="AM107" i="8"/>
  <c r="AM103" i="8"/>
  <c r="AM99" i="8"/>
  <c r="AM95" i="8"/>
  <c r="AM77" i="8"/>
  <c r="AM85" i="8"/>
  <c r="AM64" i="8"/>
  <c r="AM83" i="8"/>
  <c r="AM68" i="8"/>
  <c r="AM70" i="8"/>
  <c r="AM62" i="8"/>
  <c r="AM56" i="8"/>
  <c r="AM55" i="8"/>
  <c r="AM72" i="8"/>
  <c r="AM57" i="8"/>
  <c r="E53" i="8"/>
  <c r="AM88" i="8" s="1"/>
  <c r="AL113" i="8"/>
  <c r="AL111" i="8"/>
  <c r="AL109" i="8"/>
  <c r="AL107" i="8"/>
  <c r="AL105" i="8"/>
  <c r="AL103" i="8"/>
  <c r="AL101" i="8"/>
  <c r="AL99" i="8"/>
  <c r="AL97" i="8"/>
  <c r="AL95" i="8"/>
  <c r="AL93" i="8"/>
  <c r="AL82" i="8"/>
  <c r="AL90" i="8"/>
  <c r="AL89" i="8"/>
  <c r="AL91" i="8"/>
  <c r="AL71" i="8"/>
  <c r="AL112" i="8"/>
  <c r="AL108" i="8"/>
  <c r="AL104" i="8"/>
  <c r="AL100" i="8"/>
  <c r="AL96" i="8"/>
  <c r="AL92" i="8"/>
  <c r="AL110" i="8"/>
  <c r="AL106" i="8"/>
  <c r="AL102" i="8"/>
  <c r="AL98" i="8"/>
  <c r="AL94" i="8"/>
  <c r="AL81" i="8"/>
  <c r="AL77" i="8"/>
  <c r="AL63" i="8"/>
  <c r="AL59" i="8"/>
  <c r="AL76" i="8"/>
  <c r="AL69" i="8"/>
  <c r="AL83" i="8"/>
  <c r="AL65" i="8"/>
  <c r="AL62" i="8"/>
  <c r="AL56" i="8"/>
  <c r="AL54" i="8"/>
  <c r="AL66" i="8"/>
  <c r="AL67" i="8"/>
  <c r="AL61" i="8"/>
  <c r="AL70" i="8"/>
  <c r="AL72" i="8"/>
  <c r="F53" i="8"/>
  <c r="AN88" i="8" s="1"/>
  <c r="F149" i="6" l="1"/>
  <c r="F169" i="6"/>
  <c r="F129" i="6"/>
  <c r="F125" i="6"/>
  <c r="F145" i="6"/>
  <c r="F165" i="6"/>
  <c r="E215" i="6"/>
  <c r="F213" i="6"/>
  <c r="F30" i="6"/>
  <c r="U36" i="4"/>
  <c r="AJ56" i="8"/>
  <c r="AI55" i="8"/>
  <c r="AK57" i="8"/>
  <c r="AH54" i="8"/>
  <c r="E73" i="6"/>
  <c r="AE63" i="8"/>
  <c r="AK69" i="8"/>
  <c r="Z58" i="8"/>
  <c r="AH66" i="8"/>
  <c r="AG65" i="8"/>
  <c r="X56" i="8"/>
  <c r="AF64" i="8"/>
  <c r="V54" i="8"/>
  <c r="AI67" i="8"/>
  <c r="AC61" i="8"/>
  <c r="AB60" i="8"/>
  <c r="AJ68" i="8"/>
  <c r="AD62" i="8"/>
  <c r="Y57" i="8"/>
  <c r="AA59" i="8"/>
  <c r="W55" i="8"/>
  <c r="F146" i="6"/>
  <c r="O41" i="4"/>
  <c r="N45" i="4"/>
  <c r="O44" i="4"/>
  <c r="AG55" i="8"/>
  <c r="AK59" i="8"/>
  <c r="AJ58" i="8"/>
  <c r="AI57" i="8"/>
  <c r="AF54" i="8"/>
  <c r="AH56" i="8"/>
  <c r="AL80" i="8"/>
  <c r="AO112" i="8"/>
  <c r="AO110" i="8"/>
  <c r="AO108" i="8"/>
  <c r="AO106" i="8"/>
  <c r="AO104" i="8"/>
  <c r="AO102" i="8"/>
  <c r="AO100" i="8"/>
  <c r="AO98" i="8"/>
  <c r="AO96" i="8"/>
  <c r="AO94" i="8"/>
  <c r="AO92" i="8"/>
  <c r="AO90" i="8"/>
  <c r="AO88" i="8"/>
  <c r="AO113" i="8"/>
  <c r="AO111" i="8"/>
  <c r="AO109" i="8"/>
  <c r="AO107" i="8"/>
  <c r="AO105" i="8"/>
  <c r="AO103" i="8"/>
  <c r="AO101" i="8"/>
  <c r="AO99" i="8"/>
  <c r="AO97" i="8"/>
  <c r="AO95" i="8"/>
  <c r="AO93" i="8"/>
  <c r="AO91" i="8"/>
  <c r="AO85" i="8"/>
  <c r="AO83" i="8"/>
  <c r="AO81" i="8"/>
  <c r="AO86" i="8"/>
  <c r="AO84" i="8"/>
  <c r="AO80" i="8"/>
  <c r="AO74" i="8"/>
  <c r="AO72" i="8"/>
  <c r="AO70" i="8"/>
  <c r="AO68" i="8"/>
  <c r="AO89" i="8"/>
  <c r="AO82" i="8"/>
  <c r="AO71" i="8"/>
  <c r="AO69" i="8"/>
  <c r="AO67" i="8"/>
  <c r="AO61" i="8"/>
  <c r="AO60" i="8"/>
  <c r="AO65" i="8"/>
  <c r="AO87" i="8"/>
  <c r="AO78" i="8"/>
  <c r="AO76" i="8"/>
  <c r="AO73" i="8"/>
  <c r="AO64" i="8"/>
  <c r="AO57" i="8"/>
  <c r="AO79" i="8"/>
  <c r="AO77" i="8"/>
  <c r="AO75" i="8"/>
  <c r="AO55" i="8"/>
  <c r="AO63" i="8"/>
  <c r="AO59" i="8"/>
  <c r="AO58" i="8"/>
  <c r="AO56" i="8"/>
  <c r="AO62" i="8"/>
  <c r="AO54" i="8"/>
  <c r="AO66" i="8"/>
  <c r="AP5" i="8"/>
  <c r="AN57" i="8"/>
  <c r="F188" i="6"/>
  <c r="F187" i="6"/>
  <c r="E164" i="6"/>
  <c r="G56" i="6"/>
  <c r="E194" i="6"/>
  <c r="E49" i="6"/>
  <c r="E56" i="6" s="1"/>
  <c r="D42" i="6"/>
  <c r="D44" i="6" s="1"/>
  <c r="E26" i="6"/>
  <c r="AJ55" i="8"/>
  <c r="AK56" i="8"/>
  <c r="AI54" i="8"/>
  <c r="AM58" i="8"/>
  <c r="AM61" i="8"/>
  <c r="E95" i="6"/>
  <c r="E170" i="6"/>
  <c r="F171" i="6" s="1"/>
  <c r="G171" i="6" s="1"/>
  <c r="E166" i="6"/>
  <c r="AK87" i="8"/>
  <c r="AI85" i="8"/>
  <c r="AA77" i="8"/>
  <c r="AG83" i="8"/>
  <c r="AC79" i="8"/>
  <c r="AB78" i="8"/>
  <c r="W73" i="8"/>
  <c r="O65" i="8"/>
  <c r="AJ86" i="8"/>
  <c r="AF82" i="8"/>
  <c r="AD80" i="8"/>
  <c r="Z76" i="8"/>
  <c r="U71" i="8"/>
  <c r="S69" i="8"/>
  <c r="J60" i="8"/>
  <c r="T70" i="8"/>
  <c r="P66" i="8"/>
  <c r="AE81" i="8"/>
  <c r="R68" i="8"/>
  <c r="H58" i="8"/>
  <c r="N64" i="8"/>
  <c r="Y75" i="8"/>
  <c r="X74" i="8"/>
  <c r="V72" i="8"/>
  <c r="K61" i="8"/>
  <c r="D54" i="8"/>
  <c r="AH84" i="8"/>
  <c r="Q67" i="8"/>
  <c r="M63" i="8"/>
  <c r="E55" i="8"/>
  <c r="F56" i="8"/>
  <c r="L62" i="8"/>
  <c r="I59" i="8"/>
  <c r="G57" i="8"/>
  <c r="AI74" i="8"/>
  <c r="AA66" i="8"/>
  <c r="AG72" i="8"/>
  <c r="AD69" i="8"/>
  <c r="AE70" i="8"/>
  <c r="V61" i="8"/>
  <c r="AK76" i="8"/>
  <c r="AC68" i="8"/>
  <c r="AB67" i="8"/>
  <c r="T59" i="8"/>
  <c r="Z65" i="8"/>
  <c r="AF71" i="8"/>
  <c r="P55" i="8"/>
  <c r="AH73" i="8"/>
  <c r="O54" i="8"/>
  <c r="R57" i="8"/>
  <c r="Y64" i="8"/>
  <c r="W62" i="8"/>
  <c r="AJ75" i="8"/>
  <c r="S58" i="8"/>
  <c r="Q56" i="8"/>
  <c r="U60" i="8"/>
  <c r="X63" i="8"/>
  <c r="F166" i="6"/>
  <c r="F150" i="6"/>
  <c r="AI77" i="8"/>
  <c r="AE73" i="8"/>
  <c r="W65" i="8"/>
  <c r="AK79" i="8"/>
  <c r="AJ78" i="8"/>
  <c r="AH76" i="8"/>
  <c r="AC71" i="8"/>
  <c r="V64" i="8"/>
  <c r="R60" i="8"/>
  <c r="AG75" i="8"/>
  <c r="AD72" i="8"/>
  <c r="AA69" i="8"/>
  <c r="X66" i="8"/>
  <c r="P58" i="8"/>
  <c r="U63" i="8"/>
  <c r="T62" i="8"/>
  <c r="L54" i="8"/>
  <c r="AF74" i="8"/>
  <c r="O57" i="8"/>
  <c r="AB70" i="8"/>
  <c r="Q59" i="8"/>
  <c r="Y67" i="8"/>
  <c r="M55" i="8"/>
  <c r="Z68" i="8"/>
  <c r="S61" i="8"/>
  <c r="N56" i="8"/>
  <c r="AK77" i="8"/>
  <c r="AJ76" i="8"/>
  <c r="AE71" i="8"/>
  <c r="W63" i="8"/>
  <c r="AH74" i="8"/>
  <c r="AC69" i="8"/>
  <c r="Z66" i="8"/>
  <c r="Y65" i="8"/>
  <c r="R58" i="8"/>
  <c r="AD70" i="8"/>
  <c r="U61" i="8"/>
  <c r="P56" i="8"/>
  <c r="AI75" i="8"/>
  <c r="AF72" i="8"/>
  <c r="AG73" i="8"/>
  <c r="N54" i="8"/>
  <c r="S59" i="8"/>
  <c r="Q57" i="8"/>
  <c r="AA67" i="8"/>
  <c r="X64" i="8"/>
  <c r="V62" i="8"/>
  <c r="O55" i="8"/>
  <c r="AB68" i="8"/>
  <c r="T60" i="8"/>
  <c r="AI70" i="8"/>
  <c r="AA62" i="8"/>
  <c r="AG68" i="8"/>
  <c r="AF67" i="8"/>
  <c r="AB63" i="8"/>
  <c r="Y60" i="8"/>
  <c r="AJ71" i="8"/>
  <c r="AC64" i="8"/>
  <c r="W58" i="8"/>
  <c r="X59" i="8"/>
  <c r="V57" i="8"/>
  <c r="U56" i="8"/>
  <c r="AE66" i="8"/>
  <c r="S54" i="8"/>
  <c r="T55" i="8"/>
  <c r="AD65" i="8"/>
  <c r="AH69" i="8"/>
  <c r="Z61" i="8"/>
  <c r="AK72" i="8"/>
  <c r="AE61" i="8"/>
  <c r="AK67" i="8"/>
  <c r="AJ66" i="8"/>
  <c r="AI65" i="8"/>
  <c r="AH64" i="8"/>
  <c r="AF62" i="8"/>
  <c r="Y55" i="8"/>
  <c r="AG63" i="8"/>
  <c r="AD60" i="8"/>
  <c r="Z56" i="8"/>
  <c r="AB58" i="8"/>
  <c r="AA57" i="8"/>
  <c r="AC59" i="8"/>
  <c r="X54" i="8"/>
  <c r="AJ57" i="8"/>
  <c r="AH55" i="8"/>
  <c r="AG54" i="8"/>
  <c r="AI56" i="8"/>
  <c r="AK58" i="8"/>
  <c r="AE80" i="8"/>
  <c r="AH83" i="8"/>
  <c r="AK86" i="8"/>
  <c r="AJ85" i="8"/>
  <c r="AG82" i="8"/>
  <c r="AB77" i="8"/>
  <c r="AA76" i="8"/>
  <c r="S68" i="8"/>
  <c r="V71" i="8"/>
  <c r="Y74" i="8"/>
  <c r="AD79" i="8"/>
  <c r="AC78" i="8"/>
  <c r="U70" i="8"/>
  <c r="Q66" i="8"/>
  <c r="P65" i="8"/>
  <c r="AF81" i="8"/>
  <c r="X73" i="8"/>
  <c r="R67" i="8"/>
  <c r="L61" i="8"/>
  <c r="AI84" i="8"/>
  <c r="T69" i="8"/>
  <c r="W72" i="8"/>
  <c r="E54" i="8"/>
  <c r="O64" i="8"/>
  <c r="N63" i="8"/>
  <c r="M62" i="8"/>
  <c r="Z75" i="8"/>
  <c r="I58" i="8"/>
  <c r="F55" i="8"/>
  <c r="G56" i="8"/>
  <c r="K60" i="8"/>
  <c r="J59" i="8"/>
  <c r="H57" i="8"/>
  <c r="AE78" i="8"/>
  <c r="AK84" i="8"/>
  <c r="AA74" i="8"/>
  <c r="S66" i="8"/>
  <c r="AH81" i="8"/>
  <c r="Y72" i="8"/>
  <c r="AG80" i="8"/>
  <c r="Z73" i="8"/>
  <c r="U68" i="8"/>
  <c r="T67" i="8"/>
  <c r="N61" i="8"/>
  <c r="AF79" i="8"/>
  <c r="O62" i="8"/>
  <c r="L59" i="8"/>
  <c r="AI82" i="8"/>
  <c r="AJ83" i="8"/>
  <c r="W70" i="8"/>
  <c r="V69" i="8"/>
  <c r="Q64" i="8"/>
  <c r="X71" i="8"/>
  <c r="P63" i="8"/>
  <c r="R65" i="8"/>
  <c r="K58" i="8"/>
  <c r="I56" i="8"/>
  <c r="H55" i="8"/>
  <c r="G54" i="8"/>
  <c r="M60" i="8"/>
  <c r="AC76" i="8"/>
  <c r="J57" i="8"/>
  <c r="AD77" i="8"/>
  <c r="AB75" i="8"/>
  <c r="O35" i="4"/>
  <c r="N35" i="4" s="1"/>
  <c r="E59" i="6"/>
  <c r="AI62" i="8"/>
  <c r="AG60" i="8"/>
  <c r="AJ63" i="8"/>
  <c r="AH61" i="8"/>
  <c r="AC56" i="8"/>
  <c r="AE58" i="8"/>
  <c r="AD57" i="8"/>
  <c r="AK64" i="8"/>
  <c r="AF59" i="8"/>
  <c r="AA54" i="8"/>
  <c r="AB55" i="8"/>
  <c r="AL68" i="8"/>
  <c r="AL64" i="8"/>
  <c r="AL73" i="8"/>
  <c r="AM66" i="8"/>
  <c r="F38" i="6"/>
  <c r="AJ59" i="8"/>
  <c r="AI58" i="8"/>
  <c r="AF55" i="8"/>
  <c r="AE54" i="8"/>
  <c r="AK60" i="8"/>
  <c r="AH57" i="8"/>
  <c r="AG56" i="8"/>
  <c r="G188" i="6"/>
  <c r="G187" i="6"/>
  <c r="AH58" i="8"/>
  <c r="AF56" i="8"/>
  <c r="AI59" i="8"/>
  <c r="AD54" i="8"/>
  <c r="AG57" i="8"/>
  <c r="AJ60" i="8"/>
  <c r="AK61" i="8"/>
  <c r="AE55" i="8"/>
  <c r="AI83" i="8"/>
  <c r="AG81" i="8"/>
  <c r="AK85" i="8"/>
  <c r="AF80" i="8"/>
  <c r="W71" i="8"/>
  <c r="O63" i="8"/>
  <c r="Z74" i="8"/>
  <c r="U69" i="8"/>
  <c r="AJ84" i="8"/>
  <c r="AH82" i="8"/>
  <c r="AC77" i="8"/>
  <c r="J58" i="8"/>
  <c r="Y73" i="8"/>
  <c r="T68" i="8"/>
  <c r="S67" i="8"/>
  <c r="M61" i="8"/>
  <c r="H56" i="8"/>
  <c r="AB76" i="8"/>
  <c r="V70" i="8"/>
  <c r="R66" i="8"/>
  <c r="Q65" i="8"/>
  <c r="X72" i="8"/>
  <c r="F54" i="8"/>
  <c r="P64" i="8"/>
  <c r="N62" i="8"/>
  <c r="K59" i="8"/>
  <c r="AD78" i="8"/>
  <c r="L60" i="8"/>
  <c r="AE79" i="8"/>
  <c r="I57" i="8"/>
  <c r="AA75" i="8"/>
  <c r="G55" i="8"/>
  <c r="AL86" i="8"/>
  <c r="AM79" i="8"/>
  <c r="AN60" i="8"/>
  <c r="AN89" i="8"/>
  <c r="G4" i="7"/>
  <c r="F5" i="7"/>
  <c r="D4" i="8"/>
  <c r="D3" i="8" s="1"/>
  <c r="AE65" i="8"/>
  <c r="AK71" i="8"/>
  <c r="AC63" i="8"/>
  <c r="Z60" i="8"/>
  <c r="AD64" i="8"/>
  <c r="X58" i="8"/>
  <c r="AJ70" i="8"/>
  <c r="AG67" i="8"/>
  <c r="AB62" i="8"/>
  <c r="Y59" i="8"/>
  <c r="W57" i="8"/>
  <c r="AI69" i="8"/>
  <c r="AF66" i="8"/>
  <c r="T54" i="8"/>
  <c r="U55" i="8"/>
  <c r="AH68" i="8"/>
  <c r="AA61" i="8"/>
  <c r="V56" i="8"/>
  <c r="AK78" i="8"/>
  <c r="AA68" i="8"/>
  <c r="AJ77" i="8"/>
  <c r="AI76" i="8"/>
  <c r="AD71" i="8"/>
  <c r="AG74" i="8"/>
  <c r="AH75" i="8"/>
  <c r="AE72" i="8"/>
  <c r="AB69" i="8"/>
  <c r="Y66" i="8"/>
  <c r="X65" i="8"/>
  <c r="W64" i="8"/>
  <c r="AF73" i="8"/>
  <c r="M54" i="8"/>
  <c r="V63" i="8"/>
  <c r="U62" i="8"/>
  <c r="S60" i="8"/>
  <c r="R59" i="8"/>
  <c r="P57" i="8"/>
  <c r="Z67" i="8"/>
  <c r="N55" i="8"/>
  <c r="T61" i="8"/>
  <c r="Q58" i="8"/>
  <c r="O56" i="8"/>
  <c r="AC70" i="8"/>
  <c r="AK89" i="8"/>
  <c r="AA79" i="8"/>
  <c r="AJ88" i="8"/>
  <c r="AD82" i="8"/>
  <c r="AI87" i="8"/>
  <c r="AG85" i="8"/>
  <c r="AE83" i="8"/>
  <c r="W75" i="8"/>
  <c r="O67" i="8"/>
  <c r="R70" i="8"/>
  <c r="AB80" i="8"/>
  <c r="Z78" i="8"/>
  <c r="Y77" i="8"/>
  <c r="U73" i="8"/>
  <c r="AF84" i="8"/>
  <c r="X76" i="8"/>
  <c r="T72" i="8"/>
  <c r="K63" i="8"/>
  <c r="L64" i="8"/>
  <c r="Q69" i="8"/>
  <c r="M65" i="8"/>
  <c r="H60" i="8"/>
  <c r="AH86" i="8"/>
  <c r="P68" i="8"/>
  <c r="E57" i="8"/>
  <c r="V74" i="8"/>
  <c r="N66" i="8"/>
  <c r="AC81" i="8"/>
  <c r="C55" i="8"/>
  <c r="S71" i="8"/>
  <c r="I61" i="8"/>
  <c r="B54" i="8"/>
  <c r="F58" i="8"/>
  <c r="D56" i="8"/>
  <c r="J62" i="8"/>
  <c r="G59" i="8"/>
  <c r="AL58" i="8"/>
  <c r="AL75" i="8"/>
  <c r="AL87" i="8"/>
  <c r="AM59" i="8"/>
  <c r="AM87" i="8"/>
  <c r="AM76" i="8"/>
  <c r="AN62" i="8"/>
  <c r="AN61" i="8"/>
  <c r="AN82" i="8"/>
  <c r="D43" i="6" a="1"/>
  <c r="D43" i="6" s="1"/>
  <c r="AJ54" i="8"/>
  <c r="AK55" i="8"/>
  <c r="AK22" i="8" s="1" a="1"/>
  <c r="AK22" i="8" s="1"/>
  <c r="AI66" i="8"/>
  <c r="AH65" i="8"/>
  <c r="AD61" i="8"/>
  <c r="AB59" i="8"/>
  <c r="AJ67" i="8"/>
  <c r="AC60" i="8"/>
  <c r="AK68" i="8"/>
  <c r="AG64" i="8"/>
  <c r="AE62" i="8"/>
  <c r="X55" i="8"/>
  <c r="W54" i="8"/>
  <c r="Y56" i="8"/>
  <c r="AA58" i="8"/>
  <c r="AF63" i="8"/>
  <c r="Z57" i="8"/>
  <c r="AK62" i="8"/>
  <c r="AF57" i="8"/>
  <c r="AH59" i="8"/>
  <c r="AG58" i="8"/>
  <c r="AC54" i="8"/>
  <c r="AJ61" i="8"/>
  <c r="AE56" i="8"/>
  <c r="AI60" i="8"/>
  <c r="AD55" i="8"/>
  <c r="AE76" i="8"/>
  <c r="AK82" i="8"/>
  <c r="AA72" i="8"/>
  <c r="S64" i="8"/>
  <c r="AJ81" i="8"/>
  <c r="AD75" i="8"/>
  <c r="Y70" i="8"/>
  <c r="AH79" i="8"/>
  <c r="Q62" i="8"/>
  <c r="N59" i="8"/>
  <c r="AC74" i="8"/>
  <c r="Z71" i="8"/>
  <c r="AI80" i="8"/>
  <c r="AG78" i="8"/>
  <c r="AF77" i="8"/>
  <c r="R63" i="8"/>
  <c r="L57" i="8"/>
  <c r="V67" i="8"/>
  <c r="U66" i="8"/>
  <c r="T65" i="8"/>
  <c r="M58" i="8"/>
  <c r="K56" i="8"/>
  <c r="J55" i="8"/>
  <c r="P61" i="8"/>
  <c r="O60" i="8"/>
  <c r="AB73" i="8"/>
  <c r="X69" i="8"/>
  <c r="W68" i="8"/>
  <c r="I54" i="8"/>
  <c r="AI79" i="8"/>
  <c r="AK81" i="8"/>
  <c r="AE75" i="8"/>
  <c r="W67" i="8"/>
  <c r="Z70" i="8"/>
  <c r="AC73" i="8"/>
  <c r="AD74" i="8"/>
  <c r="AA71" i="8"/>
  <c r="AJ80" i="8"/>
  <c r="AH78" i="8"/>
  <c r="AG77" i="8"/>
  <c r="S63" i="8"/>
  <c r="T64" i="8"/>
  <c r="P60" i="8"/>
  <c r="R62" i="8"/>
  <c r="Q61" i="8"/>
  <c r="O59" i="8"/>
  <c r="M57" i="8"/>
  <c r="AB72" i="8"/>
  <c r="V66" i="8"/>
  <c r="U65" i="8"/>
  <c r="N58" i="8"/>
  <c r="L56" i="8"/>
  <c r="K55" i="8"/>
  <c r="AF76" i="8"/>
  <c r="Y69" i="8"/>
  <c r="J54" i="8"/>
  <c r="X68" i="8"/>
  <c r="F143" i="6"/>
  <c r="E17" i="6"/>
  <c r="E19" i="6" s="1"/>
  <c r="E22" i="6" s="1"/>
  <c r="U43" i="4"/>
  <c r="G19" i="4"/>
  <c r="F11" i="6"/>
  <c r="G17" i="6" s="1"/>
  <c r="AJ62" i="8"/>
  <c r="AH60" i="8"/>
  <c r="AK63" i="8"/>
  <c r="AF58" i="8"/>
  <c r="AI61" i="8"/>
  <c r="AE57" i="8"/>
  <c r="AG59" i="8"/>
  <c r="AB54" i="8"/>
  <c r="AD56" i="8"/>
  <c r="AC55" i="8"/>
  <c r="AL55" i="8"/>
  <c r="AL60" i="8"/>
  <c r="AL78" i="8"/>
  <c r="AL85" i="8"/>
  <c r="AM74" i="8"/>
  <c r="AN75" i="8"/>
  <c r="AN67" i="8"/>
  <c r="AN64" i="8"/>
  <c r="C3" i="8"/>
  <c r="F34" i="6"/>
  <c r="F74" i="6" s="1"/>
  <c r="E126" i="6"/>
  <c r="G189" i="6"/>
  <c r="H185" i="6" s="1"/>
  <c r="G169" i="6"/>
  <c r="G150" i="6"/>
  <c r="G144" i="6"/>
  <c r="G135" i="6"/>
  <c r="G133" i="6"/>
  <c r="G170" i="6"/>
  <c r="G124" i="6"/>
  <c r="G122" i="6"/>
  <c r="G162" i="6"/>
  <c r="G151" i="6"/>
  <c r="G149" i="6"/>
  <c r="G164" i="6"/>
  <c r="G134" i="6"/>
  <c r="G96" i="6"/>
  <c r="G85" i="6"/>
  <c r="G63" i="6" a="1"/>
  <c r="G63" i="6" s="1"/>
  <c r="G97" i="6"/>
  <c r="G153" i="6"/>
  <c r="G98" i="6"/>
  <c r="G92" i="6"/>
  <c r="G91" i="6" s="1"/>
  <c r="G26" i="6"/>
  <c r="G123" i="6" s="1"/>
  <c r="G38" i="6"/>
  <c r="G155" i="6" s="1"/>
  <c r="G36" i="6"/>
  <c r="G34" i="6"/>
  <c r="G131" i="6" s="1"/>
  <c r="G32" i="6"/>
  <c r="G129" i="6" s="1"/>
  <c r="G30" i="6"/>
  <c r="G147" i="6" s="1"/>
  <c r="G22" i="6"/>
  <c r="G39" i="6"/>
  <c r="G136" i="6" s="1"/>
  <c r="G35" i="6"/>
  <c r="G132" i="6" s="1"/>
  <c r="G33" i="6"/>
  <c r="G130" i="6" s="1"/>
  <c r="G16" i="6"/>
  <c r="G11" i="6"/>
  <c r="H17" i="6" s="1"/>
  <c r="G99" i="6"/>
  <c r="G29" i="6"/>
  <c r="G146" i="6" s="1"/>
  <c r="G13" i="6"/>
  <c r="G6" i="6"/>
  <c r="G27" i="6"/>
  <c r="G25" i="6"/>
  <c r="G15" i="6"/>
  <c r="G37" i="6"/>
  <c r="G154" i="6" s="1"/>
  <c r="G18" i="6"/>
  <c r="H5" i="6"/>
  <c r="G12" i="6"/>
  <c r="AK88" i="8"/>
  <c r="AE82" i="8"/>
  <c r="AJ87" i="8"/>
  <c r="AH85" i="8"/>
  <c r="AC80" i="8"/>
  <c r="AG84" i="8"/>
  <c r="S70" i="8"/>
  <c r="K62" i="8"/>
  <c r="AB79" i="8"/>
  <c r="AA78" i="8"/>
  <c r="Z77" i="8"/>
  <c r="V73" i="8"/>
  <c r="AI86" i="8"/>
  <c r="Y76" i="8"/>
  <c r="Q68" i="8"/>
  <c r="AF83" i="8"/>
  <c r="M64" i="8"/>
  <c r="R69" i="8"/>
  <c r="N65" i="8"/>
  <c r="O66" i="8"/>
  <c r="X75" i="8"/>
  <c r="U72" i="8"/>
  <c r="L63" i="8"/>
  <c r="P67" i="8"/>
  <c r="W74" i="8"/>
  <c r="T71" i="8"/>
  <c r="AD81" i="8"/>
  <c r="F57" i="8"/>
  <c r="J61" i="8"/>
  <c r="C54" i="8"/>
  <c r="G58" i="8"/>
  <c r="D55" i="8"/>
  <c r="I60" i="8"/>
  <c r="E56" i="8"/>
  <c r="H59" i="8"/>
  <c r="AI81" i="8"/>
  <c r="W69" i="8"/>
  <c r="O61" i="8"/>
  <c r="Z72" i="8"/>
  <c r="AC75" i="8"/>
  <c r="U67" i="8"/>
  <c r="AG79" i="8"/>
  <c r="P62" i="8"/>
  <c r="AJ82" i="8"/>
  <c r="AB74" i="8"/>
  <c r="Y71" i="8"/>
  <c r="AA73" i="8"/>
  <c r="V68" i="8"/>
  <c r="Q63" i="8"/>
  <c r="T66" i="8"/>
  <c r="S65" i="8"/>
  <c r="M59" i="8"/>
  <c r="L58" i="8"/>
  <c r="J56" i="8"/>
  <c r="I55" i="8"/>
  <c r="N60" i="8"/>
  <c r="K57" i="8"/>
  <c r="AK83" i="8"/>
  <c r="X70" i="8"/>
  <c r="R64" i="8"/>
  <c r="AD76" i="8"/>
  <c r="AE77" i="8"/>
  <c r="AH80" i="8"/>
  <c r="AF78" i="8"/>
  <c r="H54" i="8"/>
  <c r="AI72" i="8"/>
  <c r="AA64" i="8"/>
  <c r="AG70" i="8"/>
  <c r="AE68" i="8"/>
  <c r="X61" i="8"/>
  <c r="V59" i="8"/>
  <c r="AJ73" i="8"/>
  <c r="AD67" i="8"/>
  <c r="Y62" i="8"/>
  <c r="T57" i="8"/>
  <c r="AF69" i="8"/>
  <c r="R55" i="8"/>
  <c r="S56" i="8"/>
  <c r="U58" i="8"/>
  <c r="AH71" i="8"/>
  <c r="AC66" i="8"/>
  <c r="Q54" i="8"/>
  <c r="W60" i="8"/>
  <c r="Z63" i="8"/>
  <c r="AB65" i="8"/>
  <c r="AK74" i="8"/>
  <c r="AE67" i="8"/>
  <c r="AH70" i="8"/>
  <c r="AK73" i="8"/>
  <c r="Z62" i="8"/>
  <c r="AA63" i="8"/>
  <c r="X60" i="8"/>
  <c r="AF68" i="8"/>
  <c r="Y61" i="8"/>
  <c r="T56" i="8"/>
  <c r="V58" i="8"/>
  <c r="W59" i="8"/>
  <c r="U57" i="8"/>
  <c r="S55" i="8"/>
  <c r="AJ72" i="8"/>
  <c r="AB64" i="8"/>
  <c r="AD66" i="8"/>
  <c r="R54" i="8"/>
  <c r="AC65" i="8"/>
  <c r="AG69" i="8"/>
  <c r="AI71" i="8"/>
  <c r="E130" i="6"/>
  <c r="AL74" i="8"/>
  <c r="AL57" i="8"/>
  <c r="AL23" i="8" s="1" a="1"/>
  <c r="AL23" i="8" s="1"/>
  <c r="AL88" i="8"/>
  <c r="AL79" i="8"/>
  <c r="AM69" i="8"/>
  <c r="AM80" i="8"/>
  <c r="AN59" i="8"/>
  <c r="AN81" i="8"/>
  <c r="AN72" i="8"/>
  <c r="AN80" i="8"/>
  <c r="I10" i="7"/>
  <c r="E146" i="6"/>
  <c r="E154" i="6"/>
  <c r="E16" i="6"/>
  <c r="F17" i="6" s="1"/>
  <c r="F19" i="6" s="1"/>
  <c r="AI68" i="8"/>
  <c r="AE64" i="8"/>
  <c r="AG66" i="8"/>
  <c r="AF65" i="8"/>
  <c r="AD63" i="8"/>
  <c r="AJ69" i="8"/>
  <c r="U54" i="8"/>
  <c r="AH67" i="8"/>
  <c r="AB61" i="8"/>
  <c r="AA60" i="8"/>
  <c r="Z59" i="8"/>
  <c r="Y58" i="8"/>
  <c r="X57" i="8"/>
  <c r="V55" i="8"/>
  <c r="AC62" i="8"/>
  <c r="W56" i="8"/>
  <c r="AK70" i="8"/>
  <c r="AK80" i="8"/>
  <c r="AA70" i="8"/>
  <c r="S62" i="8"/>
  <c r="AD73" i="8"/>
  <c r="AJ79" i="8"/>
  <c r="AI78" i="8"/>
  <c r="AH77" i="8"/>
  <c r="Y68" i="8"/>
  <c r="T63" i="8"/>
  <c r="U64" i="8"/>
  <c r="AF75" i="8"/>
  <c r="AC72" i="8"/>
  <c r="V65" i="8"/>
  <c r="AE74" i="8"/>
  <c r="AB71" i="8"/>
  <c r="Q60" i="8"/>
  <c r="N57" i="8"/>
  <c r="R61" i="8"/>
  <c r="P59" i="8"/>
  <c r="M56" i="8"/>
  <c r="W66" i="8"/>
  <c r="K54" i="8"/>
  <c r="X67" i="8"/>
  <c r="L55" i="8"/>
  <c r="AG76" i="8"/>
  <c r="Z69" i="8"/>
  <c r="O58" i="8"/>
  <c r="AE69" i="8"/>
  <c r="W61" i="8"/>
  <c r="AH72" i="8"/>
  <c r="AK75" i="8"/>
  <c r="AC67" i="8"/>
  <c r="AF70" i="8"/>
  <c r="AD68" i="8"/>
  <c r="AI73" i="8"/>
  <c r="X62" i="8"/>
  <c r="AB66" i="8"/>
  <c r="Q55" i="8"/>
  <c r="R56" i="8"/>
  <c r="AG71" i="8"/>
  <c r="AJ74" i="8"/>
  <c r="U59" i="8"/>
  <c r="Z64" i="8"/>
  <c r="P54" i="8"/>
  <c r="T58" i="8"/>
  <c r="V60" i="8"/>
  <c r="Y63" i="8"/>
  <c r="AA65" i="8"/>
  <c r="S57" i="8"/>
  <c r="AI64" i="8"/>
  <c r="AD59" i="8"/>
  <c r="AF61" i="8"/>
  <c r="AG62" i="8"/>
  <c r="AB57" i="8"/>
  <c r="AK66" i="8"/>
  <c r="Z55" i="8"/>
  <c r="AH63" i="8"/>
  <c r="AJ65" i="8"/>
  <c r="AA56" i="8"/>
  <c r="AC58" i="8"/>
  <c r="AE60" i="8"/>
  <c r="Y54" i="8"/>
  <c r="AG61" i="8"/>
  <c r="AH62" i="8"/>
  <c r="AF60" i="8"/>
  <c r="AJ64" i="8"/>
  <c r="AI63" i="8"/>
  <c r="AK65" i="8"/>
  <c r="AB56" i="8"/>
  <c r="AA55" i="8"/>
  <c r="AD58" i="8"/>
  <c r="AC57" i="8"/>
  <c r="AE59" i="8"/>
  <c r="Z54" i="8"/>
  <c r="F123" i="6"/>
  <c r="E124" i="6"/>
  <c r="E136" i="6"/>
  <c r="R24" i="8" l="1" a="1"/>
  <c r="R24" i="8" s="1"/>
  <c r="R23" i="8" a="1"/>
  <c r="R23" i="8" s="1"/>
  <c r="R22" i="8" a="1"/>
  <c r="R22" i="8" s="1"/>
  <c r="R25" i="8" a="1"/>
  <c r="R25" i="8" s="1"/>
  <c r="R16" i="8" a="1"/>
  <c r="R16" i="8" s="1"/>
  <c r="R26" i="8" a="1"/>
  <c r="R26" i="8" s="1"/>
  <c r="R20" i="8" a="1"/>
  <c r="R20" i="8" s="1"/>
  <c r="R15" i="8" a="1"/>
  <c r="R15" i="8" s="1"/>
  <c r="G152" i="6"/>
  <c r="W23" i="8" a="1"/>
  <c r="W23" i="8" s="1"/>
  <c r="W22" i="8" a="1"/>
  <c r="W22" i="8" s="1"/>
  <c r="W24" i="8" a="1"/>
  <c r="W24" i="8" s="1"/>
  <c r="W25" i="8" a="1"/>
  <c r="W25" i="8" s="1"/>
  <c r="W20" i="8" a="1"/>
  <c r="W20" i="8" s="1"/>
  <c r="W26" i="8" a="1"/>
  <c r="W26" i="8" s="1"/>
  <c r="W15" i="8" a="1"/>
  <c r="W15" i="8" s="1"/>
  <c r="W16" i="8" a="1"/>
  <c r="W16" i="8" s="1"/>
  <c r="G156" i="6"/>
  <c r="AL20" i="8" a="1"/>
  <c r="AL20" i="8" s="1"/>
  <c r="F155" i="6"/>
  <c r="F135" i="6"/>
  <c r="D25" i="8" a="1"/>
  <c r="D25" i="8" s="1"/>
  <c r="D24" i="8" a="1"/>
  <c r="D24" i="8" s="1"/>
  <c r="D23" i="8" a="1"/>
  <c r="D23" i="8" s="1"/>
  <c r="D26" i="8" a="1"/>
  <c r="D26" i="8" s="1"/>
  <c r="D20" i="8" a="1"/>
  <c r="D20" i="8" s="1"/>
  <c r="D15" i="8" a="1"/>
  <c r="D15" i="8" s="1"/>
  <c r="D22" i="8" a="1"/>
  <c r="D22" i="8" s="1"/>
  <c r="D16" i="8" a="1"/>
  <c r="D16" i="8" s="1"/>
  <c r="G95" i="6"/>
  <c r="G127" i="6"/>
  <c r="G166" i="6"/>
  <c r="G167" i="6"/>
  <c r="AL22" i="8" a="1"/>
  <c r="AL22" i="8" s="1"/>
  <c r="D45" i="6"/>
  <c r="T26" i="8" a="1"/>
  <c r="T26" i="8" s="1"/>
  <c r="T20" i="8" a="1"/>
  <c r="T20" i="8" s="1"/>
  <c r="T15" i="8" a="1"/>
  <c r="T15" i="8" s="1"/>
  <c r="T24" i="8" a="1"/>
  <c r="T24" i="8" s="1"/>
  <c r="T22" i="8" a="1"/>
  <c r="T22" i="8" s="1"/>
  <c r="T25" i="8" a="1"/>
  <c r="T25" i="8" s="1"/>
  <c r="T23" i="8" a="1"/>
  <c r="T23" i="8" s="1"/>
  <c r="T16" i="8" a="1"/>
  <c r="T16" i="8" s="1"/>
  <c r="F22" i="8" a="1"/>
  <c r="F22" i="8" s="1"/>
  <c r="F25" i="8" a="1"/>
  <c r="F25" i="8" s="1"/>
  <c r="F23" i="8" a="1"/>
  <c r="F23" i="8" s="1"/>
  <c r="F26" i="8" a="1"/>
  <c r="F26" i="8" s="1"/>
  <c r="F24" i="8" a="1"/>
  <c r="F24" i="8" s="1"/>
  <c r="F20" i="8" a="1"/>
  <c r="F20" i="8" s="1"/>
  <c r="F16" i="8" a="1"/>
  <c r="F16" i="8" s="1"/>
  <c r="F15" i="8" a="1"/>
  <c r="F15" i="8" s="1"/>
  <c r="V14" i="8" a="1"/>
  <c r="V14" i="8" s="1"/>
  <c r="F14" i="8" a="1"/>
  <c r="F14" i="8" s="1"/>
  <c r="AK14" i="8" a="1"/>
  <c r="AK14" i="8" s="1"/>
  <c r="AF14" i="8" a="1"/>
  <c r="AF14" i="8" s="1"/>
  <c r="AA14" i="8" a="1"/>
  <c r="AA14" i="8" s="1"/>
  <c r="U14" i="8" a="1"/>
  <c r="U14" i="8" s="1"/>
  <c r="P14" i="8" a="1"/>
  <c r="P14" i="8" s="1"/>
  <c r="K14" i="8" a="1"/>
  <c r="K14" i="8" s="1"/>
  <c r="E14" i="8" a="1"/>
  <c r="E14" i="8" s="1"/>
  <c r="Z14" i="8" a="1"/>
  <c r="Z14" i="8" s="1"/>
  <c r="J14" i="8" a="1"/>
  <c r="J14" i="8" s="1"/>
  <c r="AG14" i="8" a="1"/>
  <c r="AG14" i="8" s="1"/>
  <c r="AB14" i="8" a="1"/>
  <c r="AB14" i="8" s="1"/>
  <c r="W14" i="8" a="1"/>
  <c r="W14" i="8" s="1"/>
  <c r="Q14" i="8" a="1"/>
  <c r="Q14" i="8" s="1"/>
  <c r="L14" i="8" a="1"/>
  <c r="L14" i="8" s="1"/>
  <c r="G14" i="8" a="1"/>
  <c r="G14" i="8" s="1"/>
  <c r="AD14" i="8" a="1"/>
  <c r="AD14" i="8" s="1"/>
  <c r="AC14" i="8" a="1"/>
  <c r="AC14" i="8" s="1"/>
  <c r="S14" i="8" a="1"/>
  <c r="S14" i="8" s="1"/>
  <c r="H14" i="8" a="1"/>
  <c r="H14" i="8" s="1"/>
  <c r="R14" i="8" a="1"/>
  <c r="R14" i="8" s="1"/>
  <c r="AJ14" i="8" a="1"/>
  <c r="AJ14" i="8" s="1"/>
  <c r="Y14" i="8" a="1"/>
  <c r="Y14" i="8" s="1"/>
  <c r="O14" i="8" a="1"/>
  <c r="O14" i="8" s="1"/>
  <c r="D14" i="8" a="1"/>
  <c r="D14" i="8" s="1"/>
  <c r="N14" i="8" a="1"/>
  <c r="N14" i="8" s="1"/>
  <c r="AH14" i="8" a="1"/>
  <c r="AH14" i="8" s="1"/>
  <c r="B14" i="8" a="1"/>
  <c r="B14" i="8" s="1"/>
  <c r="AE14" i="8" a="1"/>
  <c r="AE14" i="8" s="1"/>
  <c r="T14" i="8" a="1"/>
  <c r="T14" i="8" s="1"/>
  <c r="I14" i="8" a="1"/>
  <c r="I14" i="8" s="1"/>
  <c r="AI14" i="8" a="1"/>
  <c r="AI14" i="8" s="1"/>
  <c r="X14" i="8" a="1"/>
  <c r="X14" i="8" s="1"/>
  <c r="M14" i="8" a="1"/>
  <c r="M14" i="8" s="1"/>
  <c r="C14" i="8" a="1"/>
  <c r="C14" i="8" s="1"/>
  <c r="O34" i="4"/>
  <c r="E72" i="6"/>
  <c r="N23" i="8" a="1"/>
  <c r="N23" i="8" s="1"/>
  <c r="N22" i="8" a="1"/>
  <c r="N22" i="8" s="1"/>
  <c r="N24" i="8" a="1"/>
  <c r="N24" i="8" s="1"/>
  <c r="N16" i="8" a="1"/>
  <c r="N16" i="8" s="1"/>
  <c r="N20" i="8" a="1"/>
  <c r="N20" i="8" s="1"/>
  <c r="N15" i="8" a="1"/>
  <c r="N15" i="8" s="1"/>
  <c r="N25" i="8" a="1"/>
  <c r="N25" i="8" s="1"/>
  <c r="N26" i="8" a="1"/>
  <c r="N26" i="8" s="1"/>
  <c r="AK24" i="8" a="1"/>
  <c r="AK24" i="8" s="1"/>
  <c r="E43" i="6" a="1"/>
  <c r="E43" i="6" s="1"/>
  <c r="E42" i="6"/>
  <c r="F27" i="6"/>
  <c r="E143" i="6"/>
  <c r="E157" i="6" s="1"/>
  <c r="E158" i="6" s="1"/>
  <c r="E163" i="6"/>
  <c r="E172" i="6" s="1"/>
  <c r="E173" i="6" s="1"/>
  <c r="E123" i="6"/>
  <c r="E137" i="6" s="1"/>
  <c r="E138" i="6" s="1"/>
  <c r="E175" i="6" s="1" a="1"/>
  <c r="E175" i="6" s="1"/>
  <c r="F49" i="6"/>
  <c r="F56" i="6" s="1"/>
  <c r="AF24" i="8" a="1"/>
  <c r="AF24" i="8" s="1"/>
  <c r="AF22" i="8" a="1"/>
  <c r="AF22" i="8" s="1"/>
  <c r="AF23" i="8" a="1"/>
  <c r="AF23" i="8" s="1"/>
  <c r="AF25" i="8" a="1"/>
  <c r="AF25" i="8" s="1"/>
  <c r="AF26" i="8" a="1"/>
  <c r="AF26" i="8" s="1"/>
  <c r="AF20" i="8" a="1"/>
  <c r="AF20" i="8" s="1"/>
  <c r="AF15" i="8" a="1"/>
  <c r="AF15" i="8" s="1"/>
  <c r="AF16" i="8" a="1"/>
  <c r="AF16" i="8" s="1"/>
  <c r="AM23" i="8" a="1"/>
  <c r="AM23" i="8" s="1"/>
  <c r="AN14" i="8" a="1"/>
  <c r="AN14" i="8" s="1"/>
  <c r="AN24" i="8" a="1"/>
  <c r="AN24" i="8" s="1"/>
  <c r="U35" i="4"/>
  <c r="L26" i="8" a="1"/>
  <c r="L26" i="8" s="1"/>
  <c r="L25" i="8" a="1"/>
  <c r="L25" i="8" s="1"/>
  <c r="L24" i="8" a="1"/>
  <c r="L24" i="8" s="1"/>
  <c r="L22" i="8" a="1"/>
  <c r="L22" i="8" s="1"/>
  <c r="L23" i="8" a="1"/>
  <c r="L23" i="8" s="1"/>
  <c r="L15" i="8" a="1"/>
  <c r="L15" i="8" s="1"/>
  <c r="L16" i="8" a="1"/>
  <c r="L16" i="8" s="1"/>
  <c r="L20" i="8" a="1"/>
  <c r="L20" i="8" s="1"/>
  <c r="AK23" i="8" a="1"/>
  <c r="AK23" i="8" s="1"/>
  <c r="AP113" i="8"/>
  <c r="AP112" i="8"/>
  <c r="AP110" i="8"/>
  <c r="AP108" i="8"/>
  <c r="AP106" i="8"/>
  <c r="AP104" i="8"/>
  <c r="AP102" i="8"/>
  <c r="AP100" i="8"/>
  <c r="AP98" i="8"/>
  <c r="AP96" i="8"/>
  <c r="AP94" i="8"/>
  <c r="AP92" i="8"/>
  <c r="AP111" i="8"/>
  <c r="AP109" i="8"/>
  <c r="AP107" i="8"/>
  <c r="AP105" i="8"/>
  <c r="AP103" i="8"/>
  <c r="AP101" i="8"/>
  <c r="AP99" i="8"/>
  <c r="AP97" i="8"/>
  <c r="AP95" i="8"/>
  <c r="AP93" i="8"/>
  <c r="AP91" i="8"/>
  <c r="AP85" i="8"/>
  <c r="AP83" i="8"/>
  <c r="AP80" i="8"/>
  <c r="AP74" i="8"/>
  <c r="AP72" i="8"/>
  <c r="AP70" i="8"/>
  <c r="AP87" i="8"/>
  <c r="AP84" i="8"/>
  <c r="AP82" i="8"/>
  <c r="AP86" i="8"/>
  <c r="AP68" i="8"/>
  <c r="AP67" i="8"/>
  <c r="AP61" i="8"/>
  <c r="AP60" i="8"/>
  <c r="AP58" i="8"/>
  <c r="AP65" i="8"/>
  <c r="AP66" i="8"/>
  <c r="AP62" i="8"/>
  <c r="AP90" i="8"/>
  <c r="AP89" i="8"/>
  <c r="AP88" i="8"/>
  <c r="AP71" i="8"/>
  <c r="AP69" i="8"/>
  <c r="AP57" i="8"/>
  <c r="AP79" i="8"/>
  <c r="AP77" i="8"/>
  <c r="AP75" i="8"/>
  <c r="AP55" i="8"/>
  <c r="AP81" i="8"/>
  <c r="AP78" i="8"/>
  <c r="AP76" i="8"/>
  <c r="AP73" i="8"/>
  <c r="AP59" i="8"/>
  <c r="AP63" i="8"/>
  <c r="AP56" i="8"/>
  <c r="AP54" i="8"/>
  <c r="AP64" i="8"/>
  <c r="AQ5" i="8"/>
  <c r="AL16" i="8" a="1"/>
  <c r="AL16" i="8" s="1"/>
  <c r="S23" i="8" a="1"/>
  <c r="S23" i="8" s="1"/>
  <c r="S22" i="8" a="1"/>
  <c r="S22" i="8" s="1"/>
  <c r="S26" i="8" a="1"/>
  <c r="S26" i="8" s="1"/>
  <c r="S16" i="8" a="1"/>
  <c r="S16" i="8" s="1"/>
  <c r="S24" i="8" a="1"/>
  <c r="S24" i="8" s="1"/>
  <c r="S20" i="8" a="1"/>
  <c r="S20" i="8" s="1"/>
  <c r="S25" i="8" a="1"/>
  <c r="S25" i="8" s="1"/>
  <c r="S15" i="8" a="1"/>
  <c r="S15" i="8" s="1"/>
  <c r="AK16" i="8" a="1"/>
  <c r="AK16" i="8" s="1"/>
  <c r="E70" i="6"/>
  <c r="F147" i="6"/>
  <c r="F127" i="6"/>
  <c r="F167" i="6"/>
  <c r="AM16" i="8" a="1"/>
  <c r="AM16" i="8" s="1"/>
  <c r="AN25" i="8" a="1"/>
  <c r="AN25" i="8" s="1"/>
  <c r="AO24" i="8" a="1"/>
  <c r="AO24" i="8" s="1"/>
  <c r="AO22" i="8" a="1"/>
  <c r="AO22" i="8" s="1"/>
  <c r="AO23" i="8" a="1"/>
  <c r="AO23" i="8" s="1"/>
  <c r="AO25" i="8" a="1"/>
  <c r="AO25" i="8" s="1"/>
  <c r="AO20" i="8" a="1"/>
  <c r="AO20" i="8" s="1"/>
  <c r="AO15" i="8" a="1"/>
  <c r="AO15" i="8" s="1"/>
  <c r="AO26" i="8" a="1"/>
  <c r="AO26" i="8" s="1"/>
  <c r="AO16" i="8" a="1"/>
  <c r="AO16" i="8" s="1"/>
  <c r="AO14" i="8" a="1"/>
  <c r="AO14" i="8" s="1"/>
  <c r="V25" i="8" a="1"/>
  <c r="V25" i="8" s="1"/>
  <c r="V24" i="8" a="1"/>
  <c r="V24" i="8" s="1"/>
  <c r="V22" i="8" a="1"/>
  <c r="V22" i="8" s="1"/>
  <c r="V23" i="8" a="1"/>
  <c r="V23" i="8" s="1"/>
  <c r="V26" i="8" a="1"/>
  <c r="V26" i="8" s="1"/>
  <c r="V20" i="8" a="1"/>
  <c r="V20" i="8" s="1"/>
  <c r="V15" i="8" a="1"/>
  <c r="V15" i="8" s="1"/>
  <c r="V16" i="8" a="1"/>
  <c r="V16" i="8" s="1"/>
  <c r="AM15" i="8" a="1"/>
  <c r="AM15" i="8" s="1"/>
  <c r="AM22" i="8" a="1"/>
  <c r="AM22" i="8" s="1"/>
  <c r="AM25" i="8" a="1"/>
  <c r="AM25" i="8" s="1"/>
  <c r="AN16" i="8" a="1"/>
  <c r="AN16" i="8" s="1"/>
  <c r="AN26" i="8" a="1"/>
  <c r="AN26" i="8" s="1"/>
  <c r="H189" i="6"/>
  <c r="I185" i="6" s="1"/>
  <c r="H171" i="6"/>
  <c r="H165" i="6"/>
  <c r="H163" i="6"/>
  <c r="H170" i="6"/>
  <c r="H145" i="6"/>
  <c r="H143" i="6"/>
  <c r="H136" i="6"/>
  <c r="H131" i="6"/>
  <c r="H156" i="6"/>
  <c r="H155" i="6"/>
  <c r="H151" i="6"/>
  <c r="H153" i="6"/>
  <c r="H134" i="6"/>
  <c r="H150" i="6"/>
  <c r="H154" i="6"/>
  <c r="H148" i="6"/>
  <c r="H123" i="6"/>
  <c r="H99" i="6"/>
  <c r="H96" i="6"/>
  <c r="H63" i="6" a="1"/>
  <c r="H63" i="6" s="1"/>
  <c r="H28" i="6"/>
  <c r="H26" i="6"/>
  <c r="H92" i="6"/>
  <c r="H91" i="6" s="1"/>
  <c r="H38" i="6"/>
  <c r="H36" i="6"/>
  <c r="H34" i="6"/>
  <c r="H32" i="6"/>
  <c r="H30" i="6"/>
  <c r="H22" i="6"/>
  <c r="H18" i="6"/>
  <c r="H16" i="6"/>
  <c r="H6" i="6"/>
  <c r="H98" i="6"/>
  <c r="H85" i="6"/>
  <c r="H35" i="6"/>
  <c r="H124" i="6"/>
  <c r="H13" i="6"/>
  <c r="H11" i="6"/>
  <c r="I17" i="6" s="1"/>
  <c r="H39" i="6"/>
  <c r="H144" i="6"/>
  <c r="H125" i="6"/>
  <c r="H97" i="6"/>
  <c r="H27" i="6"/>
  <c r="H164" i="6" s="1"/>
  <c r="H31" i="6"/>
  <c r="H25" i="6"/>
  <c r="H15" i="6"/>
  <c r="H37" i="6"/>
  <c r="H12" i="6"/>
  <c r="I5" i="6"/>
  <c r="H33" i="6"/>
  <c r="G143" i="6"/>
  <c r="B22" i="8" a="1"/>
  <c r="B22" i="8" s="1"/>
  <c r="B26" i="8" a="1"/>
  <c r="B26" i="8" s="1"/>
  <c r="B24" i="8" a="1"/>
  <c r="B24" i="8" s="1"/>
  <c r="B16" i="8" a="1"/>
  <c r="B16" i="8" s="1"/>
  <c r="B25" i="8" a="1"/>
  <c r="B25" i="8" s="1"/>
  <c r="B20" i="8" a="1"/>
  <c r="B20" i="8" s="1"/>
  <c r="B23" i="8" a="1"/>
  <c r="B23" i="8" s="1"/>
  <c r="B15" i="8" a="1"/>
  <c r="B15" i="8" s="1"/>
  <c r="G70" i="6"/>
  <c r="AH26" i="8" a="1"/>
  <c r="AH26" i="8" s="1"/>
  <c r="AH25" i="8" a="1"/>
  <c r="AH25" i="8" s="1"/>
  <c r="AH23" i="8" a="1"/>
  <c r="AH23" i="8" s="1"/>
  <c r="AH16" i="8" a="1"/>
  <c r="AH16" i="8" s="1"/>
  <c r="AH20" i="8" a="1"/>
  <c r="AH20" i="8" s="1"/>
  <c r="AH24" i="8" a="1"/>
  <c r="AH24" i="8" s="1"/>
  <c r="AH22" i="8" a="1"/>
  <c r="AH22" i="8" s="1"/>
  <c r="AH15" i="8" a="1"/>
  <c r="AH15" i="8" s="1"/>
  <c r="AM26" i="8" a="1"/>
  <c r="AM26" i="8" s="1"/>
  <c r="F73" i="6"/>
  <c r="Y26" i="8" a="1"/>
  <c r="Y26" i="8" s="1"/>
  <c r="Y25" i="8" a="1"/>
  <c r="Y25" i="8" s="1"/>
  <c r="Y20" i="8" a="1"/>
  <c r="Y20" i="8" s="1"/>
  <c r="Y15" i="8" a="1"/>
  <c r="Y15" i="8" s="1"/>
  <c r="Y23" i="8" a="1"/>
  <c r="Y23" i="8" s="1"/>
  <c r="Y24" i="8" a="1"/>
  <c r="Y24" i="8" s="1"/>
  <c r="Y22" i="8" a="1"/>
  <c r="Y22" i="8" s="1"/>
  <c r="Y16" i="8" a="1"/>
  <c r="Y16" i="8" s="1"/>
  <c r="K26" i="8" a="1"/>
  <c r="K26" i="8" s="1"/>
  <c r="K22" i="8" a="1"/>
  <c r="K22" i="8" s="1"/>
  <c r="K24" i="8" a="1"/>
  <c r="K24" i="8" s="1"/>
  <c r="K25" i="8" a="1"/>
  <c r="K25" i="8" s="1"/>
  <c r="K23" i="8" a="1"/>
  <c r="K23" i="8" s="1"/>
  <c r="K20" i="8" a="1"/>
  <c r="K20" i="8" s="1"/>
  <c r="K15" i="8" a="1"/>
  <c r="K15" i="8" s="1"/>
  <c r="K16" i="8" a="1"/>
  <c r="K16" i="8" s="1"/>
  <c r="U26" i="8" a="1"/>
  <c r="U26" i="8" s="1"/>
  <c r="U25" i="8" a="1"/>
  <c r="U25" i="8" s="1"/>
  <c r="U24" i="8" a="1"/>
  <c r="U24" i="8" s="1"/>
  <c r="U22" i="8" a="1"/>
  <c r="U22" i="8" s="1"/>
  <c r="U23" i="8" a="1"/>
  <c r="U23" i="8" s="1"/>
  <c r="U20" i="8" a="1"/>
  <c r="U20" i="8" s="1"/>
  <c r="U15" i="8" a="1"/>
  <c r="U15" i="8" s="1"/>
  <c r="U16" i="8" a="1"/>
  <c r="U16" i="8" s="1"/>
  <c r="J10" i="7"/>
  <c r="C26" i="8" a="1"/>
  <c r="C26" i="8" s="1"/>
  <c r="C25" i="8" a="1"/>
  <c r="C25" i="8" s="1"/>
  <c r="C24" i="8" a="1"/>
  <c r="C24" i="8" s="1"/>
  <c r="C22" i="8" a="1"/>
  <c r="C22" i="8" s="1"/>
  <c r="C16" i="8" a="1"/>
  <c r="C16" i="8" s="1"/>
  <c r="C20" i="8" a="1"/>
  <c r="C20" i="8" s="1"/>
  <c r="C23" i="8" a="1"/>
  <c r="C23" i="8" s="1"/>
  <c r="C15" i="8" a="1"/>
  <c r="C15" i="8" s="1"/>
  <c r="AC26" i="8" a="1"/>
  <c r="AC26" i="8" s="1"/>
  <c r="AC16" i="8" a="1"/>
  <c r="AC16" i="8" s="1"/>
  <c r="AC24" i="8" a="1"/>
  <c r="AC24" i="8" s="1"/>
  <c r="AC22" i="8" a="1"/>
  <c r="AC22" i="8" s="1"/>
  <c r="AC20" i="8" a="1"/>
  <c r="AC20" i="8" s="1"/>
  <c r="AC25" i="8" a="1"/>
  <c r="AC25" i="8" s="1"/>
  <c r="AC23" i="8" a="1"/>
  <c r="AC23" i="8" s="1"/>
  <c r="AC15" i="8" a="1"/>
  <c r="AC15" i="8" s="1"/>
  <c r="AL14" i="8" a="1"/>
  <c r="AL14" i="8" s="1"/>
  <c r="AD26" i="8" a="1"/>
  <c r="AD26" i="8" s="1"/>
  <c r="AD25" i="8" a="1"/>
  <c r="AD25" i="8" s="1"/>
  <c r="AD24" i="8" a="1"/>
  <c r="AD24" i="8" s="1"/>
  <c r="AD22" i="8" a="1"/>
  <c r="AD22" i="8" s="1"/>
  <c r="AD16" i="8" a="1"/>
  <c r="AD16" i="8" s="1"/>
  <c r="AD20" i="8" a="1"/>
  <c r="AD20" i="8" s="1"/>
  <c r="AD15" i="8" a="1"/>
  <c r="AD15" i="8" s="1"/>
  <c r="AD23" i="8" a="1"/>
  <c r="AD23" i="8" s="1"/>
  <c r="E23" i="8" a="1"/>
  <c r="E23" i="8" s="1"/>
  <c r="E24" i="8" a="1"/>
  <c r="E24" i="8" s="1"/>
  <c r="E22" i="8" a="1"/>
  <c r="E22" i="8" s="1"/>
  <c r="E25" i="8" a="1"/>
  <c r="E25" i="8" s="1"/>
  <c r="E26" i="8" a="1"/>
  <c r="E26" i="8" s="1"/>
  <c r="E20" i="8" a="1"/>
  <c r="E20" i="8" s="1"/>
  <c r="E15" i="8" a="1"/>
  <c r="E15" i="8" s="1"/>
  <c r="E16" i="8" a="1"/>
  <c r="E16" i="8" s="1"/>
  <c r="AK15" i="8" a="1"/>
  <c r="AK15" i="8" s="1"/>
  <c r="AK20" i="8" a="1"/>
  <c r="AK20" i="8" s="1"/>
  <c r="H49" i="6"/>
  <c r="H56" i="6" s="1"/>
  <c r="G74" i="6"/>
  <c r="G142" i="6"/>
  <c r="AL25" i="8" a="1"/>
  <c r="AL25" i="8" s="1"/>
  <c r="AK25" i="8" a="1"/>
  <c r="AK25" i="8" s="1"/>
  <c r="O22" i="8" a="1"/>
  <c r="O22" i="8" s="1"/>
  <c r="O25" i="8" a="1"/>
  <c r="O25" i="8" s="1"/>
  <c r="O20" i="8" a="1"/>
  <c r="O20" i="8" s="1"/>
  <c r="O15" i="8" a="1"/>
  <c r="O15" i="8" s="1"/>
  <c r="O23" i="8" a="1"/>
  <c r="O23" i="8" s="1"/>
  <c r="O26" i="8" a="1"/>
  <c r="O26" i="8" s="1"/>
  <c r="O24" i="8" a="1"/>
  <c r="O24" i="8" s="1"/>
  <c r="O16" i="8" a="1"/>
  <c r="O16" i="8" s="1"/>
  <c r="AI26" i="8" a="1"/>
  <c r="AI26" i="8" s="1"/>
  <c r="AI25" i="8" a="1"/>
  <c r="AI25" i="8" s="1"/>
  <c r="AI24" i="8" a="1"/>
  <c r="AI24" i="8" s="1"/>
  <c r="AI23" i="8" a="1"/>
  <c r="AI23" i="8" s="1"/>
  <c r="AI16" i="8" a="1"/>
  <c r="AI16" i="8" s="1"/>
  <c r="AI20" i="8" a="1"/>
  <c r="AI20" i="8" s="1"/>
  <c r="AI22" i="8" a="1"/>
  <c r="AI22" i="8" s="1"/>
  <c r="AI15" i="8" a="1"/>
  <c r="AI15" i="8" s="1"/>
  <c r="N44" i="4"/>
  <c r="O19" i="4"/>
  <c r="AM24" i="8" a="1"/>
  <c r="AM24" i="8" s="1"/>
  <c r="AN23" i="8" a="1"/>
  <c r="AN23" i="8" s="1"/>
  <c r="AL24" i="8" a="1"/>
  <c r="AL24" i="8" s="1"/>
  <c r="I24" i="8" a="1"/>
  <c r="I24" i="8" s="1"/>
  <c r="I23" i="8" a="1"/>
  <c r="I23" i="8" s="1"/>
  <c r="I25" i="8" a="1"/>
  <c r="I25" i="8" s="1"/>
  <c r="I20" i="8" a="1"/>
  <c r="I20" i="8" s="1"/>
  <c r="I15" i="8" a="1"/>
  <c r="I15" i="8" s="1"/>
  <c r="I26" i="8" a="1"/>
  <c r="I26" i="8" s="1"/>
  <c r="I22" i="8" a="1"/>
  <c r="I22" i="8" s="1"/>
  <c r="I16" i="8" a="1"/>
  <c r="I16" i="8" s="1"/>
  <c r="H4" i="7"/>
  <c r="G5" i="7"/>
  <c r="E4" i="8"/>
  <c r="AL26" i="8" a="1"/>
  <c r="AL26" i="8" s="1"/>
  <c r="AE25" i="8" a="1"/>
  <c r="AE25" i="8" s="1"/>
  <c r="AE24" i="8" a="1"/>
  <c r="AE24" i="8" s="1"/>
  <c r="AE23" i="8" a="1"/>
  <c r="AE23" i="8" s="1"/>
  <c r="AE22" i="8" a="1"/>
  <c r="AE22" i="8" s="1"/>
  <c r="AE26" i="8" a="1"/>
  <c r="AE26" i="8" s="1"/>
  <c r="AE20" i="8" a="1"/>
  <c r="AE20" i="8" s="1"/>
  <c r="AE15" i="8" a="1"/>
  <c r="AE15" i="8" s="1"/>
  <c r="AE16" i="8" a="1"/>
  <c r="AE16" i="8" s="1"/>
  <c r="AG23" i="8" a="1"/>
  <c r="AG23" i="8" s="1"/>
  <c r="AG25" i="8" a="1"/>
  <c r="AG25" i="8" s="1"/>
  <c r="AG26" i="8" a="1"/>
  <c r="AG26" i="8" s="1"/>
  <c r="AG20" i="8" a="1"/>
  <c r="AG20" i="8" s="1"/>
  <c r="AG24" i="8" a="1"/>
  <c r="AG24" i="8" s="1"/>
  <c r="AG22" i="8" a="1"/>
  <c r="AG22" i="8" s="1"/>
  <c r="AG15" i="8" a="1"/>
  <c r="AG15" i="8" s="1"/>
  <c r="AG16" i="8" a="1"/>
  <c r="AG16" i="8" s="1"/>
  <c r="Q26" i="8" a="1"/>
  <c r="Q26" i="8" s="1"/>
  <c r="Q25" i="8" a="1"/>
  <c r="Q25" i="8" s="1"/>
  <c r="Q24" i="8" a="1"/>
  <c r="Q24" i="8" s="1"/>
  <c r="Q23" i="8" a="1"/>
  <c r="Q23" i="8" s="1"/>
  <c r="Q22" i="8" a="1"/>
  <c r="Q22" i="8" s="1"/>
  <c r="Q20" i="8" a="1"/>
  <c r="Q20" i="8" s="1"/>
  <c r="Q15" i="8" a="1"/>
  <c r="Q15" i="8" s="1"/>
  <c r="Q16" i="8" a="1"/>
  <c r="Q16" i="8" s="1"/>
  <c r="G31" i="6"/>
  <c r="G163" i="6"/>
  <c r="AB23" i="8" a="1"/>
  <c r="AB23" i="8" s="1"/>
  <c r="AB24" i="8" a="1"/>
  <c r="AB24" i="8" s="1"/>
  <c r="AB22" i="8" a="1"/>
  <c r="AB22" i="8" s="1"/>
  <c r="AB26" i="8" a="1"/>
  <c r="AB26" i="8" s="1"/>
  <c r="AB20" i="8" a="1"/>
  <c r="AB20" i="8" s="1"/>
  <c r="AB25" i="8" a="1"/>
  <c r="AB25" i="8" s="1"/>
  <c r="AB15" i="8" a="1"/>
  <c r="AB15" i="8" s="1"/>
  <c r="AB16" i="8" a="1"/>
  <c r="AB16" i="8" s="1"/>
  <c r="G19" i="6"/>
  <c r="J22" i="8" a="1"/>
  <c r="J22" i="8" s="1"/>
  <c r="J23" i="8" a="1"/>
  <c r="J23" i="8" s="1"/>
  <c r="J20" i="8" a="1"/>
  <c r="J20" i="8" s="1"/>
  <c r="J15" i="8" a="1"/>
  <c r="J15" i="8" s="1"/>
  <c r="J26" i="8" a="1"/>
  <c r="J26" i="8" s="1"/>
  <c r="J24" i="8" a="1"/>
  <c r="J24" i="8" s="1"/>
  <c r="J25" i="8" a="1"/>
  <c r="J25" i="8" s="1"/>
  <c r="J16" i="8" a="1"/>
  <c r="J16" i="8" s="1"/>
  <c r="M25" i="8" a="1"/>
  <c r="M25" i="8" s="1"/>
  <c r="M24" i="8" a="1"/>
  <c r="M24" i="8" s="1"/>
  <c r="M23" i="8" a="1"/>
  <c r="M23" i="8" s="1"/>
  <c r="M26" i="8" a="1"/>
  <c r="M26" i="8" s="1"/>
  <c r="M22" i="8" a="1"/>
  <c r="M22" i="8" s="1"/>
  <c r="M16" i="8" a="1"/>
  <c r="M16" i="8" s="1"/>
  <c r="M20" i="8" a="1"/>
  <c r="M20" i="8" s="1"/>
  <c r="M15" i="8" a="1"/>
  <c r="M15" i="8" s="1"/>
  <c r="AA24" i="8" a="1"/>
  <c r="AA24" i="8" s="1"/>
  <c r="AA23" i="8" a="1"/>
  <c r="AA23" i="8" s="1"/>
  <c r="AA22" i="8" a="1"/>
  <c r="AA22" i="8" s="1"/>
  <c r="AA25" i="8" a="1"/>
  <c r="AA25" i="8" s="1"/>
  <c r="AA26" i="8" a="1"/>
  <c r="AA26" i="8" s="1"/>
  <c r="AA20" i="8" a="1"/>
  <c r="AA20" i="8" s="1"/>
  <c r="AA15" i="8" a="1"/>
  <c r="AA15" i="8" s="1"/>
  <c r="AA16" i="8" a="1"/>
  <c r="AA16" i="8" s="1"/>
  <c r="AK26" i="8" a="1"/>
  <c r="AK26" i="8" s="1"/>
  <c r="U45" i="4"/>
  <c r="AM14" i="8" a="1"/>
  <c r="AM14" i="8" s="1"/>
  <c r="AN15" i="8" a="1"/>
  <c r="AN15" i="8" s="1"/>
  <c r="AN20" i="8" a="1"/>
  <c r="AN20" i="8" s="1"/>
  <c r="P26" i="8" a="1"/>
  <c r="P26" i="8" s="1"/>
  <c r="P25" i="8" a="1"/>
  <c r="P25" i="8" s="1"/>
  <c r="P23" i="8" a="1"/>
  <c r="P23" i="8" s="1"/>
  <c r="P24" i="8" a="1"/>
  <c r="P24" i="8" s="1"/>
  <c r="P22" i="8" a="1"/>
  <c r="P22" i="8" s="1"/>
  <c r="P20" i="8" a="1"/>
  <c r="P20" i="8" s="1"/>
  <c r="P15" i="8" a="1"/>
  <c r="P15" i="8" s="1"/>
  <c r="P16" i="8" a="1"/>
  <c r="P16" i="8" s="1"/>
  <c r="H19" i="6"/>
  <c r="H188" i="6"/>
  <c r="H187" i="6"/>
  <c r="Z26" i="8" a="1"/>
  <c r="Z26" i="8" s="1"/>
  <c r="Z25" i="8" a="1"/>
  <c r="Z25" i="8" s="1"/>
  <c r="Z24" i="8" a="1"/>
  <c r="Z24" i="8" s="1"/>
  <c r="Z22" i="8" a="1"/>
  <c r="Z22" i="8" s="1"/>
  <c r="Z23" i="8" a="1"/>
  <c r="Z23" i="8" s="1"/>
  <c r="Z20" i="8" a="1"/>
  <c r="Z20" i="8" s="1"/>
  <c r="Z15" i="8" a="1"/>
  <c r="Z15" i="8" s="1"/>
  <c r="Z16" i="8" a="1"/>
  <c r="Z16" i="8" s="1"/>
  <c r="H26" i="8" a="1"/>
  <c r="H26" i="8" s="1"/>
  <c r="H25" i="8" a="1"/>
  <c r="H25" i="8" s="1"/>
  <c r="H24" i="8" a="1"/>
  <c r="H24" i="8" s="1"/>
  <c r="H23" i="8" a="1"/>
  <c r="H23" i="8" s="1"/>
  <c r="H16" i="8" a="1"/>
  <c r="H16" i="8" s="1"/>
  <c r="H20" i="8" a="1"/>
  <c r="H20" i="8" s="1"/>
  <c r="H22" i="8" a="1"/>
  <c r="H22" i="8" s="1"/>
  <c r="H15" i="8" a="1"/>
  <c r="H15" i="8" s="1"/>
  <c r="G126" i="6"/>
  <c r="F151" i="6"/>
  <c r="F131" i="6"/>
  <c r="AL15" i="8" a="1"/>
  <c r="AL15" i="8" s="1"/>
  <c r="AJ25" i="8" a="1"/>
  <c r="AJ25" i="8" s="1"/>
  <c r="AJ24" i="8" a="1"/>
  <c r="AJ24" i="8" s="1"/>
  <c r="AJ22" i="8" a="1"/>
  <c r="AJ22" i="8" s="1"/>
  <c r="AJ23" i="8" a="1"/>
  <c r="AJ23" i="8" s="1"/>
  <c r="AJ26" i="8" a="1"/>
  <c r="AJ26" i="8" s="1"/>
  <c r="AJ20" i="8" a="1"/>
  <c r="AJ20" i="8" s="1"/>
  <c r="AJ15" i="8" a="1"/>
  <c r="AJ15" i="8" s="1"/>
  <c r="AJ16" i="8" a="1"/>
  <c r="AJ16" i="8" s="1"/>
  <c r="G26" i="8" a="1"/>
  <c r="G26" i="8" s="1"/>
  <c r="G25" i="8" a="1"/>
  <c r="G25" i="8" s="1"/>
  <c r="G22" i="8" a="1"/>
  <c r="G22" i="8" s="1"/>
  <c r="G23" i="8" a="1"/>
  <c r="G23" i="8" s="1"/>
  <c r="G24" i="8" a="1"/>
  <c r="G24" i="8" s="1"/>
  <c r="G15" i="8" a="1"/>
  <c r="G15" i="8" s="1"/>
  <c r="G20" i="8" a="1"/>
  <c r="G20" i="8" s="1"/>
  <c r="G16" i="8" a="1"/>
  <c r="G16" i="8" s="1"/>
  <c r="X23" i="8" a="1"/>
  <c r="X23" i="8" s="1"/>
  <c r="X16" i="8" a="1"/>
  <c r="X16" i="8" s="1"/>
  <c r="X25" i="8" a="1"/>
  <c r="X25" i="8" s="1"/>
  <c r="X20" i="8" a="1"/>
  <c r="X20" i="8" s="1"/>
  <c r="X26" i="8" a="1"/>
  <c r="X26" i="8" s="1"/>
  <c r="X24" i="8" a="1"/>
  <c r="X24" i="8" s="1"/>
  <c r="X22" i="8" a="1"/>
  <c r="X22" i="8" s="1"/>
  <c r="X15" i="8" a="1"/>
  <c r="X15" i="8" s="1"/>
  <c r="N41" i="4"/>
  <c r="AM20" i="8" a="1"/>
  <c r="AM20" i="8" s="1"/>
  <c r="AN22" i="8" a="1"/>
  <c r="AN22" i="8" s="1"/>
  <c r="I49" i="6" l="1"/>
  <c r="I56" i="6" s="1"/>
  <c r="H142" i="6"/>
  <c r="AP23" i="8" a="1"/>
  <c r="AP23" i="8" s="1"/>
  <c r="AP20" i="8" a="1"/>
  <c r="AP20" i="8" s="1"/>
  <c r="AP15" i="8" a="1"/>
  <c r="AP15" i="8" s="1"/>
  <c r="AP25" i="8" a="1"/>
  <c r="AP25" i="8" s="1"/>
  <c r="AP14" i="8" a="1"/>
  <c r="AP14" i="8" s="1"/>
  <c r="AP26" i="8" a="1"/>
  <c r="AP26" i="8" s="1"/>
  <c r="AP24" i="8" a="1"/>
  <c r="AP24" i="8" s="1"/>
  <c r="AP22" i="8" a="1"/>
  <c r="AP22" i="8" s="1"/>
  <c r="AP16" i="8" a="1"/>
  <c r="AP16" i="8" s="1"/>
  <c r="U44" i="4"/>
  <c r="N19" i="4"/>
  <c r="U41" i="4"/>
  <c r="G128" i="6"/>
  <c r="G168" i="6"/>
  <c r="G148" i="6"/>
  <c r="H70" i="6"/>
  <c r="H95" i="6"/>
  <c r="H128" i="6"/>
  <c r="O14" i="4"/>
  <c r="N34" i="4"/>
  <c r="E3" i="8"/>
  <c r="H74" i="6"/>
  <c r="H149" i="6"/>
  <c r="H162" i="6"/>
  <c r="H130" i="6"/>
  <c r="H167" i="6"/>
  <c r="F164" i="6"/>
  <c r="F172" i="6" s="1"/>
  <c r="F173" i="6" s="1"/>
  <c r="F144" i="6"/>
  <c r="F157" i="6" s="1"/>
  <c r="F158" i="6" s="1"/>
  <c r="F43" i="6" a="1"/>
  <c r="F43" i="6" s="1"/>
  <c r="F124" i="6"/>
  <c r="F137" i="6" s="1"/>
  <c r="F138" i="6" s="1"/>
  <c r="F175" i="6" s="1" a="1"/>
  <c r="F175" i="6" s="1"/>
  <c r="F42" i="6"/>
  <c r="G28" i="6"/>
  <c r="I189" i="6"/>
  <c r="J185" i="6" s="1"/>
  <c r="I168" i="6"/>
  <c r="I166" i="6"/>
  <c r="I164" i="6"/>
  <c r="I143" i="6"/>
  <c r="I99" i="6"/>
  <c r="I163" i="6"/>
  <c r="I154" i="6"/>
  <c r="I171" i="6"/>
  <c r="I165" i="6"/>
  <c r="I150" i="6"/>
  <c r="I146" i="6"/>
  <c r="I142" i="6"/>
  <c r="I128" i="6"/>
  <c r="I98" i="6"/>
  <c r="I97" i="6"/>
  <c r="I92" i="6"/>
  <c r="I91" i="6" s="1"/>
  <c r="I123" i="6"/>
  <c r="I122" i="6"/>
  <c r="I124" i="6"/>
  <c r="I38" i="6"/>
  <c r="I36" i="6"/>
  <c r="I34" i="6"/>
  <c r="I32" i="6"/>
  <c r="I22" i="6"/>
  <c r="I13" i="6"/>
  <c r="I96" i="6"/>
  <c r="I28" i="6"/>
  <c r="I145" i="6" s="1"/>
  <c r="I26" i="6"/>
  <c r="I85" i="6"/>
  <c r="I29" i="6"/>
  <c r="I15" i="6"/>
  <c r="I12" i="6"/>
  <c r="J5" i="6"/>
  <c r="I126" i="6"/>
  <c r="I39" i="6"/>
  <c r="I6" i="6"/>
  <c r="I27" i="6"/>
  <c r="I136" i="6"/>
  <c r="I35" i="6"/>
  <c r="I11" i="6"/>
  <c r="J17" i="6" s="1"/>
  <c r="I31" i="6"/>
  <c r="I25" i="6"/>
  <c r="I37" i="6"/>
  <c r="I63" i="6" a="1"/>
  <c r="I63" i="6" s="1"/>
  <c r="I33" i="6"/>
  <c r="I18" i="6"/>
  <c r="I19" i="6" s="1"/>
  <c r="I16" i="6"/>
  <c r="H122" i="6"/>
  <c r="H168" i="6"/>
  <c r="H135" i="6"/>
  <c r="H169" i="6"/>
  <c r="F201" i="6"/>
  <c r="F205" i="6" s="1"/>
  <c r="E44" i="6"/>
  <c r="H127" i="6"/>
  <c r="E45" i="6"/>
  <c r="F48" i="6"/>
  <c r="F57" i="6" s="1"/>
  <c r="F71" i="6" s="1"/>
  <c r="H152" i="6"/>
  <c r="H129" i="6"/>
  <c r="H132" i="6"/>
  <c r="AQ113" i="8"/>
  <c r="AQ111" i="8"/>
  <c r="AQ109" i="8"/>
  <c r="AQ107" i="8"/>
  <c r="AQ105" i="8"/>
  <c r="AQ103" i="8"/>
  <c r="AQ101" i="8"/>
  <c r="AQ99" i="8"/>
  <c r="AQ97" i="8"/>
  <c r="AQ95" i="8"/>
  <c r="AQ93" i="8"/>
  <c r="AQ91" i="8"/>
  <c r="AQ85" i="8"/>
  <c r="AQ83" i="8"/>
  <c r="AQ81" i="8"/>
  <c r="AQ79" i="8"/>
  <c r="AQ77" i="8"/>
  <c r="AQ90" i="8"/>
  <c r="AQ89" i="8"/>
  <c r="AQ74" i="8"/>
  <c r="AQ72" i="8"/>
  <c r="AQ70" i="8"/>
  <c r="AQ68" i="8"/>
  <c r="AQ66" i="8"/>
  <c r="AQ64" i="8"/>
  <c r="AQ62" i="8"/>
  <c r="AQ112" i="8"/>
  <c r="AQ108" i="8"/>
  <c r="AQ104" i="8"/>
  <c r="AQ100" i="8"/>
  <c r="AQ96" i="8"/>
  <c r="AQ92" i="8"/>
  <c r="AQ87" i="8"/>
  <c r="AQ84" i="8"/>
  <c r="AQ82" i="8"/>
  <c r="AQ76" i="8"/>
  <c r="AQ88" i="8"/>
  <c r="AQ110" i="8"/>
  <c r="AQ106" i="8"/>
  <c r="AQ102" i="8"/>
  <c r="AQ98" i="8"/>
  <c r="AQ80" i="8"/>
  <c r="AQ65" i="8"/>
  <c r="AQ75" i="8"/>
  <c r="AQ94" i="8"/>
  <c r="AQ86" i="8"/>
  <c r="AQ67" i="8"/>
  <c r="AQ61" i="8"/>
  <c r="AQ69" i="8"/>
  <c r="AQ60" i="8"/>
  <c r="AQ55" i="8"/>
  <c r="AQ78" i="8"/>
  <c r="AQ59" i="8"/>
  <c r="AQ58" i="8"/>
  <c r="AQ57" i="8"/>
  <c r="AQ63" i="8"/>
  <c r="AQ56" i="8"/>
  <c r="AQ54" i="8"/>
  <c r="AQ71" i="8"/>
  <c r="AQ73" i="8"/>
  <c r="AR5" i="8"/>
  <c r="G73" i="6"/>
  <c r="I4" i="7"/>
  <c r="F4" i="8"/>
  <c r="H5" i="7"/>
  <c r="K10" i="7"/>
  <c r="H133" i="6"/>
  <c r="H147" i="6"/>
  <c r="I188" i="6"/>
  <c r="I187" i="6"/>
  <c r="F55" i="6"/>
  <c r="F70" i="6"/>
  <c r="E48" i="6"/>
  <c r="AR113" i="8" l="1"/>
  <c r="AR111" i="8"/>
  <c r="AR109" i="8"/>
  <c r="AR107" i="8"/>
  <c r="AR105" i="8"/>
  <c r="AR103" i="8"/>
  <c r="AR101" i="8"/>
  <c r="AR99" i="8"/>
  <c r="AR97" i="8"/>
  <c r="AR95" i="8"/>
  <c r="AR93" i="8"/>
  <c r="AR90" i="8"/>
  <c r="AR89" i="8"/>
  <c r="AR112" i="8"/>
  <c r="AR110" i="8"/>
  <c r="AR108" i="8"/>
  <c r="AR106" i="8"/>
  <c r="AR104" i="8"/>
  <c r="AR102" i="8"/>
  <c r="AR100" i="8"/>
  <c r="AR98" i="8"/>
  <c r="AR96" i="8"/>
  <c r="AR94" i="8"/>
  <c r="AR92" i="8"/>
  <c r="AR88" i="8"/>
  <c r="AR87" i="8"/>
  <c r="AR84" i="8"/>
  <c r="AR82" i="8"/>
  <c r="AR83" i="8"/>
  <c r="AR76" i="8"/>
  <c r="AR78" i="8"/>
  <c r="AR77" i="8"/>
  <c r="AR85" i="8"/>
  <c r="AR74" i="8"/>
  <c r="AR75" i="8"/>
  <c r="AR72" i="8"/>
  <c r="AR66" i="8"/>
  <c r="AR62" i="8"/>
  <c r="AR86" i="8"/>
  <c r="AR70" i="8"/>
  <c r="AR59" i="8"/>
  <c r="AR57" i="8"/>
  <c r="AR55" i="8"/>
  <c r="AR81" i="8"/>
  <c r="AR91" i="8"/>
  <c r="AR80" i="8"/>
  <c r="AR68" i="8"/>
  <c r="AR65" i="8"/>
  <c r="AR79" i="8"/>
  <c r="AR58" i="8"/>
  <c r="AR54" i="8"/>
  <c r="AR69" i="8"/>
  <c r="AR60" i="8"/>
  <c r="AR67" i="8"/>
  <c r="AR63" i="8"/>
  <c r="AR61" i="8"/>
  <c r="AR56" i="8"/>
  <c r="AR71" i="8"/>
  <c r="AR73" i="8"/>
  <c r="AR64" i="8"/>
  <c r="AS5" i="8"/>
  <c r="F53" i="6"/>
  <c r="F76" i="6"/>
  <c r="F75" i="6"/>
  <c r="F44" i="6"/>
  <c r="F88" i="6"/>
  <c r="I70" i="6"/>
  <c r="N14" i="4"/>
  <c r="U34" i="4"/>
  <c r="U19" i="4"/>
  <c r="I131" i="6"/>
  <c r="I133" i="6"/>
  <c r="J189" i="6"/>
  <c r="K185" i="6" s="1"/>
  <c r="J170" i="6"/>
  <c r="J155" i="6"/>
  <c r="J153" i="6"/>
  <c r="J150" i="6"/>
  <c r="J99" i="6"/>
  <c r="J97" i="6"/>
  <c r="J163" i="6"/>
  <c r="J154" i="6"/>
  <c r="J152" i="6"/>
  <c r="J130" i="6"/>
  <c r="J96" i="6"/>
  <c r="J143" i="6"/>
  <c r="J146" i="6"/>
  <c r="J98" i="6"/>
  <c r="J135" i="6"/>
  <c r="J92" i="6"/>
  <c r="J91" i="6" s="1"/>
  <c r="J11" i="6"/>
  <c r="K17" i="6" s="1"/>
  <c r="J27" i="6"/>
  <c r="J144" i="6" s="1"/>
  <c r="J25" i="6"/>
  <c r="J38" i="6"/>
  <c r="J36" i="6"/>
  <c r="J34" i="6"/>
  <c r="J32" i="6"/>
  <c r="J129" i="6" s="1"/>
  <c r="J30" i="6"/>
  <c r="J167" i="6" s="1"/>
  <c r="J122" i="6"/>
  <c r="J85" i="6"/>
  <c r="J63" i="6" a="1"/>
  <c r="J63" i="6" s="1"/>
  <c r="J39" i="6"/>
  <c r="J156" i="6" s="1"/>
  <c r="J13" i="6"/>
  <c r="J6" i="6"/>
  <c r="J12" i="6"/>
  <c r="J35" i="6"/>
  <c r="J15" i="6"/>
  <c r="J26" i="6"/>
  <c r="J22" i="6"/>
  <c r="J37" i="6"/>
  <c r="K5" i="6"/>
  <c r="J33" i="6"/>
  <c r="J18" i="6"/>
  <c r="J19" i="6" s="1"/>
  <c r="J28" i="6"/>
  <c r="J125" i="6" s="1"/>
  <c r="J16" i="6"/>
  <c r="J29" i="6"/>
  <c r="J126" i="6" s="1"/>
  <c r="F45" i="6"/>
  <c r="G201" i="6" s="1"/>
  <c r="G205" i="6" s="1"/>
  <c r="I74" i="6"/>
  <c r="I129" i="6"/>
  <c r="I153" i="6"/>
  <c r="AQ26" i="8" a="1"/>
  <c r="AQ26" i="8" s="1"/>
  <c r="AQ25" i="8" a="1"/>
  <c r="AQ25" i="8" s="1"/>
  <c r="AQ14" i="8" a="1"/>
  <c r="AQ14" i="8" s="1"/>
  <c r="AQ23" i="8" a="1"/>
  <c r="AQ23" i="8" s="1"/>
  <c r="AQ24" i="8" a="1"/>
  <c r="AQ24" i="8" s="1"/>
  <c r="AQ22" i="8" a="1"/>
  <c r="AQ22" i="8" s="1"/>
  <c r="AQ20" i="8" a="1"/>
  <c r="AQ20" i="8" s="1"/>
  <c r="AQ15" i="8" a="1"/>
  <c r="AQ15" i="8" s="1"/>
  <c r="AQ16" i="8" a="1"/>
  <c r="AQ16" i="8" s="1"/>
  <c r="I132" i="6"/>
  <c r="I134" i="6"/>
  <c r="I155" i="6"/>
  <c r="J188" i="6"/>
  <c r="J187" i="6"/>
  <c r="F206" i="6"/>
  <c r="F214" i="6"/>
  <c r="I95" i="6"/>
  <c r="F3" i="8"/>
  <c r="J49" i="6"/>
  <c r="J56" i="6" s="1"/>
  <c r="I135" i="6"/>
  <c r="I125" i="6"/>
  <c r="I149" i="6"/>
  <c r="I144" i="6"/>
  <c r="I151" i="6"/>
  <c r="I130" i="6"/>
  <c r="I152" i="6"/>
  <c r="I170" i="6"/>
  <c r="J171" i="6" s="1"/>
  <c r="E57" i="6"/>
  <c r="F69" i="6"/>
  <c r="F67" i="6" s="1"/>
  <c r="G4" i="8"/>
  <c r="J4" i="7"/>
  <c r="I5" i="7"/>
  <c r="I169" i="6"/>
  <c r="I148" i="6"/>
  <c r="I156" i="6"/>
  <c r="I162" i="6"/>
  <c r="G165" i="6"/>
  <c r="G172" i="6" s="1"/>
  <c r="G173" i="6" s="1"/>
  <c r="G125" i="6"/>
  <c r="G137" i="6" s="1"/>
  <c r="G138" i="6" s="1"/>
  <c r="G175" i="6" s="1" a="1"/>
  <c r="G175" i="6" s="1"/>
  <c r="G145" i="6"/>
  <c r="G157" i="6" s="1"/>
  <c r="G158" i="6" s="1"/>
  <c r="G43" i="6" a="1"/>
  <c r="G43" i="6" s="1"/>
  <c r="G42" i="6"/>
  <c r="H29" i="6"/>
  <c r="G206" i="6" l="1"/>
  <c r="G214" i="6"/>
  <c r="E71" i="6"/>
  <c r="E55" i="6"/>
  <c r="J74" i="6"/>
  <c r="J132" i="6"/>
  <c r="J134" i="6"/>
  <c r="J142" i="6"/>
  <c r="J133" i="6"/>
  <c r="J127" i="6"/>
  <c r="J164" i="6"/>
  <c r="AR26" i="8" a="1"/>
  <c r="AR26" i="8" s="1"/>
  <c r="AR25" i="8" a="1"/>
  <c r="AR25" i="8" s="1"/>
  <c r="AR23" i="8" a="1"/>
  <c r="AR23" i="8" s="1"/>
  <c r="AR24" i="8" a="1"/>
  <c r="AR24" i="8" s="1"/>
  <c r="AR22" i="8" a="1"/>
  <c r="AR22" i="8" s="1"/>
  <c r="AR20" i="8" a="1"/>
  <c r="AR20" i="8" s="1"/>
  <c r="AR14" i="8" a="1"/>
  <c r="AR14" i="8" s="1"/>
  <c r="AR15" i="8" a="1"/>
  <c r="AR15" i="8" s="1"/>
  <c r="AR16" i="8" a="1"/>
  <c r="AR16" i="8" s="1"/>
  <c r="J149" i="6"/>
  <c r="J166" i="6"/>
  <c r="U14" i="4"/>
  <c r="J5" i="7"/>
  <c r="H4" i="8"/>
  <c r="H3" i="8" s="1"/>
  <c r="K4" i="7"/>
  <c r="F215" i="6"/>
  <c r="G213" i="6"/>
  <c r="K49" i="6"/>
  <c r="K56" i="6" s="1"/>
  <c r="J145" i="6"/>
  <c r="G44" i="6"/>
  <c r="H201" i="6" s="1"/>
  <c r="H205" i="6" s="1"/>
  <c r="G88" i="6"/>
  <c r="G87" i="6" s="1"/>
  <c r="H166" i="6"/>
  <c r="H172" i="6" s="1"/>
  <c r="H173" i="6" s="1"/>
  <c r="H146" i="6"/>
  <c r="H157" i="6" s="1"/>
  <c r="H158" i="6" s="1"/>
  <c r="H126" i="6"/>
  <c r="H137" i="6" s="1"/>
  <c r="H138" i="6" s="1"/>
  <c r="H175" i="6" s="1" a="1"/>
  <c r="H175" i="6" s="1"/>
  <c r="H73" i="6"/>
  <c r="I30" i="6"/>
  <c r="H43" i="6" a="1"/>
  <c r="H43" i="6" s="1"/>
  <c r="H42" i="6"/>
  <c r="J124" i="6"/>
  <c r="J165" i="6"/>
  <c r="J147" i="6"/>
  <c r="J169" i="6"/>
  <c r="J151" i="6"/>
  <c r="K187" i="6"/>
  <c r="K188" i="6"/>
  <c r="G3" i="8"/>
  <c r="J70" i="6"/>
  <c r="J95" i="6"/>
  <c r="J123" i="6"/>
  <c r="AS113" i="8"/>
  <c r="AS111" i="8"/>
  <c r="AS109" i="8"/>
  <c r="AS107" i="8"/>
  <c r="AS105" i="8"/>
  <c r="AS103" i="8"/>
  <c r="AS101" i="8"/>
  <c r="AS99" i="8"/>
  <c r="AS97" i="8"/>
  <c r="AS95" i="8"/>
  <c r="AS93" i="8"/>
  <c r="AS91" i="8"/>
  <c r="AS89" i="8"/>
  <c r="AS87" i="8"/>
  <c r="AS90" i="8"/>
  <c r="AS112" i="8"/>
  <c r="AS110" i="8"/>
  <c r="AS108" i="8"/>
  <c r="AS106" i="8"/>
  <c r="AS104" i="8"/>
  <c r="AS102" i="8"/>
  <c r="AS100" i="8"/>
  <c r="AS98" i="8"/>
  <c r="AS96" i="8"/>
  <c r="AS94" i="8"/>
  <c r="AS92" i="8"/>
  <c r="AS88" i="8"/>
  <c r="AS86" i="8"/>
  <c r="AS84" i="8"/>
  <c r="AS82" i="8"/>
  <c r="AS80" i="8"/>
  <c r="AS85" i="8"/>
  <c r="AS83" i="8"/>
  <c r="AS76" i="8"/>
  <c r="AS78" i="8"/>
  <c r="AS77" i="8"/>
  <c r="AS81" i="8"/>
  <c r="AS79" i="8"/>
  <c r="AS75" i="8"/>
  <c r="AS73" i="8"/>
  <c r="AS71" i="8"/>
  <c r="AS69" i="8"/>
  <c r="AS67" i="8"/>
  <c r="AS72" i="8"/>
  <c r="AS66" i="8"/>
  <c r="AS62" i="8"/>
  <c r="AS70" i="8"/>
  <c r="AS63" i="8"/>
  <c r="AS74" i="8"/>
  <c r="AS58" i="8"/>
  <c r="AS59" i="8"/>
  <c r="AS54" i="8"/>
  <c r="AS56" i="8"/>
  <c r="AS68" i="8"/>
  <c r="AS55" i="8"/>
  <c r="AS61" i="8"/>
  <c r="AS65" i="8"/>
  <c r="AS64" i="8"/>
  <c r="AS57" i="8"/>
  <c r="AS60" i="8"/>
  <c r="AT5" i="8"/>
  <c r="G45" i="6"/>
  <c r="H48" i="6"/>
  <c r="H57" i="6" s="1"/>
  <c r="G48" i="6"/>
  <c r="K189" i="6"/>
  <c r="L185" i="6" s="1"/>
  <c r="K164" i="6"/>
  <c r="K162" i="6"/>
  <c r="K155" i="6"/>
  <c r="K153" i="6"/>
  <c r="K143" i="6"/>
  <c r="K171" i="6"/>
  <c r="K163" i="6"/>
  <c r="K148" i="6"/>
  <c r="K144" i="6"/>
  <c r="K152" i="6"/>
  <c r="K142" i="6"/>
  <c r="K124" i="6"/>
  <c r="K92" i="6"/>
  <c r="K91" i="6" s="1"/>
  <c r="K146" i="6"/>
  <c r="K99" i="6"/>
  <c r="K85" i="6"/>
  <c r="K130" i="6"/>
  <c r="K43" i="6" a="1"/>
  <c r="K43" i="6" s="1"/>
  <c r="K27" i="6"/>
  <c r="K25" i="6"/>
  <c r="K98" i="6"/>
  <c r="K97" i="6"/>
  <c r="K39" i="6"/>
  <c r="K37" i="6"/>
  <c r="K35" i="6"/>
  <c r="K33" i="6"/>
  <c r="K31" i="6"/>
  <c r="K168" i="6" s="1"/>
  <c r="K29" i="6"/>
  <c r="K36" i="6"/>
  <c r="K96" i="6"/>
  <c r="K12" i="6"/>
  <c r="K26" i="6"/>
  <c r="K11" i="6"/>
  <c r="L5" i="6"/>
  <c r="K18" i="6"/>
  <c r="K19" i="6" s="1"/>
  <c r="K30" i="6"/>
  <c r="K127" i="6" s="1"/>
  <c r="K22" i="6"/>
  <c r="K15" i="6"/>
  <c r="K128" i="6"/>
  <c r="K38" i="6"/>
  <c r="K34" i="6"/>
  <c r="K28" i="6"/>
  <c r="K16" i="6"/>
  <c r="K13" i="6"/>
  <c r="K6" i="6"/>
  <c r="J136" i="6"/>
  <c r="J131" i="6"/>
  <c r="J162" i="6"/>
  <c r="F87" i="6"/>
  <c r="H206" i="6" l="1"/>
  <c r="H214" i="6"/>
  <c r="K134" i="6"/>
  <c r="I73" i="6"/>
  <c r="E53" i="6"/>
  <c r="E75" i="6"/>
  <c r="E76" i="6"/>
  <c r="L189" i="6"/>
  <c r="M185" i="6" s="1"/>
  <c r="L172" i="6"/>
  <c r="L170" i="6"/>
  <c r="L168" i="6"/>
  <c r="L166" i="6"/>
  <c r="L164" i="6"/>
  <c r="L171" i="6"/>
  <c r="L167" i="6"/>
  <c r="L163" i="6"/>
  <c r="L162" i="6"/>
  <c r="L146" i="6"/>
  <c r="L136" i="6"/>
  <c r="L131" i="6"/>
  <c r="L129" i="6"/>
  <c r="L127" i="6"/>
  <c r="L125" i="6"/>
  <c r="L155" i="6"/>
  <c r="L152" i="6"/>
  <c r="L148" i="6"/>
  <c r="L173" i="6"/>
  <c r="L169" i="6"/>
  <c r="L153" i="6"/>
  <c r="L134" i="6"/>
  <c r="L130" i="6"/>
  <c r="L149" i="6"/>
  <c r="L145" i="6"/>
  <c r="L138" i="6"/>
  <c r="L175" i="6" s="1" a="1"/>
  <c r="L175" i="6" s="1"/>
  <c r="L157" i="6"/>
  <c r="L156" i="6"/>
  <c r="L151" i="6"/>
  <c r="L147" i="6"/>
  <c r="L143" i="6"/>
  <c r="L150" i="6"/>
  <c r="L144" i="6"/>
  <c r="L133" i="6"/>
  <c r="L142" i="6"/>
  <c r="L128" i="6"/>
  <c r="L98" i="6"/>
  <c r="L92" i="6"/>
  <c r="L91" i="6" s="1"/>
  <c r="L75" i="6"/>
  <c r="L73" i="6"/>
  <c r="L165" i="6"/>
  <c r="L158" i="6"/>
  <c r="L132" i="6"/>
  <c r="L96" i="6"/>
  <c r="L76" i="6"/>
  <c r="L27" i="6"/>
  <c r="L25" i="6"/>
  <c r="L97" i="6"/>
  <c r="L63" i="6" a="1"/>
  <c r="L63" i="6" s="1"/>
  <c r="L39" i="6"/>
  <c r="L37" i="6"/>
  <c r="L35" i="6"/>
  <c r="L33" i="6"/>
  <c r="L31" i="6"/>
  <c r="L29" i="6"/>
  <c r="M5" i="6"/>
  <c r="L122" i="6"/>
  <c r="L154" i="6"/>
  <c r="L135" i="6"/>
  <c r="L123" i="6"/>
  <c r="L85" i="6"/>
  <c r="L137" i="6"/>
  <c r="L126" i="6"/>
  <c r="L124" i="6"/>
  <c r="L99" i="6"/>
  <c r="L48" i="6"/>
  <c r="L57" i="6" s="1"/>
  <c r="L71" i="6" s="1"/>
  <c r="L32" i="6"/>
  <c r="L26" i="6"/>
  <c r="L11" i="6"/>
  <c r="M17" i="6" s="1"/>
  <c r="L30" i="6"/>
  <c r="L22" i="6"/>
  <c r="L15" i="6"/>
  <c r="L34" i="6"/>
  <c r="L16" i="6"/>
  <c r="L38" i="6"/>
  <c r="L12" i="6"/>
  <c r="L18" i="6"/>
  <c r="L74" i="6"/>
  <c r="L28" i="6"/>
  <c r="L13" i="6"/>
  <c r="L6" i="6"/>
  <c r="L36" i="6"/>
  <c r="G57" i="6"/>
  <c r="H44" i="6"/>
  <c r="I201" i="6" s="1"/>
  <c r="I205" i="6" s="1"/>
  <c r="H88" i="6"/>
  <c r="F66" i="6"/>
  <c r="H45" i="6"/>
  <c r="AT113" i="8"/>
  <c r="AT111" i="8"/>
  <c r="AT109" i="8"/>
  <c r="AT107" i="8"/>
  <c r="AT105" i="8"/>
  <c r="AT103" i="8"/>
  <c r="AT101" i="8"/>
  <c r="AT99" i="8"/>
  <c r="AT97" i="8"/>
  <c r="AT95" i="8"/>
  <c r="AT93" i="8"/>
  <c r="AT112" i="8"/>
  <c r="AT110" i="8"/>
  <c r="AT108" i="8"/>
  <c r="AT106" i="8"/>
  <c r="AT104" i="8"/>
  <c r="AT102" i="8"/>
  <c r="AT100" i="8"/>
  <c r="AT98" i="8"/>
  <c r="AT96" i="8"/>
  <c r="AT94" i="8"/>
  <c r="AT92" i="8"/>
  <c r="AT89" i="8"/>
  <c r="AT88" i="8"/>
  <c r="AT87" i="8"/>
  <c r="AT86" i="8"/>
  <c r="AT84" i="8"/>
  <c r="AT82" i="8"/>
  <c r="AT91" i="8"/>
  <c r="AT78" i="8"/>
  <c r="AT77" i="8"/>
  <c r="AT81" i="8"/>
  <c r="AT79" i="8"/>
  <c r="AT75" i="8"/>
  <c r="AT73" i="8"/>
  <c r="AT71" i="8"/>
  <c r="AT83" i="8"/>
  <c r="AT70" i="8"/>
  <c r="AT59" i="8"/>
  <c r="AT57" i="8"/>
  <c r="AT63" i="8"/>
  <c r="AT90" i="8"/>
  <c r="AT85" i="8"/>
  <c r="AT72" i="8"/>
  <c r="AT66" i="8"/>
  <c r="AT62" i="8"/>
  <c r="AT54" i="8"/>
  <c r="AT76" i="8"/>
  <c r="AT56" i="8"/>
  <c r="AT80" i="8"/>
  <c r="AT61" i="8"/>
  <c r="AT58" i="8"/>
  <c r="AT67" i="8"/>
  <c r="AT65" i="8"/>
  <c r="AT68" i="8"/>
  <c r="AT69" i="8"/>
  <c r="AT64" i="8"/>
  <c r="AT74" i="8"/>
  <c r="AT60" i="8"/>
  <c r="AT55" i="8"/>
  <c r="AU5" i="8"/>
  <c r="G215" i="6"/>
  <c r="H213" i="6"/>
  <c r="L187" i="6"/>
  <c r="L188" i="6"/>
  <c r="K167" i="6"/>
  <c r="K166" i="6"/>
  <c r="K70" i="6"/>
  <c r="L17" i="6"/>
  <c r="L19" i="6" s="1"/>
  <c r="K156" i="6"/>
  <c r="K150" i="6"/>
  <c r="I4" i="8"/>
  <c r="K5" i="7"/>
  <c r="L4" i="7"/>
  <c r="E69" i="6"/>
  <c r="K165" i="6"/>
  <c r="K154" i="6"/>
  <c r="K136" i="6"/>
  <c r="H71" i="6"/>
  <c r="H55" i="6"/>
  <c r="K126" i="6"/>
  <c r="K123" i="6"/>
  <c r="K145" i="6"/>
  <c r="AS25" i="8" a="1"/>
  <c r="AS25" i="8" s="1"/>
  <c r="AS24" i="8" a="1"/>
  <c r="AS24" i="8" s="1"/>
  <c r="AS22" i="8" a="1"/>
  <c r="AS22" i="8" s="1"/>
  <c r="AS23" i="8" a="1"/>
  <c r="AS23" i="8" s="1"/>
  <c r="AS26" i="8" a="1"/>
  <c r="AS26" i="8" s="1"/>
  <c r="AS16" i="8" a="1"/>
  <c r="AS16" i="8" s="1"/>
  <c r="AS20" i="8" a="1"/>
  <c r="AS20" i="8" s="1"/>
  <c r="AS15" i="8" a="1"/>
  <c r="AS15" i="8" s="1"/>
  <c r="AS14" i="8" a="1"/>
  <c r="AS14" i="8" s="1"/>
  <c r="K125" i="6"/>
  <c r="K147" i="6"/>
  <c r="I127" i="6"/>
  <c r="I137" i="6" s="1"/>
  <c r="I138" i="6" s="1"/>
  <c r="I175" i="6" s="1" a="1"/>
  <c r="I175" i="6" s="1"/>
  <c r="I43" i="6" a="1"/>
  <c r="I43" i="6" s="1"/>
  <c r="I147" i="6"/>
  <c r="I157" i="6" s="1"/>
  <c r="I158" i="6" s="1"/>
  <c r="I167" i="6"/>
  <c r="I172" i="6" s="1"/>
  <c r="I173" i="6" s="1"/>
  <c r="I42" i="6"/>
  <c r="J31" i="6"/>
  <c r="J73" i="6" s="1"/>
  <c r="L49" i="6"/>
  <c r="L56" i="6" s="1"/>
  <c r="K135" i="6"/>
  <c r="K133" i="6"/>
  <c r="K95" i="6"/>
  <c r="K122" i="6"/>
  <c r="K131" i="6"/>
  <c r="K132" i="6"/>
  <c r="K151" i="6"/>
  <c r="K170" i="6"/>
  <c r="I214" i="6" l="1"/>
  <c r="I206" i="6"/>
  <c r="H53" i="6"/>
  <c r="H75" i="6"/>
  <c r="H69" i="6" s="1"/>
  <c r="H67" i="6" s="1"/>
  <c r="H66" i="6" s="1"/>
  <c r="H76" i="6"/>
  <c r="E67" i="6"/>
  <c r="E66" i="6" s="1"/>
  <c r="L5" i="7"/>
  <c r="J4" i="8"/>
  <c r="M4" i="7"/>
  <c r="AU112" i="8"/>
  <c r="AU110" i="8"/>
  <c r="AU108" i="8"/>
  <c r="AU106" i="8"/>
  <c r="AU104" i="8"/>
  <c r="AU102" i="8"/>
  <c r="AU100" i="8"/>
  <c r="AU98" i="8"/>
  <c r="AU96" i="8"/>
  <c r="AU94" i="8"/>
  <c r="AU92" i="8"/>
  <c r="AU111" i="8"/>
  <c r="AU109" i="8"/>
  <c r="AU107" i="8"/>
  <c r="AU105" i="8"/>
  <c r="AU103" i="8"/>
  <c r="AU101" i="8"/>
  <c r="AU99" i="8"/>
  <c r="AU97" i="8"/>
  <c r="AU95" i="8"/>
  <c r="AU93" i="8"/>
  <c r="AU87" i="8"/>
  <c r="AU86" i="8"/>
  <c r="AU84" i="8"/>
  <c r="AU82" i="8"/>
  <c r="AU80" i="8"/>
  <c r="AU78" i="8"/>
  <c r="AU76" i="8"/>
  <c r="AU113" i="8"/>
  <c r="AU90" i="8"/>
  <c r="AU81" i="8"/>
  <c r="AU79" i="8"/>
  <c r="AU75" i="8"/>
  <c r="AU73" i="8"/>
  <c r="AU71" i="8"/>
  <c r="AU69" i="8"/>
  <c r="AU67" i="8"/>
  <c r="AU65" i="8"/>
  <c r="AU63" i="8"/>
  <c r="AU61" i="8"/>
  <c r="AU85" i="8"/>
  <c r="AU89" i="8"/>
  <c r="AU77" i="8"/>
  <c r="AU83" i="8"/>
  <c r="AU64" i="8"/>
  <c r="AU91" i="8"/>
  <c r="AU88" i="8"/>
  <c r="AU70" i="8"/>
  <c r="AU59" i="8"/>
  <c r="AU56" i="8"/>
  <c r="AU74" i="8"/>
  <c r="AU72" i="8"/>
  <c r="AU54" i="8"/>
  <c r="AU68" i="8"/>
  <c r="AU58" i="8"/>
  <c r="AU62" i="8"/>
  <c r="AU60" i="8"/>
  <c r="AU57" i="8"/>
  <c r="AU55" i="8"/>
  <c r="AU66" i="8"/>
  <c r="AV5" i="8"/>
  <c r="L95" i="6"/>
  <c r="I45" i="6"/>
  <c r="J48" i="6"/>
  <c r="J57" i="6" s="1"/>
  <c r="J128" i="6"/>
  <c r="J137" i="6" s="1"/>
  <c r="J138" i="6" s="1"/>
  <c r="J175" i="6" s="1" a="1"/>
  <c r="J175" i="6" s="1"/>
  <c r="J148" i="6"/>
  <c r="J157" i="6" s="1"/>
  <c r="J158" i="6" s="1"/>
  <c r="J168" i="6"/>
  <c r="J172" i="6" s="1"/>
  <c r="J173" i="6" s="1"/>
  <c r="K32" i="6"/>
  <c r="J42" i="6"/>
  <c r="J43" i="6" a="1"/>
  <c r="J43" i="6" s="1"/>
  <c r="I213" i="6"/>
  <c r="H215" i="6"/>
  <c r="J201" i="6"/>
  <c r="J205" i="6" s="1"/>
  <c r="I44" i="6"/>
  <c r="I88" i="6"/>
  <c r="I87" i="6" s="1"/>
  <c r="I3" i="8"/>
  <c r="G71" i="6"/>
  <c r="G55" i="6"/>
  <c r="M173" i="6"/>
  <c r="M171" i="6"/>
  <c r="M169" i="6"/>
  <c r="M167" i="6"/>
  <c r="M165" i="6"/>
  <c r="M163" i="6"/>
  <c r="M158" i="6"/>
  <c r="M156" i="6"/>
  <c r="M154" i="6"/>
  <c r="M162" i="6"/>
  <c r="M153" i="6"/>
  <c r="M144" i="6"/>
  <c r="M134" i="6"/>
  <c r="M168" i="6"/>
  <c r="M130" i="6"/>
  <c r="M149" i="6"/>
  <c r="M145" i="6"/>
  <c r="M138" i="6"/>
  <c r="M175" i="6" s="1" a="1"/>
  <c r="M175" i="6" s="1"/>
  <c r="M128" i="6"/>
  <c r="M164" i="6"/>
  <c r="M142" i="6"/>
  <c r="M172" i="6"/>
  <c r="M166" i="6"/>
  <c r="M137" i="6"/>
  <c r="M151" i="6"/>
  <c r="M143" i="6"/>
  <c r="M133" i="6"/>
  <c r="M122" i="6"/>
  <c r="M152" i="6"/>
  <c r="M136" i="6"/>
  <c r="M157" i="6"/>
  <c r="M147" i="6"/>
  <c r="M135" i="6"/>
  <c r="M126" i="6"/>
  <c r="M124" i="6"/>
  <c r="M123" i="6"/>
  <c r="M99" i="6"/>
  <c r="M85" i="6"/>
  <c r="M189" i="6"/>
  <c r="N185" i="6" s="1"/>
  <c r="M150" i="6"/>
  <c r="M97" i="6"/>
  <c r="M39" i="6"/>
  <c r="M37" i="6"/>
  <c r="M35" i="6"/>
  <c r="M33" i="6"/>
  <c r="M31" i="6"/>
  <c r="M29" i="6"/>
  <c r="M98" i="6"/>
  <c r="M73" i="6"/>
  <c r="M15" i="6"/>
  <c r="M12" i="6"/>
  <c r="M146" i="6"/>
  <c r="M125" i="6"/>
  <c r="M75" i="6"/>
  <c r="M148" i="6"/>
  <c r="M132" i="6"/>
  <c r="M129" i="6"/>
  <c r="M92" i="6"/>
  <c r="M91" i="6" s="1"/>
  <c r="M63" i="6" a="1"/>
  <c r="M63" i="6" s="1"/>
  <c r="M27" i="6"/>
  <c r="M155" i="6"/>
  <c r="M131" i="6"/>
  <c r="M170" i="6"/>
  <c r="M96" i="6"/>
  <c r="M74" i="6"/>
  <c r="M30" i="6"/>
  <c r="M22" i="6"/>
  <c r="M28" i="6"/>
  <c r="M25" i="6"/>
  <c r="M6" i="6"/>
  <c r="M38" i="6"/>
  <c r="M16" i="6"/>
  <c r="M34" i="6"/>
  <c r="M18" i="6"/>
  <c r="M19" i="6" s="1"/>
  <c r="N5" i="6"/>
  <c r="M127" i="6"/>
  <c r="M13" i="6"/>
  <c r="M36" i="6"/>
  <c r="M32" i="6"/>
  <c r="M26" i="6"/>
  <c r="M76" i="6"/>
  <c r="M48" i="6"/>
  <c r="M57" i="6" s="1"/>
  <c r="M71" i="6" s="1"/>
  <c r="M11" i="6"/>
  <c r="N17" i="6" s="1"/>
  <c r="F181" i="6"/>
  <c r="F179" i="6"/>
  <c r="F180" i="6"/>
  <c r="H87" i="6"/>
  <c r="M187" i="6"/>
  <c r="M188" i="6"/>
  <c r="M49" i="6"/>
  <c r="M56" i="6" s="1"/>
  <c r="L42" i="6"/>
  <c r="AT23" i="8" a="1"/>
  <c r="AT23" i="8" s="1"/>
  <c r="AT24" i="8" a="1"/>
  <c r="AT24" i="8" s="1"/>
  <c r="AT22" i="8" a="1"/>
  <c r="AT22" i="8" s="1"/>
  <c r="AT16" i="8" a="1"/>
  <c r="AT16" i="8" s="1"/>
  <c r="AT26" i="8" a="1"/>
  <c r="AT26" i="8" s="1"/>
  <c r="AT20" i="8" a="1"/>
  <c r="AT20" i="8" s="1"/>
  <c r="AT15" i="8" a="1"/>
  <c r="AT15" i="8" s="1"/>
  <c r="AT25" i="8" a="1"/>
  <c r="AT25" i="8" s="1"/>
  <c r="AT14" i="8" a="1"/>
  <c r="AT14" i="8" s="1"/>
  <c r="L43" i="6" a="1"/>
  <c r="L43" i="6" s="1"/>
  <c r="L45" i="6" s="1"/>
  <c r="L55" i="6"/>
  <c r="L53" i="6" s="1"/>
  <c r="L70" i="6"/>
  <c r="L69" i="6" s="1"/>
  <c r="L67" i="6" s="1"/>
  <c r="I48" i="6"/>
  <c r="E181" i="6"/>
  <c r="E179" i="6"/>
  <c r="E180" i="6"/>
  <c r="N19" i="6" l="1"/>
  <c r="J214" i="6"/>
  <c r="J206" i="6"/>
  <c r="J44" i="6"/>
  <c r="J88" i="6"/>
  <c r="J87" i="6" s="1"/>
  <c r="J3" i="8"/>
  <c r="N173" i="6"/>
  <c r="N171" i="6"/>
  <c r="N169" i="6"/>
  <c r="N167" i="6"/>
  <c r="N165" i="6"/>
  <c r="N163" i="6"/>
  <c r="N158" i="6"/>
  <c r="N156" i="6"/>
  <c r="N154" i="6"/>
  <c r="N151" i="6"/>
  <c r="N142" i="6"/>
  <c r="N132" i="6"/>
  <c r="N189" i="6"/>
  <c r="O185" i="6" s="1"/>
  <c r="N162" i="6"/>
  <c r="N153" i="6"/>
  <c r="N149" i="6"/>
  <c r="N145" i="6"/>
  <c r="N138" i="6"/>
  <c r="N175" i="6" s="1" a="1"/>
  <c r="N175" i="6" s="1"/>
  <c r="N134" i="6"/>
  <c r="N128" i="6"/>
  <c r="N98" i="6"/>
  <c r="N96" i="6"/>
  <c r="N95" i="6" s="1"/>
  <c r="N92" i="6"/>
  <c r="N91" i="6" s="1"/>
  <c r="N164" i="6"/>
  <c r="N135" i="6"/>
  <c r="N126" i="6"/>
  <c r="N124" i="6"/>
  <c r="N122" i="6"/>
  <c r="N150" i="6"/>
  <c r="N146" i="6"/>
  <c r="N155" i="6"/>
  <c r="N152" i="6"/>
  <c r="N148" i="6"/>
  <c r="N144" i="6"/>
  <c r="N143" i="6"/>
  <c r="N133" i="6"/>
  <c r="N166" i="6"/>
  <c r="N136" i="6"/>
  <c r="N99" i="6"/>
  <c r="N97" i="6"/>
  <c r="N168" i="6"/>
  <c r="N172" i="6"/>
  <c r="N137" i="6"/>
  <c r="N125" i="6"/>
  <c r="N157" i="6"/>
  <c r="N131" i="6"/>
  <c r="N129" i="6"/>
  <c r="N76" i="6"/>
  <c r="N170" i="6"/>
  <c r="N130" i="6"/>
  <c r="N127" i="6"/>
  <c r="N73" i="6"/>
  <c r="N75" i="6"/>
  <c r="N85" i="6"/>
  <c r="N48" i="6"/>
  <c r="N57" i="6" s="1"/>
  <c r="N71" i="6" s="1"/>
  <c r="N28" i="6"/>
  <c r="N26" i="6"/>
  <c r="N39" i="6"/>
  <c r="N37" i="6"/>
  <c r="N35" i="6"/>
  <c r="N33" i="6"/>
  <c r="N31" i="6"/>
  <c r="N29" i="6"/>
  <c r="N63" i="6" a="1"/>
  <c r="N63" i="6" s="1"/>
  <c r="N74" i="6"/>
  <c r="N38" i="6"/>
  <c r="N15" i="6"/>
  <c r="N13" i="6"/>
  <c r="N34" i="6"/>
  <c r="N18" i="6"/>
  <c r="N12" i="6"/>
  <c r="O5" i="6"/>
  <c r="N6" i="6"/>
  <c r="N27" i="6"/>
  <c r="N25" i="6"/>
  <c r="N43" i="6" s="1" a="1"/>
  <c r="N43" i="6" s="1"/>
  <c r="N16" i="6"/>
  <c r="N147" i="6"/>
  <c r="N36" i="6"/>
  <c r="N32" i="6"/>
  <c r="N11" i="6"/>
  <c r="N22" i="6"/>
  <c r="N123" i="6"/>
  <c r="N30" i="6"/>
  <c r="G53" i="6"/>
  <c r="G76" i="6"/>
  <c r="G75" i="6"/>
  <c r="K149" i="6"/>
  <c r="K129" i="6"/>
  <c r="K137" i="6" s="1"/>
  <c r="K138" i="6" s="1"/>
  <c r="K175" i="6" s="1" a="1"/>
  <c r="K175" i="6" s="1"/>
  <c r="K169" i="6"/>
  <c r="K74" i="6"/>
  <c r="K42" i="6"/>
  <c r="G69" i="6"/>
  <c r="M201" i="6"/>
  <c r="M205" i="6" s="1"/>
  <c r="L44" i="6"/>
  <c r="H179" i="6"/>
  <c r="H181" i="6"/>
  <c r="H180" i="6"/>
  <c r="L88" i="6"/>
  <c r="L87" i="6" s="1"/>
  <c r="M95" i="6"/>
  <c r="AU26" i="8" a="1"/>
  <c r="AU26" i="8" s="1"/>
  <c r="AU20" i="8" a="1"/>
  <c r="AU20" i="8" s="1"/>
  <c r="AU15" i="8" a="1"/>
  <c r="AU15" i="8" s="1"/>
  <c r="AU24" i="8" a="1"/>
  <c r="AU24" i="8" s="1"/>
  <c r="AU22" i="8" a="1"/>
  <c r="AU22" i="8" s="1"/>
  <c r="AU25" i="8" a="1"/>
  <c r="AU25" i="8" s="1"/>
  <c r="AU23" i="8" a="1"/>
  <c r="AU23" i="8" s="1"/>
  <c r="AU16" i="8" a="1"/>
  <c r="AU16" i="8" s="1"/>
  <c r="AU14" i="8" a="1"/>
  <c r="AU14" i="8" s="1"/>
  <c r="M55" i="6"/>
  <c r="M53" i="6" s="1"/>
  <c r="M70" i="6"/>
  <c r="M69" i="6" s="1"/>
  <c r="M67" i="6" s="1"/>
  <c r="AV112" i="8"/>
  <c r="AV110" i="8"/>
  <c r="AV108" i="8"/>
  <c r="AV106" i="8"/>
  <c r="AV104" i="8"/>
  <c r="AV102" i="8"/>
  <c r="AV100" i="8"/>
  <c r="AV98" i="8"/>
  <c r="AV96" i="8"/>
  <c r="AV94" i="8"/>
  <c r="AV92" i="8"/>
  <c r="AV113" i="8"/>
  <c r="AV89" i="8"/>
  <c r="AV88" i="8"/>
  <c r="AV87" i="8"/>
  <c r="AV85" i="8"/>
  <c r="AV111" i="8"/>
  <c r="AV107" i="8"/>
  <c r="AV103" i="8"/>
  <c r="AV99" i="8"/>
  <c r="AV95" i="8"/>
  <c r="AV91" i="8"/>
  <c r="AV90" i="8"/>
  <c r="AV86" i="8"/>
  <c r="AV109" i="8"/>
  <c r="AV105" i="8"/>
  <c r="AV101" i="8"/>
  <c r="AV97" i="8"/>
  <c r="AV84" i="8"/>
  <c r="AV82" i="8"/>
  <c r="AV81" i="8"/>
  <c r="AV79" i="8"/>
  <c r="AV78" i="8"/>
  <c r="AV83" i="8"/>
  <c r="AV75" i="8"/>
  <c r="AV63" i="8"/>
  <c r="AV64" i="8"/>
  <c r="AV93" i="8"/>
  <c r="AV60" i="8"/>
  <c r="AV58" i="8"/>
  <c r="AV56" i="8"/>
  <c r="AV80" i="8"/>
  <c r="AV77" i="8"/>
  <c r="AV76" i="8"/>
  <c r="AV70" i="8"/>
  <c r="AV74" i="8"/>
  <c r="AV72" i="8"/>
  <c r="AV61" i="8"/>
  <c r="AV71" i="8"/>
  <c r="AV59" i="8"/>
  <c r="AV68" i="8"/>
  <c r="AV65" i="8"/>
  <c r="AV69" i="8"/>
  <c r="AV54" i="8"/>
  <c r="AV62" i="8"/>
  <c r="AV57" i="8"/>
  <c r="AV55" i="8"/>
  <c r="AV73" i="8"/>
  <c r="AV66" i="8"/>
  <c r="AV67" i="8"/>
  <c r="AW5" i="8"/>
  <c r="I57" i="6"/>
  <c r="L66" i="6"/>
  <c r="M43" i="6" a="1"/>
  <c r="M43" i="6" s="1"/>
  <c r="M45" i="6" s="1"/>
  <c r="N187" i="6"/>
  <c r="N188" i="6"/>
  <c r="K73" i="6"/>
  <c r="J71" i="6"/>
  <c r="J55" i="6"/>
  <c r="I215" i="6"/>
  <c r="J213" i="6"/>
  <c r="L180" i="6"/>
  <c r="L179" i="6"/>
  <c r="L181" i="6"/>
  <c r="N49" i="6"/>
  <c r="N56" i="6" s="1"/>
  <c r="M42" i="6"/>
  <c r="J45" i="6"/>
  <c r="K201" i="6" s="1"/>
  <c r="K205" i="6" s="1"/>
  <c r="K48" i="6"/>
  <c r="K4" i="8"/>
  <c r="M5" i="7"/>
  <c r="N4" i="7"/>
  <c r="K214" i="6" l="1"/>
  <c r="K206" i="6"/>
  <c r="N70" i="6"/>
  <c r="N69" i="6" s="1"/>
  <c r="N67" i="6" s="1"/>
  <c r="N55" i="6"/>
  <c r="N53" i="6" s="1"/>
  <c r="K44" i="6"/>
  <c r="L201" i="6" s="1"/>
  <c r="L205" i="6" s="1"/>
  <c r="K88" i="6"/>
  <c r="K157" i="6"/>
  <c r="K158" i="6" s="1"/>
  <c r="K172" i="6"/>
  <c r="K45" i="6"/>
  <c r="M214" i="6"/>
  <c r="M206" i="6"/>
  <c r="G67" i="6"/>
  <c r="G66" i="6" s="1"/>
  <c r="G180" i="6" s="1"/>
  <c r="G181" i="6"/>
  <c r="O188" i="6"/>
  <c r="O187" i="6"/>
  <c r="K3" i="8"/>
  <c r="N42" i="6"/>
  <c r="O49" i="6"/>
  <c r="O56" i="6" s="1"/>
  <c r="K213" i="6"/>
  <c r="J215" i="6"/>
  <c r="I71" i="6"/>
  <c r="I55" i="6"/>
  <c r="AV26" i="8" a="1"/>
  <c r="AV26" i="8" s="1"/>
  <c r="AV24" i="8" a="1"/>
  <c r="AV24" i="8" s="1"/>
  <c r="AV22" i="8" a="1"/>
  <c r="AV22" i="8" s="1"/>
  <c r="AV14" i="8" a="1"/>
  <c r="AV14" i="8" s="1"/>
  <c r="AV25" i="8" a="1"/>
  <c r="AV25" i="8" s="1"/>
  <c r="AV23" i="8" a="1"/>
  <c r="AV23" i="8" s="1"/>
  <c r="AV20" i="8" a="1"/>
  <c r="AV20" i="8" s="1"/>
  <c r="AV15" i="8" a="1"/>
  <c r="AV15" i="8" s="1"/>
  <c r="AV16" i="8" a="1"/>
  <c r="AV16" i="8" s="1"/>
  <c r="O17" i="6"/>
  <c r="AW112" i="8"/>
  <c r="AW110" i="8"/>
  <c r="AW108" i="8"/>
  <c r="AW106" i="8"/>
  <c r="AW104" i="8"/>
  <c r="AW102" i="8"/>
  <c r="AW100" i="8"/>
  <c r="AW98" i="8"/>
  <c r="AW96" i="8"/>
  <c r="AW94" i="8"/>
  <c r="AW92" i="8"/>
  <c r="AW90" i="8"/>
  <c r="AW88" i="8"/>
  <c r="AW86" i="8"/>
  <c r="AW113" i="8"/>
  <c r="AW85" i="8"/>
  <c r="AW83" i="8"/>
  <c r="AW81" i="8"/>
  <c r="AW111" i="8"/>
  <c r="AW109" i="8"/>
  <c r="AW107" i="8"/>
  <c r="AW105" i="8"/>
  <c r="AW103" i="8"/>
  <c r="AW101" i="8"/>
  <c r="AW99" i="8"/>
  <c r="AW97" i="8"/>
  <c r="AW95" i="8"/>
  <c r="AW93" i="8"/>
  <c r="AW87" i="8"/>
  <c r="AW84" i="8"/>
  <c r="AW74" i="8"/>
  <c r="AW72" i="8"/>
  <c r="AW70" i="8"/>
  <c r="AW68" i="8"/>
  <c r="AW64" i="8"/>
  <c r="AW60" i="8"/>
  <c r="AW73" i="8"/>
  <c r="AW69" i="8"/>
  <c r="AW61" i="8"/>
  <c r="AW91" i="8"/>
  <c r="AW89" i="8"/>
  <c r="AW82" i="8"/>
  <c r="AW75" i="8"/>
  <c r="AW63" i="8"/>
  <c r="AW78" i="8"/>
  <c r="AW80" i="8"/>
  <c r="AW71" i="8"/>
  <c r="AW62" i="8"/>
  <c r="AW79" i="8"/>
  <c r="AW77" i="8"/>
  <c r="AW76" i="8"/>
  <c r="AW56" i="8"/>
  <c r="AW65" i="8"/>
  <c r="AW58" i="8"/>
  <c r="AW54" i="8"/>
  <c r="AW57" i="8"/>
  <c r="AW55" i="8"/>
  <c r="AW66" i="8"/>
  <c r="AW67" i="8"/>
  <c r="AW59" i="8"/>
  <c r="AX5" i="8"/>
  <c r="O189" i="6"/>
  <c r="P185" i="6" s="1"/>
  <c r="O173" i="6"/>
  <c r="O171" i="6"/>
  <c r="O169" i="6"/>
  <c r="O167" i="6"/>
  <c r="O165" i="6"/>
  <c r="O163" i="6"/>
  <c r="O158" i="6"/>
  <c r="O156" i="6"/>
  <c r="O154" i="6"/>
  <c r="O152" i="6"/>
  <c r="O150" i="6"/>
  <c r="O148" i="6"/>
  <c r="O146" i="6"/>
  <c r="O144" i="6"/>
  <c r="O142" i="6"/>
  <c r="O137" i="6"/>
  <c r="O135" i="6"/>
  <c r="O133" i="6"/>
  <c r="O172" i="6"/>
  <c r="O168" i="6"/>
  <c r="O164" i="6"/>
  <c r="O157" i="6"/>
  <c r="O149" i="6"/>
  <c r="O126" i="6"/>
  <c r="O124" i="6"/>
  <c r="O122" i="6"/>
  <c r="O170" i="6"/>
  <c r="O166" i="6"/>
  <c r="O151" i="6"/>
  <c r="O136" i="6"/>
  <c r="O145" i="6"/>
  <c r="O132" i="6"/>
  <c r="O155" i="6"/>
  <c r="O123" i="6"/>
  <c r="O85" i="6"/>
  <c r="O63" i="6" a="1"/>
  <c r="O63" i="6" s="1"/>
  <c r="O96" i="6"/>
  <c r="O143" i="6"/>
  <c r="O130" i="6"/>
  <c r="O127" i="6"/>
  <c r="O97" i="6"/>
  <c r="O147" i="6"/>
  <c r="O98" i="6"/>
  <c r="O75" i="6"/>
  <c r="O125" i="6"/>
  <c r="O48" i="6"/>
  <c r="O28" i="6"/>
  <c r="O26" i="6"/>
  <c r="O134" i="6"/>
  <c r="O131" i="6"/>
  <c r="O99" i="6"/>
  <c r="O74" i="6"/>
  <c r="O38" i="6"/>
  <c r="O36" i="6"/>
  <c r="O34" i="6"/>
  <c r="O32" i="6"/>
  <c r="O30" i="6"/>
  <c r="O22" i="6"/>
  <c r="O138" i="6"/>
  <c r="O175" i="6" s="1" a="1"/>
  <c r="O175" i="6" s="1"/>
  <c r="O73" i="6"/>
  <c r="O162" i="6"/>
  <c r="O37" i="6"/>
  <c r="O33" i="6"/>
  <c r="O35" i="6"/>
  <c r="O18" i="6"/>
  <c r="O12" i="6"/>
  <c r="P5" i="6"/>
  <c r="O13" i="6"/>
  <c r="O11" i="6"/>
  <c r="O27" i="6"/>
  <c r="O25" i="6"/>
  <c r="O16" i="6"/>
  <c r="O128" i="6"/>
  <c r="O31" i="6"/>
  <c r="O6" i="6"/>
  <c r="O92" i="6"/>
  <c r="O91" i="6" s="1"/>
  <c r="O153" i="6"/>
  <c r="O76" i="6"/>
  <c r="O29" i="6"/>
  <c r="O15" i="6"/>
  <c r="O129" i="6"/>
  <c r="O39" i="6"/>
  <c r="K57" i="6"/>
  <c r="O4" i="7"/>
  <c r="N5" i="7"/>
  <c r="L4" i="8"/>
  <c r="L3" i="8" s="1"/>
  <c r="M44" i="6"/>
  <c r="N201" i="6" s="1"/>
  <c r="N205" i="6" s="1"/>
  <c r="M88" i="6"/>
  <c r="M87" i="6" s="1"/>
  <c r="M66" i="6" s="1"/>
  <c r="J53" i="6"/>
  <c r="J76" i="6"/>
  <c r="J75" i="6"/>
  <c r="J69" i="6" s="1"/>
  <c r="J67" i="6" s="1"/>
  <c r="J66" i="6" s="1"/>
  <c r="N206" i="6" l="1"/>
  <c r="N214" i="6"/>
  <c r="L214" i="6"/>
  <c r="L206" i="6"/>
  <c r="M181" i="6"/>
  <c r="M179" i="6"/>
  <c r="M180" i="6"/>
  <c r="K215" i="6"/>
  <c r="L213" i="6"/>
  <c r="J180" i="6"/>
  <c r="J181" i="6"/>
  <c r="J179" i="6"/>
  <c r="I53" i="6"/>
  <c r="I75" i="6"/>
  <c r="I76" i="6"/>
  <c r="I69" i="6"/>
  <c r="O70" i="6"/>
  <c r="K173" i="6"/>
  <c r="K63" i="6" a="1"/>
  <c r="K63" i="6" s="1"/>
  <c r="K71" i="6"/>
  <c r="K55" i="6"/>
  <c r="O43" i="6" a="1"/>
  <c r="O43" i="6" s="1"/>
  <c r="P187" i="6"/>
  <c r="P188" i="6"/>
  <c r="AW26" i="8" a="1"/>
  <c r="AW26" i="8" s="1"/>
  <c r="AW25" i="8" a="1"/>
  <c r="AW25" i="8" s="1"/>
  <c r="AW24" i="8" a="1"/>
  <c r="AW24" i="8" s="1"/>
  <c r="AW23" i="8" a="1"/>
  <c r="AW23" i="8" s="1"/>
  <c r="AW20" i="8" a="1"/>
  <c r="AW20" i="8" s="1"/>
  <c r="AW14" i="8" a="1"/>
  <c r="AW14" i="8" s="1"/>
  <c r="AW15" i="8" a="1"/>
  <c r="AW15" i="8" s="1"/>
  <c r="AW16" i="8" a="1"/>
  <c r="AW16" i="8" s="1"/>
  <c r="N44" i="6"/>
  <c r="O201" i="6" s="1"/>
  <c r="O205" i="6" s="1"/>
  <c r="G179" i="6"/>
  <c r="N45" i="6"/>
  <c r="N88" i="6"/>
  <c r="N87" i="6" s="1"/>
  <c r="N66" i="6" s="1"/>
  <c r="P17" i="6"/>
  <c r="P19" i="6" s="1"/>
  <c r="O57" i="6"/>
  <c r="O55" i="6" s="1"/>
  <c r="O53" i="6" s="1"/>
  <c r="K87" i="6"/>
  <c r="AX113" i="8"/>
  <c r="AX112" i="8"/>
  <c r="AX110" i="8"/>
  <c r="AX108" i="8"/>
  <c r="AX106" i="8"/>
  <c r="AX104" i="8"/>
  <c r="AX102" i="8"/>
  <c r="AX100" i="8"/>
  <c r="AX98" i="8"/>
  <c r="AX96" i="8"/>
  <c r="AX94" i="8"/>
  <c r="AX92" i="8"/>
  <c r="AX85" i="8"/>
  <c r="AX83" i="8"/>
  <c r="AX91" i="8"/>
  <c r="AX86" i="8"/>
  <c r="AX111" i="8"/>
  <c r="AX107" i="8"/>
  <c r="AX103" i="8"/>
  <c r="AX99" i="8"/>
  <c r="AX95" i="8"/>
  <c r="AX74" i="8"/>
  <c r="AX72" i="8"/>
  <c r="AX70" i="8"/>
  <c r="AX89" i="8"/>
  <c r="AX88" i="8"/>
  <c r="AX80" i="8"/>
  <c r="AX109" i="8"/>
  <c r="AX105" i="8"/>
  <c r="AX101" i="8"/>
  <c r="AX97" i="8"/>
  <c r="AX87" i="8"/>
  <c r="AX60" i="8"/>
  <c r="AX58" i="8"/>
  <c r="AX93" i="8"/>
  <c r="AX73" i="8"/>
  <c r="AX69" i="8"/>
  <c r="AX61" i="8"/>
  <c r="AX79" i="8"/>
  <c r="AX77" i="8"/>
  <c r="AX76" i="8"/>
  <c r="AX71" i="8"/>
  <c r="AX68" i="8"/>
  <c r="AX67" i="8"/>
  <c r="AX65" i="8"/>
  <c r="AX84" i="8"/>
  <c r="AX90" i="8"/>
  <c r="AX64" i="8"/>
  <c r="AX75" i="8"/>
  <c r="AX81" i="8"/>
  <c r="AX62" i="8"/>
  <c r="AX66" i="8"/>
  <c r="AX57" i="8"/>
  <c r="AX55" i="8"/>
  <c r="AX82" i="8"/>
  <c r="AX78" i="8"/>
  <c r="AX63" i="8"/>
  <c r="AX56" i="8"/>
  <c r="AX54" i="8"/>
  <c r="AX59" i="8"/>
  <c r="AY5" i="8"/>
  <c r="O19" i="6"/>
  <c r="O42" i="6"/>
  <c r="P49" i="6"/>
  <c r="P56" i="6" s="1"/>
  <c r="M4" i="8"/>
  <c r="M3" i="8" s="1"/>
  <c r="P4" i="7"/>
  <c r="O5" i="7"/>
  <c r="P173" i="6"/>
  <c r="P171" i="6"/>
  <c r="P169" i="6"/>
  <c r="P167" i="6"/>
  <c r="P165" i="6"/>
  <c r="P163" i="6"/>
  <c r="P172" i="6"/>
  <c r="P168" i="6"/>
  <c r="P164" i="6"/>
  <c r="P189" i="6"/>
  <c r="Q185" i="6" s="1"/>
  <c r="P147" i="6"/>
  <c r="P137" i="6"/>
  <c r="P130" i="6"/>
  <c r="P128" i="6"/>
  <c r="P126" i="6"/>
  <c r="P135" i="6"/>
  <c r="P170" i="6"/>
  <c r="P150" i="6"/>
  <c r="P146" i="6"/>
  <c r="P142" i="6"/>
  <c r="P131" i="6"/>
  <c r="P143" i="6"/>
  <c r="P162" i="6"/>
  <c r="P154" i="6"/>
  <c r="P153" i="6"/>
  <c r="P145" i="6"/>
  <c r="P138" i="6"/>
  <c r="P175" i="6" s="1" a="1"/>
  <c r="P175" i="6" s="1"/>
  <c r="P152" i="6"/>
  <c r="P144" i="6"/>
  <c r="P132" i="6"/>
  <c r="P125" i="6"/>
  <c r="P156" i="6"/>
  <c r="P148" i="6"/>
  <c r="P151" i="6"/>
  <c r="P134" i="6"/>
  <c r="P129" i="6"/>
  <c r="P122" i="6"/>
  <c r="P99" i="6"/>
  <c r="O55" i="4" s="1"/>
  <c r="P76" i="6"/>
  <c r="P74" i="6"/>
  <c r="P155" i="6"/>
  <c r="P166" i="6"/>
  <c r="P75" i="6"/>
  <c r="P136" i="6"/>
  <c r="P98" i="6"/>
  <c r="O54" i="4" s="1"/>
  <c r="P48" i="6"/>
  <c r="P28" i="6"/>
  <c r="P26" i="6"/>
  <c r="P149" i="6"/>
  <c r="P85" i="6"/>
  <c r="P38" i="6"/>
  <c r="P36" i="6"/>
  <c r="P34" i="6"/>
  <c r="P32" i="6"/>
  <c r="P30" i="6"/>
  <c r="P22" i="6"/>
  <c r="P18" i="6"/>
  <c r="P16" i="6"/>
  <c r="P6" i="6"/>
  <c r="P157" i="6"/>
  <c r="P124" i="6"/>
  <c r="P63" i="6" a="1"/>
  <c r="P63" i="6" s="1"/>
  <c r="O37" i="4" s="1"/>
  <c r="P97" i="6"/>
  <c r="O53" i="4" s="1"/>
  <c r="P96" i="6"/>
  <c r="P158" i="6"/>
  <c r="P27" i="6"/>
  <c r="P25" i="6"/>
  <c r="P133" i="6"/>
  <c r="P73" i="6"/>
  <c r="P31" i="6"/>
  <c r="P11" i="6"/>
  <c r="P92" i="6"/>
  <c r="P91" i="6" s="1"/>
  <c r="O50" i="4" s="1"/>
  <c r="P13" i="6"/>
  <c r="P37" i="6"/>
  <c r="P127" i="6"/>
  <c r="P33" i="6"/>
  <c r="P29" i="6"/>
  <c r="P123" i="6"/>
  <c r="P39" i="6"/>
  <c r="P15" i="6"/>
  <c r="P35" i="6"/>
  <c r="P12" i="6"/>
  <c r="Q5" i="6"/>
  <c r="O95" i="6"/>
  <c r="M215" i="6"/>
  <c r="N213" i="6"/>
  <c r="N181" i="6" l="1"/>
  <c r="N179" i="6"/>
  <c r="N180" i="6"/>
  <c r="O206" i="6"/>
  <c r="O214" i="6"/>
  <c r="P70" i="6"/>
  <c r="O32" i="4"/>
  <c r="M213" i="6"/>
  <c r="L215" i="6"/>
  <c r="K53" i="6"/>
  <c r="K76" i="6"/>
  <c r="K75" i="6"/>
  <c r="Q189" i="6"/>
  <c r="R185" i="6" s="1"/>
  <c r="Q172" i="6"/>
  <c r="Q170" i="6"/>
  <c r="Q168" i="6"/>
  <c r="Q166" i="6"/>
  <c r="Q164" i="6"/>
  <c r="Q162" i="6"/>
  <c r="Q157" i="6"/>
  <c r="Q155" i="6"/>
  <c r="Q153" i="6"/>
  <c r="Q154" i="6"/>
  <c r="Q145" i="6"/>
  <c r="Q135" i="6"/>
  <c r="Q173" i="6"/>
  <c r="Q169" i="6"/>
  <c r="Q163" i="6"/>
  <c r="Q150" i="6"/>
  <c r="Q146" i="6"/>
  <c r="Q142" i="6"/>
  <c r="Q131" i="6"/>
  <c r="Q143" i="6"/>
  <c r="Q136" i="6"/>
  <c r="Q132" i="6"/>
  <c r="Q129" i="6"/>
  <c r="Q99" i="6"/>
  <c r="Q165" i="6"/>
  <c r="Q158" i="6"/>
  <c r="Q151" i="6"/>
  <c r="Q147" i="6"/>
  <c r="Q167" i="6"/>
  <c r="Q149" i="6"/>
  <c r="Q171" i="6"/>
  <c r="Q152" i="6"/>
  <c r="Q144" i="6"/>
  <c r="Q125" i="6"/>
  <c r="Q127" i="6"/>
  <c r="Q123" i="6"/>
  <c r="Q138" i="6"/>
  <c r="Q175" i="6" s="1" a="1"/>
  <c r="Q175" i="6" s="1"/>
  <c r="Q124" i="6"/>
  <c r="Q96" i="6"/>
  <c r="Q156" i="6"/>
  <c r="Q148" i="6"/>
  <c r="Q97" i="6"/>
  <c r="Q98" i="6"/>
  <c r="Q92" i="6"/>
  <c r="Q91" i="6" s="1"/>
  <c r="Q133" i="6"/>
  <c r="Q85" i="6"/>
  <c r="Q63" i="6" a="1"/>
  <c r="Q63" i="6" s="1"/>
  <c r="Q38" i="6"/>
  <c r="Q36" i="6"/>
  <c r="Q34" i="6"/>
  <c r="Q32" i="6"/>
  <c r="Q30" i="6"/>
  <c r="Q22" i="6"/>
  <c r="Q134" i="6"/>
  <c r="Q122" i="6"/>
  <c r="Q74" i="6"/>
  <c r="Q13" i="6"/>
  <c r="Q126" i="6"/>
  <c r="Q76" i="6"/>
  <c r="Q130" i="6"/>
  <c r="Q75" i="6"/>
  <c r="Q48" i="6"/>
  <c r="Q28" i="6"/>
  <c r="Q26" i="6"/>
  <c r="Q137" i="6"/>
  <c r="Q73" i="6"/>
  <c r="Q31" i="6"/>
  <c r="Q16" i="6"/>
  <c r="Q33" i="6"/>
  <c r="Q11" i="6"/>
  <c r="R17" i="6" s="1"/>
  <c r="Q128" i="6"/>
  <c r="Q37" i="6"/>
  <c r="Q6" i="6"/>
  <c r="Q29" i="6"/>
  <c r="Q39" i="6"/>
  <c r="Q15" i="6"/>
  <c r="Q35" i="6"/>
  <c r="Q12" i="6"/>
  <c r="R5" i="6"/>
  <c r="Q25" i="6"/>
  <c r="Q27" i="6"/>
  <c r="Q18" i="6"/>
  <c r="I67" i="6"/>
  <c r="I66" i="6" s="1"/>
  <c r="I180" i="6" s="1"/>
  <c r="N215" i="6"/>
  <c r="O213" i="6"/>
  <c r="P57" i="6"/>
  <c r="O29" i="4"/>
  <c r="O11" i="4" s="1"/>
  <c r="P42" i="6"/>
  <c r="Q49" i="6"/>
  <c r="Q56" i="6" s="1"/>
  <c r="AY113" i="8"/>
  <c r="AY111" i="8"/>
  <c r="AY109" i="8"/>
  <c r="AY107" i="8"/>
  <c r="AY105" i="8"/>
  <c r="AY103" i="8"/>
  <c r="AY101" i="8"/>
  <c r="AY99" i="8"/>
  <c r="AY97" i="8"/>
  <c r="AY95" i="8"/>
  <c r="AY93" i="8"/>
  <c r="AY85" i="8"/>
  <c r="AY83" i="8"/>
  <c r="AY81" i="8"/>
  <c r="AY79" i="8"/>
  <c r="AY77" i="8"/>
  <c r="AY91" i="8"/>
  <c r="AY112" i="8"/>
  <c r="AY108" i="8"/>
  <c r="AY104" i="8"/>
  <c r="AY100" i="8"/>
  <c r="AY96" i="8"/>
  <c r="AY92" i="8"/>
  <c r="AY74" i="8"/>
  <c r="AY72" i="8"/>
  <c r="AY70" i="8"/>
  <c r="AY68" i="8"/>
  <c r="AY66" i="8"/>
  <c r="AY64" i="8"/>
  <c r="AY62" i="8"/>
  <c r="AY89" i="8"/>
  <c r="AY88" i="8"/>
  <c r="AY80" i="8"/>
  <c r="AY90" i="8"/>
  <c r="AY110" i="8"/>
  <c r="AY106" i="8"/>
  <c r="AY102" i="8"/>
  <c r="AY98" i="8"/>
  <c r="AY94" i="8"/>
  <c r="AY73" i="8"/>
  <c r="AY69" i="8"/>
  <c r="AY61" i="8"/>
  <c r="AY86" i="8"/>
  <c r="AY76" i="8"/>
  <c r="AY71" i="8"/>
  <c r="AY67" i="8"/>
  <c r="AY65" i="8"/>
  <c r="AY84" i="8"/>
  <c r="AY78" i="8"/>
  <c r="AY87" i="8"/>
  <c r="AY82" i="8"/>
  <c r="AY57" i="8"/>
  <c r="AY55" i="8"/>
  <c r="AY63" i="8"/>
  <c r="AY75" i="8"/>
  <c r="AY54" i="8"/>
  <c r="AY58" i="8"/>
  <c r="AY60" i="8"/>
  <c r="AY59" i="8"/>
  <c r="AY56" i="8"/>
  <c r="AZ5" i="8"/>
  <c r="O71" i="6"/>
  <c r="O69" i="6" s="1"/>
  <c r="O67" i="6" s="1"/>
  <c r="O66" i="6" s="1"/>
  <c r="O38" i="4"/>
  <c r="AX24" i="8" a="1"/>
  <c r="AX24" i="8" s="1"/>
  <c r="AX23" i="8" a="1"/>
  <c r="AX23" i="8" s="1"/>
  <c r="AX22" i="8" a="1"/>
  <c r="AX22" i="8" s="1"/>
  <c r="AX25" i="8" a="1"/>
  <c r="AX25" i="8" s="1"/>
  <c r="AX16" i="8" a="1"/>
  <c r="AX16" i="8" s="1"/>
  <c r="AX20" i="8" a="1"/>
  <c r="AX20" i="8" s="1"/>
  <c r="AX26" i="8" a="1"/>
  <c r="AX26" i="8" s="1"/>
  <c r="AX14" i="8" a="1"/>
  <c r="AX14" i="8" s="1"/>
  <c r="AX15" i="8" a="1"/>
  <c r="AX15" i="8" s="1"/>
  <c r="P95" i="6"/>
  <c r="O52" i="4"/>
  <c r="Q187" i="6"/>
  <c r="Q188" i="6"/>
  <c r="O15" i="4"/>
  <c r="Q4" i="7"/>
  <c r="N4" i="8"/>
  <c r="N3" i="8" s="1"/>
  <c r="P5" i="7"/>
  <c r="K69" i="6"/>
  <c r="K67" i="6" s="1"/>
  <c r="K66" i="6" s="1"/>
  <c r="P201" i="6"/>
  <c r="P205" i="6" s="1"/>
  <c r="O44" i="6"/>
  <c r="O88" i="6"/>
  <c r="O87" i="6" s="1"/>
  <c r="Q17" i="6"/>
  <c r="Q19" i="6" s="1"/>
  <c r="P43" i="6" a="1"/>
  <c r="P43" i="6" s="1"/>
  <c r="O45" i="6"/>
  <c r="O181" i="6" l="1"/>
  <c r="O179" i="6"/>
  <c r="O180" i="6"/>
  <c r="R49" i="6"/>
  <c r="R56" i="6" s="1"/>
  <c r="Q42" i="6"/>
  <c r="O215" i="6"/>
  <c r="P213" i="6"/>
  <c r="AY22" i="8" a="1"/>
  <c r="AY22" i="8" s="1"/>
  <c r="AY23" i="8" a="1"/>
  <c r="AY23" i="8" s="1"/>
  <c r="AY16" i="8" a="1"/>
  <c r="AY16" i="8" s="1"/>
  <c r="AY25" i="8" a="1"/>
  <c r="AY25" i="8" s="1"/>
  <c r="AY20" i="8" a="1"/>
  <c r="AY20" i="8" s="1"/>
  <c r="AY26" i="8" a="1"/>
  <c r="AY26" i="8" s="1"/>
  <c r="AY24" i="8" a="1"/>
  <c r="AY24" i="8" s="1"/>
  <c r="AY14" i="8" a="1"/>
  <c r="AY14" i="8" s="1"/>
  <c r="AY15" i="8" a="1"/>
  <c r="AY15" i="8" s="1"/>
  <c r="P44" i="6"/>
  <c r="P71" i="6"/>
  <c r="P69" i="6" s="1"/>
  <c r="R187" i="6"/>
  <c r="R188" i="6"/>
  <c r="Q5" i="7"/>
  <c r="R4" i="7"/>
  <c r="O4" i="8"/>
  <c r="O3" i="8" s="1"/>
  <c r="P55" i="6"/>
  <c r="P88" i="6"/>
  <c r="P206" i="6"/>
  <c r="P214" i="6"/>
  <c r="Q70" i="6"/>
  <c r="R172" i="6"/>
  <c r="R170" i="6"/>
  <c r="R168" i="6"/>
  <c r="R166" i="6"/>
  <c r="R164" i="6"/>
  <c r="R162" i="6"/>
  <c r="R157" i="6"/>
  <c r="R155" i="6"/>
  <c r="R153" i="6"/>
  <c r="R189" i="6"/>
  <c r="S185" i="6" s="1"/>
  <c r="R152" i="6"/>
  <c r="R143" i="6"/>
  <c r="R133" i="6"/>
  <c r="R136" i="6"/>
  <c r="R132" i="6"/>
  <c r="R129" i="6"/>
  <c r="R99" i="6"/>
  <c r="R97" i="6"/>
  <c r="R165" i="6"/>
  <c r="R158" i="6"/>
  <c r="R151" i="6"/>
  <c r="R147" i="6"/>
  <c r="R127" i="6"/>
  <c r="R123" i="6"/>
  <c r="R145" i="6"/>
  <c r="R126" i="6"/>
  <c r="R98" i="6"/>
  <c r="R173" i="6"/>
  <c r="R163" i="6"/>
  <c r="R146" i="6"/>
  <c r="R135" i="6"/>
  <c r="R167" i="6"/>
  <c r="R154" i="6"/>
  <c r="R149" i="6"/>
  <c r="R171" i="6"/>
  <c r="R144" i="6"/>
  <c r="R131" i="6"/>
  <c r="R138" i="6"/>
  <c r="R175" i="6" s="1" a="1"/>
  <c r="R175" i="6" s="1"/>
  <c r="R130" i="6"/>
  <c r="R75" i="6"/>
  <c r="R169" i="6"/>
  <c r="R137" i="6"/>
  <c r="R128" i="6"/>
  <c r="R134" i="6"/>
  <c r="R125" i="6"/>
  <c r="R122" i="6"/>
  <c r="R74" i="6"/>
  <c r="R142" i="6"/>
  <c r="R124" i="6"/>
  <c r="R76" i="6"/>
  <c r="R11" i="6"/>
  <c r="R27" i="6"/>
  <c r="R25" i="6"/>
  <c r="R85" i="6"/>
  <c r="R38" i="6"/>
  <c r="R36" i="6"/>
  <c r="R34" i="6"/>
  <c r="R32" i="6"/>
  <c r="R30" i="6"/>
  <c r="R96" i="6"/>
  <c r="R148" i="6"/>
  <c r="R73" i="6"/>
  <c r="R150" i="6"/>
  <c r="R12" i="6"/>
  <c r="S5" i="6"/>
  <c r="R92" i="6"/>
  <c r="R91" i="6" s="1"/>
  <c r="R37" i="6"/>
  <c r="R13" i="6"/>
  <c r="R6" i="6"/>
  <c r="R29" i="6"/>
  <c r="R15" i="6"/>
  <c r="R63" i="6" a="1"/>
  <c r="R63" i="6" s="1"/>
  <c r="R33" i="6"/>
  <c r="R28" i="6"/>
  <c r="R156" i="6"/>
  <c r="R39" i="6"/>
  <c r="R35" i="6"/>
  <c r="R48" i="6"/>
  <c r="R26" i="6"/>
  <c r="R22" i="6"/>
  <c r="R18" i="6"/>
  <c r="R19" i="6" s="1"/>
  <c r="R16" i="6"/>
  <c r="R31" i="6"/>
  <c r="I181" i="6"/>
  <c r="Q57" i="6"/>
  <c r="Q95" i="6"/>
  <c r="P45" i="6"/>
  <c r="Q201" i="6" s="1"/>
  <c r="Q205" i="6" s="1"/>
  <c r="K181" i="6"/>
  <c r="K179" i="6"/>
  <c r="K180" i="6"/>
  <c r="I179" i="6"/>
  <c r="O16" i="4"/>
  <c r="O51" i="4"/>
  <c r="AZ113" i="8"/>
  <c r="AZ111" i="8"/>
  <c r="AZ109" i="8"/>
  <c r="AZ107" i="8"/>
  <c r="AZ105" i="8"/>
  <c r="AZ103" i="8"/>
  <c r="AZ101" i="8"/>
  <c r="AZ99" i="8"/>
  <c r="AZ97" i="8"/>
  <c r="AZ95" i="8"/>
  <c r="AZ93" i="8"/>
  <c r="AZ91" i="8"/>
  <c r="AZ90" i="8"/>
  <c r="AZ89" i="8"/>
  <c r="AZ112" i="8"/>
  <c r="AZ110" i="8"/>
  <c r="AZ108" i="8"/>
  <c r="AZ106" i="8"/>
  <c r="AZ104" i="8"/>
  <c r="AZ102" i="8"/>
  <c r="AZ100" i="8"/>
  <c r="AZ98" i="8"/>
  <c r="AZ96" i="8"/>
  <c r="AZ94" i="8"/>
  <c r="AZ92" i="8"/>
  <c r="AZ88" i="8"/>
  <c r="AZ85" i="8"/>
  <c r="AZ80" i="8"/>
  <c r="AZ86" i="8"/>
  <c r="AZ76" i="8"/>
  <c r="AZ84" i="8"/>
  <c r="AZ71" i="8"/>
  <c r="AZ67" i="8"/>
  <c r="AZ65" i="8"/>
  <c r="AZ79" i="8"/>
  <c r="AZ78" i="8"/>
  <c r="AZ77" i="8"/>
  <c r="AZ68" i="8"/>
  <c r="AZ66" i="8"/>
  <c r="AZ62" i="8"/>
  <c r="AZ59" i="8"/>
  <c r="AZ57" i="8"/>
  <c r="AZ55" i="8"/>
  <c r="AZ81" i="8"/>
  <c r="AZ87" i="8"/>
  <c r="AZ83" i="8"/>
  <c r="AZ73" i="8"/>
  <c r="AZ69" i="8"/>
  <c r="AZ61" i="8"/>
  <c r="AZ74" i="8"/>
  <c r="AZ72" i="8"/>
  <c r="AZ63" i="8"/>
  <c r="AZ64" i="8"/>
  <c r="AZ60" i="8"/>
  <c r="AZ54" i="8"/>
  <c r="AZ82" i="8"/>
  <c r="AZ70" i="8"/>
  <c r="AZ58" i="8"/>
  <c r="AZ75" i="8"/>
  <c r="AZ56" i="8"/>
  <c r="BA5" i="8"/>
  <c r="Q43" i="6" a="1"/>
  <c r="Q43" i="6" s="1"/>
  <c r="Q45" i="6" s="1"/>
  <c r="O33" i="4"/>
  <c r="Q206" i="6" l="1"/>
  <c r="Q214" i="6"/>
  <c r="P67" i="6"/>
  <c r="O42" i="4"/>
  <c r="R57" i="6"/>
  <c r="Q213" i="6"/>
  <c r="P215" i="6"/>
  <c r="P53" i="6"/>
  <c r="O31" i="4"/>
  <c r="S49" i="6"/>
  <c r="S56" i="6" s="1"/>
  <c r="R42" i="6"/>
  <c r="R88" i="6" s="1"/>
  <c r="R87" i="6" s="1"/>
  <c r="P87" i="6"/>
  <c r="O48" i="4"/>
  <c r="Q44" i="6"/>
  <c r="R201" i="6" s="1"/>
  <c r="R205" i="6" s="1"/>
  <c r="R5" i="7"/>
  <c r="P4" i="8"/>
  <c r="P3" i="8" s="1"/>
  <c r="S4" i="7"/>
  <c r="R70" i="6"/>
  <c r="Q71" i="6"/>
  <c r="Q69" i="6" s="1"/>
  <c r="AZ22" i="8" a="1"/>
  <c r="AZ22" i="8" s="1"/>
  <c r="AZ25" i="8" a="1"/>
  <c r="AZ25" i="8" s="1"/>
  <c r="AZ20" i="8" a="1"/>
  <c r="AZ20" i="8" s="1"/>
  <c r="AZ15" i="8" a="1"/>
  <c r="AZ15" i="8" s="1"/>
  <c r="AZ23" i="8" a="1"/>
  <c r="AZ23" i="8" s="1"/>
  <c r="AZ26" i="8" a="1"/>
  <c r="AZ26" i="8" s="1"/>
  <c r="AZ24" i="8" a="1"/>
  <c r="AZ24" i="8" s="1"/>
  <c r="AZ16" i="8" a="1"/>
  <c r="AZ16" i="8" s="1"/>
  <c r="AZ14" i="8" a="1"/>
  <c r="AZ14" i="8" s="1"/>
  <c r="O21" i="4"/>
  <c r="R43" i="6" a="1"/>
  <c r="R43" i="6" s="1"/>
  <c r="R45" i="6" s="1"/>
  <c r="S17" i="6"/>
  <c r="Q88" i="6"/>
  <c r="R95" i="6"/>
  <c r="BA113" i="8"/>
  <c r="BA111" i="8"/>
  <c r="BA109" i="8"/>
  <c r="BA107" i="8"/>
  <c r="BA105" i="8"/>
  <c r="BA103" i="8"/>
  <c r="BA101" i="8"/>
  <c r="BA99" i="8"/>
  <c r="BA97" i="8"/>
  <c r="BA95" i="8"/>
  <c r="BA93" i="8"/>
  <c r="BA91" i="8"/>
  <c r="BA89" i="8"/>
  <c r="BA87" i="8"/>
  <c r="BA90" i="8"/>
  <c r="BA88" i="8"/>
  <c r="BA84" i="8"/>
  <c r="BA82" i="8"/>
  <c r="BA80" i="8"/>
  <c r="BA85" i="8"/>
  <c r="BA86" i="8"/>
  <c r="BA76" i="8"/>
  <c r="BA78" i="8"/>
  <c r="BA77" i="8"/>
  <c r="BA75" i="8"/>
  <c r="BA73" i="8"/>
  <c r="BA71" i="8"/>
  <c r="BA69" i="8"/>
  <c r="BA67" i="8"/>
  <c r="BA110" i="8"/>
  <c r="BA106" i="8"/>
  <c r="BA112" i="8"/>
  <c r="BA108" i="8"/>
  <c r="BA104" i="8"/>
  <c r="BA100" i="8"/>
  <c r="BA96" i="8"/>
  <c r="BA92" i="8"/>
  <c r="BA79" i="8"/>
  <c r="BA68" i="8"/>
  <c r="BA66" i="8"/>
  <c r="BA62" i="8"/>
  <c r="BA94" i="8"/>
  <c r="BA81" i="8"/>
  <c r="BA74" i="8"/>
  <c r="BA102" i="8"/>
  <c r="BA98" i="8"/>
  <c r="BA65" i="8"/>
  <c r="BA63" i="8"/>
  <c r="BA61" i="8"/>
  <c r="BA57" i="8"/>
  <c r="BA55" i="8"/>
  <c r="BA64" i="8"/>
  <c r="BA60" i="8"/>
  <c r="BA54" i="8"/>
  <c r="BA58" i="8"/>
  <c r="BA83" i="8"/>
  <c r="BA72" i="8"/>
  <c r="BA70" i="8"/>
  <c r="BA59" i="8"/>
  <c r="BA56" i="8"/>
  <c r="BB5" i="8"/>
  <c r="Q55" i="6"/>
  <c r="S172" i="6"/>
  <c r="S170" i="6"/>
  <c r="S168" i="6"/>
  <c r="S166" i="6"/>
  <c r="S164" i="6"/>
  <c r="S162" i="6"/>
  <c r="S157" i="6"/>
  <c r="S155" i="6"/>
  <c r="S153" i="6"/>
  <c r="S151" i="6"/>
  <c r="S149" i="6"/>
  <c r="S147" i="6"/>
  <c r="S145" i="6"/>
  <c r="S143" i="6"/>
  <c r="S138" i="6"/>
  <c r="S175" i="6" s="1" a="1"/>
  <c r="S175" i="6" s="1"/>
  <c r="S136" i="6"/>
  <c r="S134" i="6"/>
  <c r="S132" i="6"/>
  <c r="S189" i="6"/>
  <c r="T185" i="6" s="1"/>
  <c r="S173" i="6"/>
  <c r="S169" i="6"/>
  <c r="S165" i="6"/>
  <c r="S158" i="6"/>
  <c r="S150" i="6"/>
  <c r="S127" i="6"/>
  <c r="S123" i="6"/>
  <c r="S125" i="6"/>
  <c r="S171" i="6"/>
  <c r="S156" i="6"/>
  <c r="S148" i="6"/>
  <c r="S144" i="6"/>
  <c r="S137" i="6"/>
  <c r="S163" i="6"/>
  <c r="S146" i="6"/>
  <c r="S142" i="6"/>
  <c r="S126" i="6"/>
  <c r="S135" i="6"/>
  <c r="S128" i="6"/>
  <c r="S96" i="6"/>
  <c r="S63" i="6" a="1"/>
  <c r="S63" i="6" s="1"/>
  <c r="S154" i="6"/>
  <c r="S92" i="6"/>
  <c r="S91" i="6" s="1"/>
  <c r="S152" i="6"/>
  <c r="S133" i="6"/>
  <c r="S85" i="6"/>
  <c r="S122" i="6"/>
  <c r="S167" i="6"/>
  <c r="S124" i="6"/>
  <c r="S76" i="6"/>
  <c r="S131" i="6"/>
  <c r="S99" i="6"/>
  <c r="S27" i="6"/>
  <c r="S25" i="6"/>
  <c r="S43" i="6" s="1" a="1"/>
  <c r="S43" i="6" s="1"/>
  <c r="S39" i="6"/>
  <c r="S37" i="6"/>
  <c r="S35" i="6"/>
  <c r="S33" i="6"/>
  <c r="S31" i="6"/>
  <c r="S29" i="6"/>
  <c r="S98" i="6"/>
  <c r="S74" i="6"/>
  <c r="S38" i="6"/>
  <c r="S34" i="6"/>
  <c r="S75" i="6"/>
  <c r="S73" i="6"/>
  <c r="S97" i="6"/>
  <c r="S13" i="6"/>
  <c r="S6" i="6"/>
  <c r="S15" i="6"/>
  <c r="T5" i="6"/>
  <c r="S28" i="6"/>
  <c r="S12" i="6"/>
  <c r="S11" i="6"/>
  <c r="T17" i="6" s="1"/>
  <c r="S130" i="6"/>
  <c r="S36" i="6"/>
  <c r="S48" i="6"/>
  <c r="S32" i="6"/>
  <c r="S26" i="6"/>
  <c r="S22" i="6"/>
  <c r="S18" i="6"/>
  <c r="S129" i="6"/>
  <c r="S30" i="6"/>
  <c r="S16" i="6"/>
  <c r="S187" i="6"/>
  <c r="S188" i="6"/>
  <c r="Q67" i="6" l="1"/>
  <c r="R214" i="6"/>
  <c r="R206" i="6"/>
  <c r="Q53" i="6"/>
  <c r="P181" i="6"/>
  <c r="O30" i="4"/>
  <c r="P66" i="6"/>
  <c r="P180" i="6" s="1"/>
  <c r="O40" i="4"/>
  <c r="R71" i="6"/>
  <c r="R69" i="6" s="1"/>
  <c r="T19" i="6"/>
  <c r="T188" i="6"/>
  <c r="T187" i="6"/>
  <c r="S19" i="6"/>
  <c r="Q87" i="6"/>
  <c r="S95" i="6"/>
  <c r="R55" i="6"/>
  <c r="R44" i="6"/>
  <c r="S201" i="6" s="1"/>
  <c r="S205" i="6" s="1"/>
  <c r="O13" i="4"/>
  <c r="O12" i="4" s="1"/>
  <c r="T189" i="6"/>
  <c r="U185" i="6" s="1"/>
  <c r="T172" i="6"/>
  <c r="T170" i="6"/>
  <c r="T168" i="6"/>
  <c r="T166" i="6"/>
  <c r="T164" i="6"/>
  <c r="T173" i="6"/>
  <c r="T169" i="6"/>
  <c r="T165" i="6"/>
  <c r="T158" i="6"/>
  <c r="T148" i="6"/>
  <c r="T138" i="6"/>
  <c r="T175" i="6" s="1" a="1"/>
  <c r="T175" i="6" s="1"/>
  <c r="T131" i="6"/>
  <c r="T129" i="6"/>
  <c r="T127" i="6"/>
  <c r="T125" i="6"/>
  <c r="T151" i="6"/>
  <c r="T147" i="6"/>
  <c r="T143" i="6"/>
  <c r="T171" i="6"/>
  <c r="T156" i="6"/>
  <c r="T144" i="6"/>
  <c r="T137" i="6"/>
  <c r="T133" i="6"/>
  <c r="T157" i="6"/>
  <c r="T152" i="6"/>
  <c r="T150" i="6"/>
  <c r="T145" i="6"/>
  <c r="T135" i="6"/>
  <c r="T132" i="6"/>
  <c r="T128" i="6"/>
  <c r="T163" i="6"/>
  <c r="T146" i="6"/>
  <c r="T130" i="6"/>
  <c r="T92" i="6"/>
  <c r="T91" i="6" s="1"/>
  <c r="T134" i="6"/>
  <c r="T162" i="6"/>
  <c r="T153" i="6"/>
  <c r="T142" i="6"/>
  <c r="T126" i="6"/>
  <c r="T97" i="6"/>
  <c r="T75" i="6"/>
  <c r="T73" i="6"/>
  <c r="T98" i="6"/>
  <c r="T136" i="6"/>
  <c r="T122" i="6"/>
  <c r="T76" i="6"/>
  <c r="T167" i="6"/>
  <c r="T124" i="6"/>
  <c r="T149" i="6"/>
  <c r="T99" i="6"/>
  <c r="T27" i="6"/>
  <c r="T25" i="6"/>
  <c r="T39" i="6"/>
  <c r="T37" i="6"/>
  <c r="T35" i="6"/>
  <c r="T33" i="6"/>
  <c r="T31" i="6"/>
  <c r="T29" i="6"/>
  <c r="U5" i="6"/>
  <c r="T155" i="6"/>
  <c r="T96" i="6"/>
  <c r="T74" i="6"/>
  <c r="T63" i="6" a="1"/>
  <c r="T63" i="6" s="1"/>
  <c r="T154" i="6"/>
  <c r="T34" i="6"/>
  <c r="T28" i="6"/>
  <c r="T11" i="6"/>
  <c r="U17" i="6" s="1"/>
  <c r="T18" i="6"/>
  <c r="T15" i="6"/>
  <c r="T12" i="6"/>
  <c r="T85" i="6"/>
  <c r="T36" i="6"/>
  <c r="T48" i="6"/>
  <c r="T32" i="6"/>
  <c r="T26" i="6"/>
  <c r="T22" i="6"/>
  <c r="T123" i="6"/>
  <c r="T30" i="6"/>
  <c r="T16" i="6"/>
  <c r="T38" i="6"/>
  <c r="T13" i="6"/>
  <c r="T6" i="6"/>
  <c r="S57" i="6"/>
  <c r="T49" i="6"/>
  <c r="T56" i="6" s="1"/>
  <c r="S42" i="6"/>
  <c r="BA26" i="8" a="1"/>
  <c r="BA26" i="8" s="1"/>
  <c r="BA25" i="8" a="1"/>
  <c r="BA25" i="8" s="1"/>
  <c r="BA23" i="8" a="1"/>
  <c r="BA23" i="8" s="1"/>
  <c r="BA14" i="8" a="1"/>
  <c r="BA14" i="8" s="1"/>
  <c r="BA24" i="8" a="1"/>
  <c r="BA24" i="8" s="1"/>
  <c r="BA22" i="8" a="1"/>
  <c r="BA22" i="8" s="1"/>
  <c r="BA20" i="8" a="1"/>
  <c r="BA20" i="8" s="1"/>
  <c r="BA15" i="8" a="1"/>
  <c r="BA15" i="8" s="1"/>
  <c r="BA16" i="8" a="1"/>
  <c r="BA16" i="8" s="1"/>
  <c r="S70" i="6"/>
  <c r="S55" i="6"/>
  <c r="S53" i="6" s="1"/>
  <c r="BB113" i="8"/>
  <c r="BB111" i="8"/>
  <c r="BB109" i="8"/>
  <c r="BB107" i="8"/>
  <c r="BB105" i="8"/>
  <c r="BB103" i="8"/>
  <c r="BB101" i="8"/>
  <c r="BB99" i="8"/>
  <c r="BB97" i="8"/>
  <c r="BB95" i="8"/>
  <c r="BB93" i="8"/>
  <c r="BB90" i="8"/>
  <c r="BB89" i="8"/>
  <c r="BB88" i="8"/>
  <c r="BB84" i="8"/>
  <c r="BB82" i="8"/>
  <c r="BB87" i="8"/>
  <c r="BB86" i="8"/>
  <c r="BB76" i="8"/>
  <c r="BB78" i="8"/>
  <c r="BB77" i="8"/>
  <c r="BB75" i="8"/>
  <c r="BB73" i="8"/>
  <c r="BB71" i="8"/>
  <c r="BB69" i="8"/>
  <c r="BB110" i="8"/>
  <c r="BB106" i="8"/>
  <c r="BB102" i="8"/>
  <c r="BB98" i="8"/>
  <c r="BB94" i="8"/>
  <c r="BB91" i="8"/>
  <c r="BB83" i="8"/>
  <c r="BB79" i="8"/>
  <c r="BB112" i="8"/>
  <c r="BB108" i="8"/>
  <c r="BB104" i="8"/>
  <c r="BB100" i="8"/>
  <c r="BB96" i="8"/>
  <c r="BB85" i="8"/>
  <c r="BB80" i="8"/>
  <c r="BB92" i="8"/>
  <c r="BB66" i="8"/>
  <c r="BB62" i="8"/>
  <c r="BB59" i="8"/>
  <c r="BB57" i="8"/>
  <c r="BB81" i="8"/>
  <c r="BB74" i="8"/>
  <c r="BB72" i="8"/>
  <c r="BB63" i="8"/>
  <c r="BB68" i="8"/>
  <c r="BB67" i="8"/>
  <c r="BB64" i="8"/>
  <c r="BB60" i="8"/>
  <c r="BB54" i="8"/>
  <c r="BB58" i="8"/>
  <c r="BB65" i="8"/>
  <c r="BB56" i="8"/>
  <c r="BB61" i="8"/>
  <c r="BB55" i="8"/>
  <c r="BB70" i="8"/>
  <c r="BC5" i="8"/>
  <c r="Q4" i="8"/>
  <c r="Q3" i="8" s="1"/>
  <c r="T4" i="7"/>
  <c r="S5" i="7"/>
  <c r="O47" i="4"/>
  <c r="R213" i="6"/>
  <c r="Q215" i="6"/>
  <c r="S214" i="6" l="1"/>
  <c r="S206" i="6"/>
  <c r="R67" i="6"/>
  <c r="R66" i="6" s="1"/>
  <c r="S71" i="6"/>
  <c r="S69" i="6" s="1"/>
  <c r="P179" i="6"/>
  <c r="R53" i="6"/>
  <c r="O56" i="4"/>
  <c r="S213" i="6"/>
  <c r="R215" i="6"/>
  <c r="BB25" i="8" a="1"/>
  <c r="BB25" i="8" s="1"/>
  <c r="BB24" i="8" a="1"/>
  <c r="BB24" i="8" s="1"/>
  <c r="BB23" i="8" a="1"/>
  <c r="BB23" i="8" s="1"/>
  <c r="BB26" i="8" a="1"/>
  <c r="BB26" i="8" s="1"/>
  <c r="BB14" i="8" a="1"/>
  <c r="BB14" i="8" s="1"/>
  <c r="BB22" i="8" a="1"/>
  <c r="BB22" i="8" s="1"/>
  <c r="BB20" i="8" a="1"/>
  <c r="BB20" i="8" s="1"/>
  <c r="BB15" i="8" a="1"/>
  <c r="BB15" i="8" s="1"/>
  <c r="BB16" i="8" a="1"/>
  <c r="BB16" i="8" s="1"/>
  <c r="U187" i="6"/>
  <c r="U188" i="6"/>
  <c r="O20" i="4"/>
  <c r="BC112" i="8"/>
  <c r="BC110" i="8"/>
  <c r="BC108" i="8"/>
  <c r="BC106" i="8"/>
  <c r="BC104" i="8"/>
  <c r="BC102" i="8"/>
  <c r="BC100" i="8"/>
  <c r="BC98" i="8"/>
  <c r="BC96" i="8"/>
  <c r="BC94" i="8"/>
  <c r="BC92" i="8"/>
  <c r="BC113" i="8"/>
  <c r="BC89" i="8"/>
  <c r="BC88" i="8"/>
  <c r="BC84" i="8"/>
  <c r="BC82" i="8"/>
  <c r="BC80" i="8"/>
  <c r="BC78" i="8"/>
  <c r="BC76" i="8"/>
  <c r="BC87" i="8"/>
  <c r="BC86" i="8"/>
  <c r="BC91" i="8"/>
  <c r="BC111" i="8"/>
  <c r="BC107" i="8"/>
  <c r="BC103" i="8"/>
  <c r="BC99" i="8"/>
  <c r="BC95" i="8"/>
  <c r="BC77" i="8"/>
  <c r="BC75" i="8"/>
  <c r="BC73" i="8"/>
  <c r="BC71" i="8"/>
  <c r="BC69" i="8"/>
  <c r="BC67" i="8"/>
  <c r="BC65" i="8"/>
  <c r="BC63" i="8"/>
  <c r="BC61" i="8"/>
  <c r="BC90" i="8"/>
  <c r="BC83" i="8"/>
  <c r="BC79" i="8"/>
  <c r="BC81" i="8"/>
  <c r="BC109" i="8"/>
  <c r="BC105" i="8"/>
  <c r="BC101" i="8"/>
  <c r="BC97" i="8"/>
  <c r="BC93" i="8"/>
  <c r="BC74" i="8"/>
  <c r="BC72" i="8"/>
  <c r="BC70" i="8"/>
  <c r="BC85" i="8"/>
  <c r="BC66" i="8"/>
  <c r="BC62" i="8"/>
  <c r="BC58" i="8"/>
  <c r="BC56" i="8"/>
  <c r="BC59" i="8"/>
  <c r="BC64" i="8"/>
  <c r="BC60" i="8"/>
  <c r="BC57" i="8"/>
  <c r="BC54" i="8"/>
  <c r="BC68" i="8"/>
  <c r="BC55" i="8"/>
  <c r="BD5" i="8"/>
  <c r="S44" i="6"/>
  <c r="T201" i="6" s="1"/>
  <c r="T205" i="6" s="1"/>
  <c r="T70" i="6"/>
  <c r="T43" i="6" a="1"/>
  <c r="T43" i="6" s="1"/>
  <c r="O39" i="4"/>
  <c r="O18" i="4"/>
  <c r="T5" i="7"/>
  <c r="U4" i="7"/>
  <c r="R4" i="8"/>
  <c r="R3" i="8" s="1"/>
  <c r="T95" i="6"/>
  <c r="Q179" i="6"/>
  <c r="Q181" i="6"/>
  <c r="S88" i="6"/>
  <c r="U49" i="6"/>
  <c r="U56" i="6" s="1"/>
  <c r="T42" i="6"/>
  <c r="T57" i="6"/>
  <c r="U189" i="6"/>
  <c r="V185" i="6" s="1"/>
  <c r="U173" i="6"/>
  <c r="U171" i="6"/>
  <c r="U169" i="6"/>
  <c r="U167" i="6"/>
  <c r="U165" i="6"/>
  <c r="U163" i="6"/>
  <c r="U158" i="6"/>
  <c r="U156" i="6"/>
  <c r="U154" i="6"/>
  <c r="U155" i="6"/>
  <c r="U146" i="6"/>
  <c r="U136" i="6"/>
  <c r="U170" i="6"/>
  <c r="U164" i="6"/>
  <c r="U144" i="6"/>
  <c r="U137" i="6"/>
  <c r="U133" i="6"/>
  <c r="U125" i="6"/>
  <c r="U157" i="6"/>
  <c r="U152" i="6"/>
  <c r="U148" i="6"/>
  <c r="U130" i="6"/>
  <c r="U166" i="6"/>
  <c r="U168" i="6"/>
  <c r="U127" i="6"/>
  <c r="U134" i="6"/>
  <c r="U129" i="6"/>
  <c r="U124" i="6"/>
  <c r="U147" i="6"/>
  <c r="U131" i="6"/>
  <c r="U150" i="6"/>
  <c r="U172" i="6"/>
  <c r="U162" i="6"/>
  <c r="U153" i="6"/>
  <c r="U132" i="6"/>
  <c r="U85" i="6"/>
  <c r="U145" i="6"/>
  <c r="U128" i="6"/>
  <c r="U149" i="6"/>
  <c r="U123" i="6"/>
  <c r="U99" i="6"/>
  <c r="U142" i="6"/>
  <c r="U39" i="6"/>
  <c r="U37" i="6"/>
  <c r="U35" i="6"/>
  <c r="U33" i="6"/>
  <c r="U31" i="6"/>
  <c r="U29" i="6"/>
  <c r="U126" i="6"/>
  <c r="U96" i="6"/>
  <c r="U63" i="6" a="1"/>
  <c r="U63" i="6" s="1"/>
  <c r="U15" i="6"/>
  <c r="U12" i="6"/>
  <c r="U73" i="6"/>
  <c r="U122" i="6"/>
  <c r="U76" i="6"/>
  <c r="U27" i="6"/>
  <c r="U143" i="6"/>
  <c r="U75" i="6"/>
  <c r="U74" i="6"/>
  <c r="U151" i="6"/>
  <c r="U97" i="6"/>
  <c r="U135" i="6"/>
  <c r="U92" i="6"/>
  <c r="U91" i="6" s="1"/>
  <c r="U11" i="6"/>
  <c r="V17" i="6" s="1"/>
  <c r="U32" i="6"/>
  <c r="U26" i="6"/>
  <c r="U22" i="6"/>
  <c r="V5" i="6"/>
  <c r="U18" i="6"/>
  <c r="U19" i="6" s="1"/>
  <c r="U16" i="6"/>
  <c r="U36" i="6"/>
  <c r="U48" i="6"/>
  <c r="U30" i="6"/>
  <c r="U38" i="6"/>
  <c r="U25" i="6"/>
  <c r="U13" i="6"/>
  <c r="U6" i="6"/>
  <c r="U28" i="6"/>
  <c r="U138" i="6"/>
  <c r="U175" i="6" s="1" a="1"/>
  <c r="U175" i="6" s="1"/>
  <c r="U98" i="6"/>
  <c r="U34" i="6"/>
  <c r="S45" i="6"/>
  <c r="Q66" i="6"/>
  <c r="Q180" i="6" s="1"/>
  <c r="S67" i="6" l="1"/>
  <c r="T214" i="6"/>
  <c r="T206" i="6"/>
  <c r="U57" i="6"/>
  <c r="U95" i="6"/>
  <c r="BC23" i="8" a="1"/>
  <c r="BC23" i="8" s="1"/>
  <c r="BC22" i="8" a="1"/>
  <c r="BC22" i="8" s="1"/>
  <c r="BC24" i="8" a="1"/>
  <c r="BC24" i="8" s="1"/>
  <c r="BC26" i="8" a="1"/>
  <c r="BC26" i="8" s="1"/>
  <c r="BC20" i="8" a="1"/>
  <c r="BC20" i="8" s="1"/>
  <c r="BC25" i="8" a="1"/>
  <c r="BC25" i="8" s="1"/>
  <c r="BC14" i="8" a="1"/>
  <c r="BC14" i="8" s="1"/>
  <c r="BC15" i="8" a="1"/>
  <c r="BC15" i="8" s="1"/>
  <c r="BC16" i="8" a="1"/>
  <c r="BC16" i="8" s="1"/>
  <c r="V188" i="6"/>
  <c r="V187" i="6"/>
  <c r="U43" i="6" a="1"/>
  <c r="U43" i="6" s="1"/>
  <c r="S87" i="6"/>
  <c r="S4" i="8"/>
  <c r="S3" i="8" s="1"/>
  <c r="U5" i="7"/>
  <c r="V4" i="7"/>
  <c r="O17" i="4"/>
  <c r="O22" i="4" s="1"/>
  <c r="O23" i="4" s="1"/>
  <c r="T45" i="6"/>
  <c r="V173" i="6"/>
  <c r="V171" i="6"/>
  <c r="V169" i="6"/>
  <c r="V167" i="6"/>
  <c r="V165" i="6"/>
  <c r="V163" i="6"/>
  <c r="V158" i="6"/>
  <c r="V156" i="6"/>
  <c r="V154" i="6"/>
  <c r="V189" i="6"/>
  <c r="W185" i="6" s="1"/>
  <c r="V144" i="6"/>
  <c r="V134" i="6"/>
  <c r="V157" i="6"/>
  <c r="V152" i="6"/>
  <c r="V148" i="6"/>
  <c r="V130" i="6"/>
  <c r="V98" i="6"/>
  <c r="V96" i="6"/>
  <c r="V92" i="6"/>
  <c r="V91" i="6" s="1"/>
  <c r="V166" i="6"/>
  <c r="V128" i="6"/>
  <c r="V124" i="6"/>
  <c r="V122" i="6"/>
  <c r="V155" i="6"/>
  <c r="V149" i="6"/>
  <c r="V145" i="6"/>
  <c r="V138" i="6"/>
  <c r="V175" i="6" s="1" a="1"/>
  <c r="V175" i="6" s="1"/>
  <c r="V151" i="6"/>
  <c r="V147" i="6"/>
  <c r="V143" i="6"/>
  <c r="V146" i="6"/>
  <c r="V129" i="6"/>
  <c r="V168" i="6"/>
  <c r="V131" i="6"/>
  <c r="V170" i="6"/>
  <c r="V137" i="6"/>
  <c r="V135" i="6"/>
  <c r="V172" i="6"/>
  <c r="V150" i="6"/>
  <c r="V127" i="6"/>
  <c r="V76" i="6"/>
  <c r="V123" i="6"/>
  <c r="V99" i="6"/>
  <c r="V142" i="6"/>
  <c r="V125" i="6"/>
  <c r="V126" i="6"/>
  <c r="V73" i="6"/>
  <c r="V162" i="6"/>
  <c r="V153" i="6"/>
  <c r="V48" i="6"/>
  <c r="V57" i="6" s="1"/>
  <c r="V71" i="6" s="1"/>
  <c r="V28" i="6"/>
  <c r="V26" i="6"/>
  <c r="V63" i="6" a="1"/>
  <c r="V63" i="6" s="1"/>
  <c r="V39" i="6"/>
  <c r="V37" i="6"/>
  <c r="V35" i="6"/>
  <c r="V33" i="6"/>
  <c r="V31" i="6"/>
  <c r="V29" i="6"/>
  <c r="V97" i="6"/>
  <c r="V132" i="6"/>
  <c r="V136" i="6"/>
  <c r="V133" i="6"/>
  <c r="V16" i="6"/>
  <c r="V6" i="6"/>
  <c r="V36" i="6"/>
  <c r="V15" i="6"/>
  <c r="V85" i="6"/>
  <c r="V32" i="6"/>
  <c r="V22" i="6"/>
  <c r="V18" i="6"/>
  <c r="V12" i="6"/>
  <c r="W5" i="6"/>
  <c r="V74" i="6"/>
  <c r="V30" i="6"/>
  <c r="V38" i="6"/>
  <c r="V25" i="6"/>
  <c r="V13" i="6"/>
  <c r="V164" i="6"/>
  <c r="V34" i="6"/>
  <c r="V27" i="6"/>
  <c r="V11" i="6"/>
  <c r="V75" i="6"/>
  <c r="T71" i="6"/>
  <c r="T69" i="6" s="1"/>
  <c r="T55" i="6"/>
  <c r="U42" i="6"/>
  <c r="V49" i="6"/>
  <c r="V56" i="6" s="1"/>
  <c r="T44" i="6"/>
  <c r="U201" i="6" s="1"/>
  <c r="U205" i="6" s="1"/>
  <c r="T88" i="6"/>
  <c r="T87" i="6" s="1"/>
  <c r="BD112" i="8"/>
  <c r="BD110" i="8"/>
  <c r="BD108" i="8"/>
  <c r="BD106" i="8"/>
  <c r="BD104" i="8"/>
  <c r="BD102" i="8"/>
  <c r="BD100" i="8"/>
  <c r="BD98" i="8"/>
  <c r="BD96" i="8"/>
  <c r="BD94" i="8"/>
  <c r="BD92" i="8"/>
  <c r="BD113" i="8"/>
  <c r="BD87" i="8"/>
  <c r="BD86" i="8"/>
  <c r="BD90" i="8"/>
  <c r="BD89" i="8"/>
  <c r="BD83" i="8"/>
  <c r="BD79" i="8"/>
  <c r="BD78" i="8"/>
  <c r="BD91" i="8"/>
  <c r="BD81" i="8"/>
  <c r="BD82" i="8"/>
  <c r="BD109" i="8"/>
  <c r="BD105" i="8"/>
  <c r="BD111" i="8"/>
  <c r="BD107" i="8"/>
  <c r="BD103" i="8"/>
  <c r="BD99" i="8"/>
  <c r="BD95" i="8"/>
  <c r="BD88" i="8"/>
  <c r="BD77" i="8"/>
  <c r="BD93" i="8"/>
  <c r="BD76" i="8"/>
  <c r="BD72" i="8"/>
  <c r="BD101" i="8"/>
  <c r="BD84" i="8"/>
  <c r="BD70" i="8"/>
  <c r="BD63" i="8"/>
  <c r="BD64" i="8"/>
  <c r="BD60" i="8"/>
  <c r="BD58" i="8"/>
  <c r="BD56" i="8"/>
  <c r="BD97" i="8"/>
  <c r="BD85" i="8"/>
  <c r="BD74" i="8"/>
  <c r="BD71" i="8"/>
  <c r="BD80" i="8"/>
  <c r="BD62" i="8"/>
  <c r="BD66" i="8"/>
  <c r="BD65" i="8"/>
  <c r="BD59" i="8"/>
  <c r="BD73" i="8"/>
  <c r="BD68" i="8"/>
  <c r="BD67" i="8"/>
  <c r="BD75" i="8"/>
  <c r="BD55" i="8"/>
  <c r="BD69" i="8"/>
  <c r="BD57" i="8"/>
  <c r="BD61" i="8"/>
  <c r="BD54" i="8"/>
  <c r="BE5" i="8"/>
  <c r="V19" i="6"/>
  <c r="U70" i="6"/>
  <c r="U55" i="6"/>
  <c r="U53" i="6" s="1"/>
  <c r="R179" i="6"/>
  <c r="R180" i="6"/>
  <c r="R181" i="6"/>
  <c r="S215" i="6"/>
  <c r="T213" i="6"/>
  <c r="U214" i="6" l="1"/>
  <c r="U206" i="6"/>
  <c r="T67" i="6"/>
  <c r="T66" i="6" s="1"/>
  <c r="V42" i="6"/>
  <c r="W49" i="6"/>
  <c r="W56" i="6" s="1"/>
  <c r="U71" i="6"/>
  <c r="V201" i="6"/>
  <c r="V205" i="6" s="1"/>
  <c r="U44" i="6"/>
  <c r="U88" i="6"/>
  <c r="BE112" i="8"/>
  <c r="BE110" i="8"/>
  <c r="BE108" i="8"/>
  <c r="BE106" i="8"/>
  <c r="BE104" i="8"/>
  <c r="BE102" i="8"/>
  <c r="BE100" i="8"/>
  <c r="BE98" i="8"/>
  <c r="BE96" i="8"/>
  <c r="BE94" i="8"/>
  <c r="BE92" i="8"/>
  <c r="BE90" i="8"/>
  <c r="BE88" i="8"/>
  <c r="BE86" i="8"/>
  <c r="BE113" i="8"/>
  <c r="BE111" i="8"/>
  <c r="BE109" i="8"/>
  <c r="BE107" i="8"/>
  <c r="BE105" i="8"/>
  <c r="BE103" i="8"/>
  <c r="BE101" i="8"/>
  <c r="BE99" i="8"/>
  <c r="BE97" i="8"/>
  <c r="BE95" i="8"/>
  <c r="BE93" i="8"/>
  <c r="BE85" i="8"/>
  <c r="BE83" i="8"/>
  <c r="BE81" i="8"/>
  <c r="BE79" i="8"/>
  <c r="BE89" i="8"/>
  <c r="BE84" i="8"/>
  <c r="BE91" i="8"/>
  <c r="BE82" i="8"/>
  <c r="BE74" i="8"/>
  <c r="BE72" i="8"/>
  <c r="BE70" i="8"/>
  <c r="BE68" i="8"/>
  <c r="BE87" i="8"/>
  <c r="BE78" i="8"/>
  <c r="BE77" i="8"/>
  <c r="BE63" i="8"/>
  <c r="BE64" i="8"/>
  <c r="BE60" i="8"/>
  <c r="BE80" i="8"/>
  <c r="BE75" i="8"/>
  <c r="BE76" i="8"/>
  <c r="BE71" i="8"/>
  <c r="BE66" i="8"/>
  <c r="BE65" i="8"/>
  <c r="BE59" i="8"/>
  <c r="BE56" i="8"/>
  <c r="BE73" i="8"/>
  <c r="BE67" i="8"/>
  <c r="BE62" i="8"/>
  <c r="BE58" i="8"/>
  <c r="BE55" i="8"/>
  <c r="BE69" i="8"/>
  <c r="BE57" i="8"/>
  <c r="BE61" i="8"/>
  <c r="BE54" i="8"/>
  <c r="BF5" i="8"/>
  <c r="V55" i="6"/>
  <c r="V53" i="6" s="1"/>
  <c r="V70" i="6"/>
  <c r="V69" i="6" s="1"/>
  <c r="V67" i="6" s="1"/>
  <c r="T215" i="6"/>
  <c r="U213" i="6"/>
  <c r="U69" i="6"/>
  <c r="U67" i="6" s="1"/>
  <c r="W17" i="6"/>
  <c r="S66" i="6"/>
  <c r="U45" i="6"/>
  <c r="BD22" i="8" a="1"/>
  <c r="BD22" i="8" s="1"/>
  <c r="BD23" i="8" a="1"/>
  <c r="BD23" i="8" s="1"/>
  <c r="BD26" i="8" a="1"/>
  <c r="BD26" i="8" s="1"/>
  <c r="BD16" i="8" a="1"/>
  <c r="BD16" i="8" s="1"/>
  <c r="BD24" i="8" a="1"/>
  <c r="BD24" i="8" s="1"/>
  <c r="BD20" i="8" a="1"/>
  <c r="BD20" i="8" s="1"/>
  <c r="BD25" i="8" a="1"/>
  <c r="BD25" i="8" s="1"/>
  <c r="BD15" i="8" a="1"/>
  <c r="BD15" i="8" s="1"/>
  <c r="BD14" i="8" a="1"/>
  <c r="BD14" i="8" s="1"/>
  <c r="T53" i="6"/>
  <c r="V43" i="6" a="1"/>
  <c r="V43" i="6" s="1"/>
  <c r="V45" i="6" s="1"/>
  <c r="W189" i="6"/>
  <c r="X185" i="6" s="1"/>
  <c r="W173" i="6"/>
  <c r="W171" i="6"/>
  <c r="W169" i="6"/>
  <c r="W167" i="6"/>
  <c r="W165" i="6"/>
  <c r="W163" i="6"/>
  <c r="W158" i="6"/>
  <c r="W156" i="6"/>
  <c r="W154" i="6"/>
  <c r="W152" i="6"/>
  <c r="W150" i="6"/>
  <c r="W148" i="6"/>
  <c r="W146" i="6"/>
  <c r="W144" i="6"/>
  <c r="W142" i="6"/>
  <c r="W137" i="6"/>
  <c r="W135" i="6"/>
  <c r="W133" i="6"/>
  <c r="W170" i="6"/>
  <c r="W166" i="6"/>
  <c r="W162" i="6"/>
  <c r="W151" i="6"/>
  <c r="W132" i="6"/>
  <c r="W128" i="6"/>
  <c r="W124" i="6"/>
  <c r="W122" i="6"/>
  <c r="W155" i="6"/>
  <c r="W149" i="6"/>
  <c r="W145" i="6"/>
  <c r="W138" i="6"/>
  <c r="W175" i="6" s="1" a="1"/>
  <c r="W175" i="6" s="1"/>
  <c r="W134" i="6"/>
  <c r="W126" i="6"/>
  <c r="W172" i="6"/>
  <c r="W153" i="6"/>
  <c r="W164" i="6"/>
  <c r="W168" i="6"/>
  <c r="W131" i="6"/>
  <c r="W130" i="6"/>
  <c r="W147" i="6"/>
  <c r="W97" i="6"/>
  <c r="W157" i="6"/>
  <c r="W143" i="6"/>
  <c r="W98" i="6"/>
  <c r="W92" i="6"/>
  <c r="W91" i="6" s="1"/>
  <c r="W85" i="6"/>
  <c r="W63" i="6" a="1"/>
  <c r="W63" i="6" s="1"/>
  <c r="W136" i="6"/>
  <c r="W125" i="6"/>
  <c r="W96" i="6"/>
  <c r="W73" i="6"/>
  <c r="W48" i="6"/>
  <c r="W28" i="6"/>
  <c r="W26" i="6"/>
  <c r="W127" i="6"/>
  <c r="W38" i="6"/>
  <c r="W36" i="6"/>
  <c r="W34" i="6"/>
  <c r="W32" i="6"/>
  <c r="W30" i="6"/>
  <c r="W22" i="6"/>
  <c r="W99" i="6"/>
  <c r="W39" i="6"/>
  <c r="W35" i="6"/>
  <c r="W37" i="6"/>
  <c r="W15" i="6"/>
  <c r="W6" i="6"/>
  <c r="W33" i="6"/>
  <c r="W18" i="6"/>
  <c r="W12" i="6"/>
  <c r="X5" i="6"/>
  <c r="W13" i="6"/>
  <c r="W74" i="6"/>
  <c r="W29" i="6"/>
  <c r="W16" i="6"/>
  <c r="W123" i="6"/>
  <c r="W25" i="6"/>
  <c r="W129" i="6"/>
  <c r="W76" i="6"/>
  <c r="W27" i="6"/>
  <c r="W75" i="6"/>
  <c r="W31" i="6"/>
  <c r="W11" i="6"/>
  <c r="X17" i="6" s="1"/>
  <c r="V95" i="6"/>
  <c r="W188" i="6"/>
  <c r="W187" i="6"/>
  <c r="W4" i="7"/>
  <c r="T4" i="8"/>
  <c r="T3" i="8" s="1"/>
  <c r="V5" i="7"/>
  <c r="X188" i="6" l="1"/>
  <c r="X187" i="6"/>
  <c r="V214" i="6"/>
  <c r="V206" i="6"/>
  <c r="S181" i="6"/>
  <c r="S179" i="6"/>
  <c r="S180" i="6"/>
  <c r="X173" i="6"/>
  <c r="X171" i="6"/>
  <c r="X169" i="6"/>
  <c r="X167" i="6"/>
  <c r="X165" i="6"/>
  <c r="X163" i="6"/>
  <c r="X170" i="6"/>
  <c r="X166" i="6"/>
  <c r="X162" i="6"/>
  <c r="X153" i="6"/>
  <c r="X149" i="6"/>
  <c r="X142" i="6"/>
  <c r="X130" i="6"/>
  <c r="X128" i="6"/>
  <c r="X126" i="6"/>
  <c r="X158" i="6"/>
  <c r="X156" i="6"/>
  <c r="X155" i="6"/>
  <c r="X145" i="6"/>
  <c r="X138" i="6"/>
  <c r="X175" i="6" s="1" a="1"/>
  <c r="X175" i="6" s="1"/>
  <c r="X134" i="6"/>
  <c r="X172" i="6"/>
  <c r="X154" i="6"/>
  <c r="X157" i="6"/>
  <c r="X137" i="6"/>
  <c r="X147" i="6"/>
  <c r="X124" i="6"/>
  <c r="X99" i="6"/>
  <c r="X148" i="6"/>
  <c r="X189" i="6"/>
  <c r="Y185" i="6" s="1"/>
  <c r="X164" i="6"/>
  <c r="X151" i="6"/>
  <c r="X168" i="6"/>
  <c r="X146" i="6"/>
  <c r="X132" i="6"/>
  <c r="X127" i="6"/>
  <c r="X76" i="6"/>
  <c r="X74" i="6"/>
  <c r="X143" i="6"/>
  <c r="X133" i="6"/>
  <c r="X123" i="6"/>
  <c r="X122" i="6"/>
  <c r="X75" i="6"/>
  <c r="X129" i="6"/>
  <c r="X97" i="6"/>
  <c r="X131" i="6"/>
  <c r="X96" i="6"/>
  <c r="X95" i="6" s="1"/>
  <c r="X48" i="6"/>
  <c r="X28" i="6"/>
  <c r="X26" i="6"/>
  <c r="X38" i="6"/>
  <c r="X36" i="6"/>
  <c r="X34" i="6"/>
  <c r="X32" i="6"/>
  <c r="X30" i="6"/>
  <c r="X22" i="6"/>
  <c r="X18" i="6"/>
  <c r="X16" i="6"/>
  <c r="X6" i="6"/>
  <c r="X150" i="6"/>
  <c r="X136" i="6"/>
  <c r="X92" i="6"/>
  <c r="X91" i="6" s="1"/>
  <c r="X152" i="6"/>
  <c r="X125" i="6"/>
  <c r="X73" i="6"/>
  <c r="X135" i="6"/>
  <c r="X63" i="6" a="1"/>
  <c r="X63" i="6" s="1"/>
  <c r="X33" i="6"/>
  <c r="X12" i="6"/>
  <c r="Y5" i="6"/>
  <c r="X13" i="6"/>
  <c r="X11" i="6"/>
  <c r="X85" i="6"/>
  <c r="X29" i="6"/>
  <c r="X25" i="6"/>
  <c r="X144" i="6"/>
  <c r="X39" i="6"/>
  <c r="X35" i="6"/>
  <c r="X27" i="6"/>
  <c r="X31" i="6"/>
  <c r="X98" i="6"/>
  <c r="X37" i="6"/>
  <c r="X15" i="6"/>
  <c r="W42" i="6"/>
  <c r="X49" i="6"/>
  <c r="X56" i="6" s="1"/>
  <c r="W19" i="6"/>
  <c r="BF113" i="8"/>
  <c r="BF112" i="8"/>
  <c r="BF110" i="8"/>
  <c r="BF108" i="8"/>
  <c r="BF106" i="8"/>
  <c r="BF104" i="8"/>
  <c r="BF102" i="8"/>
  <c r="BF100" i="8"/>
  <c r="BF98" i="8"/>
  <c r="BF96" i="8"/>
  <c r="BF94" i="8"/>
  <c r="BF92" i="8"/>
  <c r="BF111" i="8"/>
  <c r="BF109" i="8"/>
  <c r="BF107" i="8"/>
  <c r="BF105" i="8"/>
  <c r="BF103" i="8"/>
  <c r="BF101" i="8"/>
  <c r="BF99" i="8"/>
  <c r="BF97" i="8"/>
  <c r="BF95" i="8"/>
  <c r="BF93" i="8"/>
  <c r="BF85" i="8"/>
  <c r="BF83" i="8"/>
  <c r="BF88" i="8"/>
  <c r="BF87" i="8"/>
  <c r="BF90" i="8"/>
  <c r="BF86" i="8"/>
  <c r="BF82" i="8"/>
  <c r="BF81" i="8"/>
  <c r="BF74" i="8"/>
  <c r="BF72" i="8"/>
  <c r="BF70" i="8"/>
  <c r="BF84" i="8"/>
  <c r="BF91" i="8"/>
  <c r="BF89" i="8"/>
  <c r="BF79" i="8"/>
  <c r="BF78" i="8"/>
  <c r="BF64" i="8"/>
  <c r="BF60" i="8"/>
  <c r="BF58" i="8"/>
  <c r="BF80" i="8"/>
  <c r="BF75" i="8"/>
  <c r="BF61" i="8"/>
  <c r="BF77" i="8"/>
  <c r="BF63" i="8"/>
  <c r="BF73" i="8"/>
  <c r="BF67" i="8"/>
  <c r="BF68" i="8"/>
  <c r="BF69" i="8"/>
  <c r="BF71" i="8"/>
  <c r="BF66" i="8"/>
  <c r="BF65" i="8"/>
  <c r="BF59" i="8"/>
  <c r="BF56" i="8"/>
  <c r="BF57" i="8"/>
  <c r="BF62" i="8"/>
  <c r="BF54" i="8"/>
  <c r="BF76" i="8"/>
  <c r="BF55" i="8"/>
  <c r="BG5" i="8"/>
  <c r="W70" i="6"/>
  <c r="W55" i="6"/>
  <c r="W43" i="6" a="1"/>
  <c r="W43" i="6" s="1"/>
  <c r="BE26" i="8" a="1"/>
  <c r="BE26" i="8" s="1"/>
  <c r="BE24" i="8" a="1"/>
  <c r="BE24" i="8" s="1"/>
  <c r="BE20" i="8" a="1"/>
  <c r="BE20" i="8" s="1"/>
  <c r="BE15" i="8" a="1"/>
  <c r="BE15" i="8" s="1"/>
  <c r="BE22" i="8" a="1"/>
  <c r="BE22" i="8" s="1"/>
  <c r="BE25" i="8" a="1"/>
  <c r="BE25" i="8" s="1"/>
  <c r="BE23" i="8" a="1"/>
  <c r="BE23" i="8" s="1"/>
  <c r="BE16" i="8" a="1"/>
  <c r="BE16" i="8" s="1"/>
  <c r="BE14" i="8" a="1"/>
  <c r="BE14" i="8" s="1"/>
  <c r="V44" i="6"/>
  <c r="W201" i="6" s="1"/>
  <c r="W205" i="6" s="1"/>
  <c r="X19" i="6"/>
  <c r="W57" i="6"/>
  <c r="U87" i="6"/>
  <c r="V88" i="6"/>
  <c r="V87" i="6" s="1"/>
  <c r="V66" i="6" s="1"/>
  <c r="T180" i="6"/>
  <c r="T179" i="6"/>
  <c r="T181" i="6"/>
  <c r="W5" i="7"/>
  <c r="U4" i="8"/>
  <c r="U3" i="8" s="1"/>
  <c r="X4" i="7"/>
  <c r="W95" i="6"/>
  <c r="U215" i="6"/>
  <c r="V213" i="6"/>
  <c r="V180" i="6" l="1"/>
  <c r="V181" i="6"/>
  <c r="V179" i="6"/>
  <c r="W214" i="6"/>
  <c r="W206" i="6"/>
  <c r="Y17" i="6"/>
  <c r="X43" i="6" a="1"/>
  <c r="X43" i="6" s="1"/>
  <c r="BF26" i="8" a="1"/>
  <c r="BF26" i="8" s="1"/>
  <c r="BF25" i="8" a="1"/>
  <c r="BF25" i="8" s="1"/>
  <c r="BF24" i="8" a="1"/>
  <c r="BF24" i="8" s="1"/>
  <c r="BF20" i="8" a="1"/>
  <c r="BF20" i="8" s="1"/>
  <c r="BF15" i="8" a="1"/>
  <c r="BF15" i="8" s="1"/>
  <c r="BF22" i="8" a="1"/>
  <c r="BF22" i="8" s="1"/>
  <c r="BF14" i="8" a="1"/>
  <c r="BF14" i="8" s="1"/>
  <c r="BF23" i="8" a="1"/>
  <c r="BF23" i="8" s="1"/>
  <c r="BF16" i="8" a="1"/>
  <c r="BF16" i="8" s="1"/>
  <c r="X70" i="6"/>
  <c r="X55" i="6"/>
  <c r="Y189" i="6"/>
  <c r="Z185" i="6" s="1"/>
  <c r="Y172" i="6"/>
  <c r="Y170" i="6"/>
  <c r="Y168" i="6"/>
  <c r="Y166" i="6"/>
  <c r="Y164" i="6"/>
  <c r="Y162" i="6"/>
  <c r="Y157" i="6"/>
  <c r="Y155" i="6"/>
  <c r="Y153" i="6"/>
  <c r="Y156" i="6"/>
  <c r="Y147" i="6"/>
  <c r="Y137" i="6"/>
  <c r="Y171" i="6"/>
  <c r="Y165" i="6"/>
  <c r="Y149" i="6"/>
  <c r="Y126" i="6"/>
  <c r="Y154" i="6"/>
  <c r="Y135" i="6"/>
  <c r="Y131" i="6"/>
  <c r="Y99" i="6"/>
  <c r="Y167" i="6"/>
  <c r="Y150" i="6"/>
  <c r="Y146" i="6"/>
  <c r="Y142" i="6"/>
  <c r="Y173" i="6"/>
  <c r="Y169" i="6"/>
  <c r="Y152" i="6"/>
  <c r="Y148" i="6"/>
  <c r="Y144" i="6"/>
  <c r="Y163" i="6"/>
  <c r="Y134" i="6"/>
  <c r="Y122" i="6"/>
  <c r="Y158" i="6"/>
  <c r="Y138" i="6"/>
  <c r="Y175" i="6" s="1" a="1"/>
  <c r="Y175" i="6" s="1"/>
  <c r="Y136" i="6"/>
  <c r="Y133" i="6"/>
  <c r="Y130" i="6"/>
  <c r="Y125" i="6"/>
  <c r="Y96" i="6"/>
  <c r="Y129" i="6"/>
  <c r="Y124" i="6"/>
  <c r="Y97" i="6"/>
  <c r="Y38" i="6"/>
  <c r="Y36" i="6"/>
  <c r="Y34" i="6"/>
  <c r="Y32" i="6"/>
  <c r="Y30" i="6"/>
  <c r="Y22" i="6"/>
  <c r="Y127" i="6"/>
  <c r="Y92" i="6"/>
  <c r="Y91" i="6" s="1"/>
  <c r="Y13" i="6"/>
  <c r="Y143" i="6"/>
  <c r="Y123" i="6"/>
  <c r="Y75" i="6"/>
  <c r="Y74" i="6"/>
  <c r="Y63" i="6" a="1"/>
  <c r="Y63" i="6" s="1"/>
  <c r="Y145" i="6"/>
  <c r="Y48" i="6"/>
  <c r="Y28" i="6"/>
  <c r="Y26" i="6"/>
  <c r="Y151" i="6"/>
  <c r="Y73" i="6"/>
  <c r="Y132" i="6"/>
  <c r="Y128" i="6"/>
  <c r="Y85" i="6"/>
  <c r="Y29" i="6"/>
  <c r="Y18" i="6"/>
  <c r="Y35" i="6"/>
  <c r="Y6" i="6"/>
  <c r="Y16" i="6"/>
  <c r="Y27" i="6"/>
  <c r="Y39" i="6"/>
  <c r="Y25" i="6"/>
  <c r="Y76" i="6"/>
  <c r="Y31" i="6"/>
  <c r="Y11" i="6"/>
  <c r="Y98" i="6"/>
  <c r="Y37" i="6"/>
  <c r="Y15" i="6"/>
  <c r="Y33" i="6"/>
  <c r="Z5" i="6"/>
  <c r="Y12" i="6"/>
  <c r="X57" i="6"/>
  <c r="W44" i="6"/>
  <c r="X201" i="6" s="1"/>
  <c r="X205" i="6" s="1"/>
  <c r="W53" i="6"/>
  <c r="Y187" i="6"/>
  <c r="Y188" i="6"/>
  <c r="V215" i="6"/>
  <c r="W213" i="6"/>
  <c r="X42" i="6"/>
  <c r="Y49" i="6"/>
  <c r="Y56" i="6" s="1"/>
  <c r="Y4" i="7"/>
  <c r="X5" i="7"/>
  <c r="V4" i="8"/>
  <c r="V3" i="8" s="1"/>
  <c r="U66" i="6"/>
  <c r="W45" i="6"/>
  <c r="BG113" i="8"/>
  <c r="BG111" i="8"/>
  <c r="BG109" i="8"/>
  <c r="BG107" i="8"/>
  <c r="BG105" i="8"/>
  <c r="BG103" i="8"/>
  <c r="BG101" i="8"/>
  <c r="BG99" i="8"/>
  <c r="BG97" i="8"/>
  <c r="BG95" i="8"/>
  <c r="BG93" i="8"/>
  <c r="BG85" i="8"/>
  <c r="BG83" i="8"/>
  <c r="BG81" i="8"/>
  <c r="BG79" i="8"/>
  <c r="BG77" i="8"/>
  <c r="BG91" i="8"/>
  <c r="BG86" i="8"/>
  <c r="BG74" i="8"/>
  <c r="BG72" i="8"/>
  <c r="BG70" i="8"/>
  <c r="BG68" i="8"/>
  <c r="BG66" i="8"/>
  <c r="BG64" i="8"/>
  <c r="BG62" i="8"/>
  <c r="BG110" i="8"/>
  <c r="BG106" i="8"/>
  <c r="BG102" i="8"/>
  <c r="BG98" i="8"/>
  <c r="BG94" i="8"/>
  <c r="BG84" i="8"/>
  <c r="BG112" i="8"/>
  <c r="BG108" i="8"/>
  <c r="BG104" i="8"/>
  <c r="BG100" i="8"/>
  <c r="BG96" i="8"/>
  <c r="BG90" i="8"/>
  <c r="BG82" i="8"/>
  <c r="BG80" i="8"/>
  <c r="BG75" i="8"/>
  <c r="BG61" i="8"/>
  <c r="BG65" i="8"/>
  <c r="BG87" i="8"/>
  <c r="BG89" i="8"/>
  <c r="BG88" i="8"/>
  <c r="BG92" i="8"/>
  <c r="BG78" i="8"/>
  <c r="BG69" i="8"/>
  <c r="BG55" i="8"/>
  <c r="BG73" i="8"/>
  <c r="BG67" i="8"/>
  <c r="BG63" i="8"/>
  <c r="BG60" i="8"/>
  <c r="BG59" i="8"/>
  <c r="BG71" i="8"/>
  <c r="BG56" i="8"/>
  <c r="BG54" i="8"/>
  <c r="BG76" i="8"/>
  <c r="BG58" i="8"/>
  <c r="BG57" i="8"/>
  <c r="BH5" i="8"/>
  <c r="W71" i="6"/>
  <c r="W69" i="6" s="1"/>
  <c r="W88" i="6"/>
  <c r="X206" i="6" l="1"/>
  <c r="X214" i="6"/>
  <c r="W67" i="6"/>
  <c r="BG24" i="8" a="1"/>
  <c r="BG24" i="8" s="1"/>
  <c r="BG23" i="8" a="1"/>
  <c r="BG23" i="8" s="1"/>
  <c r="BG22" i="8" a="1"/>
  <c r="BG22" i="8" s="1"/>
  <c r="BG25" i="8" a="1"/>
  <c r="BG25" i="8" s="1"/>
  <c r="BG14" i="8" a="1"/>
  <c r="BG14" i="8" s="1"/>
  <c r="BG26" i="8" a="1"/>
  <c r="BG26" i="8" s="1"/>
  <c r="BG20" i="8" a="1"/>
  <c r="BG20" i="8" s="1"/>
  <c r="BG15" i="8" a="1"/>
  <c r="BG15" i="8" s="1"/>
  <c r="BG16" i="8" a="1"/>
  <c r="BG16" i="8" s="1"/>
  <c r="X71" i="6"/>
  <c r="W215" i="6"/>
  <c r="X213" i="6"/>
  <c r="Y43" i="6" a="1"/>
  <c r="Y43" i="6" s="1"/>
  <c r="Y45" i="6" s="1"/>
  <c r="Y201" i="6"/>
  <c r="Y205" i="6" s="1"/>
  <c r="X44" i="6"/>
  <c r="Z172" i="6"/>
  <c r="Z170" i="6"/>
  <c r="Z168" i="6"/>
  <c r="Z166" i="6"/>
  <c r="Z164" i="6"/>
  <c r="Z162" i="6"/>
  <c r="Z157" i="6"/>
  <c r="Z155" i="6"/>
  <c r="Z153" i="6"/>
  <c r="Z145" i="6"/>
  <c r="Z135" i="6"/>
  <c r="Z189" i="6"/>
  <c r="AA185" i="6" s="1"/>
  <c r="Z173" i="6"/>
  <c r="Z154" i="6"/>
  <c r="Z131" i="6"/>
  <c r="Z99" i="6"/>
  <c r="Z97" i="6"/>
  <c r="Z167" i="6"/>
  <c r="Z150" i="6"/>
  <c r="Z146" i="6"/>
  <c r="Z142" i="6"/>
  <c r="Z129" i="6"/>
  <c r="Z123" i="6"/>
  <c r="Z143" i="6"/>
  <c r="Z158" i="6"/>
  <c r="Z138" i="6"/>
  <c r="Z175" i="6" s="1" a="1"/>
  <c r="Z175" i="6" s="1"/>
  <c r="Z148" i="6"/>
  <c r="Z137" i="6"/>
  <c r="Z136" i="6"/>
  <c r="Z133" i="6"/>
  <c r="Z165" i="6"/>
  <c r="Z156" i="6"/>
  <c r="Z149" i="6"/>
  <c r="Z169" i="6"/>
  <c r="Z152" i="6"/>
  <c r="Z144" i="6"/>
  <c r="Z128" i="6"/>
  <c r="Z75" i="6"/>
  <c r="Z163" i="6"/>
  <c r="Z147" i="6"/>
  <c r="Z151" i="6"/>
  <c r="Z134" i="6"/>
  <c r="Z126" i="6"/>
  <c r="Z98" i="6"/>
  <c r="Z127" i="6"/>
  <c r="Z92" i="6"/>
  <c r="Z91" i="6" s="1"/>
  <c r="Z63" i="6" a="1"/>
  <c r="Z63" i="6" s="1"/>
  <c r="Z74" i="6"/>
  <c r="Z11" i="6"/>
  <c r="Z85" i="6"/>
  <c r="Z27" i="6"/>
  <c r="Z25" i="6"/>
  <c r="Z124" i="6"/>
  <c r="Z96" i="6"/>
  <c r="Z38" i="6"/>
  <c r="Z36" i="6"/>
  <c r="Z34" i="6"/>
  <c r="Z32" i="6"/>
  <c r="Z30" i="6"/>
  <c r="Z171" i="6"/>
  <c r="Z73" i="6"/>
  <c r="Z48" i="6"/>
  <c r="Z57" i="6" s="1"/>
  <c r="Z71" i="6" s="1"/>
  <c r="Z132" i="6"/>
  <c r="Z125" i="6"/>
  <c r="Z76" i="6"/>
  <c r="Z16" i="6"/>
  <c r="Z31" i="6"/>
  <c r="Z39" i="6"/>
  <c r="Z22" i="6"/>
  <c r="Z130" i="6"/>
  <c r="Z35" i="6"/>
  <c r="Z26" i="6"/>
  <c r="Z13" i="6"/>
  <c r="Z6" i="6"/>
  <c r="Z122" i="6"/>
  <c r="Z37" i="6"/>
  <c r="Z15" i="6"/>
  <c r="Z33" i="6"/>
  <c r="Z28" i="6"/>
  <c r="Z12" i="6"/>
  <c r="AA5" i="6"/>
  <c r="Z29" i="6"/>
  <c r="Z18" i="6"/>
  <c r="Y57" i="6"/>
  <c r="BH113" i="8"/>
  <c r="BH111" i="8"/>
  <c r="BH109" i="8"/>
  <c r="BH107" i="8"/>
  <c r="BH105" i="8"/>
  <c r="BH103" i="8"/>
  <c r="BH101" i="8"/>
  <c r="BH99" i="8"/>
  <c r="BH97" i="8"/>
  <c r="BH95" i="8"/>
  <c r="BH93" i="8"/>
  <c r="BH91" i="8"/>
  <c r="BH112" i="8"/>
  <c r="BH110" i="8"/>
  <c r="BH108" i="8"/>
  <c r="BH106" i="8"/>
  <c r="BH104" i="8"/>
  <c r="BH102" i="8"/>
  <c r="BH100" i="8"/>
  <c r="BH98" i="8"/>
  <c r="BH96" i="8"/>
  <c r="BH94" i="8"/>
  <c r="BH92" i="8"/>
  <c r="BH84" i="8"/>
  <c r="BH87" i="8"/>
  <c r="BH80" i="8"/>
  <c r="BH85" i="8"/>
  <c r="BH86" i="8"/>
  <c r="BH83" i="8"/>
  <c r="BH81" i="8"/>
  <c r="BH70" i="8"/>
  <c r="BH61" i="8"/>
  <c r="BH65" i="8"/>
  <c r="BH73" i="8"/>
  <c r="BH69" i="8"/>
  <c r="BH67" i="8"/>
  <c r="BH59" i="8"/>
  <c r="BH57" i="8"/>
  <c r="BH55" i="8"/>
  <c r="BH82" i="8"/>
  <c r="BH90" i="8"/>
  <c r="BH89" i="8"/>
  <c r="BH88" i="8"/>
  <c r="BH79" i="8"/>
  <c r="BH75" i="8"/>
  <c r="BH72" i="8"/>
  <c r="BH64" i="8"/>
  <c r="BH68" i="8"/>
  <c r="BH54" i="8"/>
  <c r="BH74" i="8"/>
  <c r="BH77" i="8"/>
  <c r="BH62" i="8"/>
  <c r="BH60" i="8"/>
  <c r="BH71" i="8"/>
  <c r="BH66" i="8"/>
  <c r="BH56" i="8"/>
  <c r="BH76" i="8"/>
  <c r="BH78" i="8"/>
  <c r="BH58" i="8"/>
  <c r="BH63" i="8"/>
  <c r="BI5" i="8"/>
  <c r="Y5" i="7"/>
  <c r="Z4" i="7"/>
  <c r="W4" i="8"/>
  <c r="W3" i="8" s="1"/>
  <c r="Z49" i="6"/>
  <c r="Z56" i="6" s="1"/>
  <c r="Y42" i="6"/>
  <c r="W87" i="6"/>
  <c r="U179" i="6"/>
  <c r="U180" i="6"/>
  <c r="U181" i="6"/>
  <c r="Y70" i="6"/>
  <c r="Y55" i="6"/>
  <c r="Z188" i="6"/>
  <c r="Z187" i="6"/>
  <c r="Y95" i="6"/>
  <c r="X53" i="6"/>
  <c r="X45" i="6"/>
  <c r="X88" i="6"/>
  <c r="X87" i="6" s="1"/>
  <c r="Z17" i="6"/>
  <c r="X69" i="6"/>
  <c r="X67" i="6" s="1"/>
  <c r="Y19" i="6"/>
  <c r="AA49" i="6" l="1"/>
  <c r="AA56" i="6" s="1"/>
  <c r="Z42" i="6"/>
  <c r="X66" i="6"/>
  <c r="X181" i="6" s="1"/>
  <c r="X180" i="6"/>
  <c r="X179" i="6"/>
  <c r="BI113" i="8"/>
  <c r="BI111" i="8"/>
  <c r="BI109" i="8"/>
  <c r="BI107" i="8"/>
  <c r="BI105" i="8"/>
  <c r="BI103" i="8"/>
  <c r="BI101" i="8"/>
  <c r="BI99" i="8"/>
  <c r="BI97" i="8"/>
  <c r="BI95" i="8"/>
  <c r="BI93" i="8"/>
  <c r="BI91" i="8"/>
  <c r="BI89" i="8"/>
  <c r="BI87" i="8"/>
  <c r="BI112" i="8"/>
  <c r="BI110" i="8"/>
  <c r="BI108" i="8"/>
  <c r="BI106" i="8"/>
  <c r="BI104" i="8"/>
  <c r="BI102" i="8"/>
  <c r="BI100" i="8"/>
  <c r="BI98" i="8"/>
  <c r="BI96" i="8"/>
  <c r="BI94" i="8"/>
  <c r="BI92" i="8"/>
  <c r="BI90" i="8"/>
  <c r="BI84" i="8"/>
  <c r="BI82" i="8"/>
  <c r="BI80" i="8"/>
  <c r="BI85" i="8"/>
  <c r="BI76" i="8"/>
  <c r="BI75" i="8"/>
  <c r="BI73" i="8"/>
  <c r="BI71" i="8"/>
  <c r="BI69" i="8"/>
  <c r="BI67" i="8"/>
  <c r="BI88" i="8"/>
  <c r="BI86" i="8"/>
  <c r="BI81" i="8"/>
  <c r="BI65" i="8"/>
  <c r="BI68" i="8"/>
  <c r="BI66" i="8"/>
  <c r="BI62" i="8"/>
  <c r="BI83" i="8"/>
  <c r="BI70" i="8"/>
  <c r="BI61" i="8"/>
  <c r="BI55" i="8"/>
  <c r="BI54" i="8"/>
  <c r="BI57" i="8"/>
  <c r="BI77" i="8"/>
  <c r="BI60" i="8"/>
  <c r="BI79" i="8"/>
  <c r="BI59" i="8"/>
  <c r="BI56" i="8"/>
  <c r="BI64" i="8"/>
  <c r="BI74" i="8"/>
  <c r="BI72" i="8"/>
  <c r="BI78" i="8"/>
  <c r="BI58" i="8"/>
  <c r="BI63" i="8"/>
  <c r="AA172" i="6"/>
  <c r="AA170" i="6"/>
  <c r="AA168" i="6"/>
  <c r="AA166" i="6"/>
  <c r="AA164" i="6"/>
  <c r="AA162" i="6"/>
  <c r="AA157" i="6"/>
  <c r="AA155" i="6"/>
  <c r="AA153" i="6"/>
  <c r="AA151" i="6"/>
  <c r="AA149" i="6"/>
  <c r="AA147" i="6"/>
  <c r="AA145" i="6"/>
  <c r="AA143" i="6"/>
  <c r="AA138" i="6"/>
  <c r="AA175" i="6" s="1" a="1"/>
  <c r="AA175" i="6" s="1"/>
  <c r="AA136" i="6"/>
  <c r="AA134" i="6"/>
  <c r="AA132" i="6"/>
  <c r="AA171" i="6"/>
  <c r="AA167" i="6"/>
  <c r="AA163" i="6"/>
  <c r="AA152" i="6"/>
  <c r="AA133" i="6"/>
  <c r="AA150" i="6"/>
  <c r="AA146" i="6"/>
  <c r="AA142" i="6"/>
  <c r="AA135" i="6"/>
  <c r="AA129" i="6"/>
  <c r="AA123" i="6"/>
  <c r="AA127" i="6"/>
  <c r="AA165" i="6"/>
  <c r="AA156" i="6"/>
  <c r="AA148" i="6"/>
  <c r="AA137" i="6"/>
  <c r="AA173" i="6"/>
  <c r="AA158" i="6"/>
  <c r="AA125" i="6"/>
  <c r="AA98" i="6"/>
  <c r="AA154" i="6"/>
  <c r="AA122" i="6"/>
  <c r="AA96" i="6"/>
  <c r="AA95" i="6" s="1"/>
  <c r="AA63" i="6" a="1"/>
  <c r="AA63" i="6" s="1"/>
  <c r="AA169" i="6"/>
  <c r="AA124" i="6"/>
  <c r="AA99" i="6"/>
  <c r="AA189" i="6"/>
  <c r="AB185" i="6" s="1"/>
  <c r="AA126" i="6"/>
  <c r="AA92" i="6"/>
  <c r="AA91" i="6" s="1"/>
  <c r="AA85" i="6"/>
  <c r="AA131" i="6"/>
  <c r="AA74" i="6"/>
  <c r="AA75" i="6"/>
  <c r="AA27" i="6"/>
  <c r="AA25" i="6"/>
  <c r="AA128" i="6"/>
  <c r="AA39" i="6"/>
  <c r="AA37" i="6"/>
  <c r="AA35" i="6"/>
  <c r="AA33" i="6"/>
  <c r="AA31" i="6"/>
  <c r="AA29" i="6"/>
  <c r="AA97" i="6"/>
  <c r="AA36" i="6"/>
  <c r="AA32" i="6"/>
  <c r="AA76" i="6"/>
  <c r="AA22" i="6"/>
  <c r="AA12" i="6"/>
  <c r="AB5" i="6"/>
  <c r="AA144" i="6"/>
  <c r="AA130" i="6"/>
  <c r="AA26" i="6"/>
  <c r="AA43" i="6" s="1" a="1"/>
  <c r="AA43" i="6" s="1"/>
  <c r="AA13" i="6"/>
  <c r="AA6" i="6"/>
  <c r="AA11" i="6"/>
  <c r="AA15" i="6"/>
  <c r="AA48" i="6"/>
  <c r="AA30" i="6"/>
  <c r="AA38" i="6"/>
  <c r="AA34" i="6"/>
  <c r="AA28" i="6"/>
  <c r="AA18" i="6"/>
  <c r="AA16" i="6"/>
  <c r="AA73" i="6"/>
  <c r="Y53" i="6"/>
  <c r="Z55" i="6"/>
  <c r="Z70" i="6"/>
  <c r="Z69" i="6" s="1"/>
  <c r="Z67" i="6" s="1"/>
  <c r="Z5" i="7"/>
  <c r="X4" i="8"/>
  <c r="X3" i="8" s="1"/>
  <c r="AA4" i="7"/>
  <c r="W66" i="6"/>
  <c r="Y213" i="6"/>
  <c r="X215" i="6"/>
  <c r="Y206" i="6"/>
  <c r="Y214" i="6"/>
  <c r="BH23" i="8" a="1"/>
  <c r="BH23" i="8" s="1"/>
  <c r="BH22" i="8" a="1"/>
  <c r="BH22" i="8" s="1"/>
  <c r="BH24" i="8" a="1"/>
  <c r="BH24" i="8" s="1"/>
  <c r="BH25" i="8" a="1"/>
  <c r="BH25" i="8" s="1"/>
  <c r="BH20" i="8" a="1"/>
  <c r="BH20" i="8" s="1"/>
  <c r="BH26" i="8" a="1"/>
  <c r="BH26" i="8" s="1"/>
  <c r="BH14" i="8" a="1"/>
  <c r="BH14" i="8" s="1"/>
  <c r="BH15" i="8" a="1"/>
  <c r="BH15" i="8" s="1"/>
  <c r="BH16" i="8" a="1"/>
  <c r="BH16" i="8" s="1"/>
  <c r="Y71" i="6"/>
  <c r="Y69" i="6" s="1"/>
  <c r="AA17" i="6"/>
  <c r="Y88" i="6"/>
  <c r="Y87" i="6" s="1"/>
  <c r="Z43" i="6" a="1"/>
  <c r="Z43" i="6" s="1"/>
  <c r="AA187" i="6"/>
  <c r="AA188" i="6"/>
  <c r="Y44" i="6"/>
  <c r="Z201" i="6" s="1"/>
  <c r="Z205" i="6" s="1"/>
  <c r="Z19" i="6"/>
  <c r="Z95" i="6"/>
  <c r="Z206" i="6" l="1"/>
  <c r="Z214" i="6"/>
  <c r="Y67" i="6"/>
  <c r="Y66" i="6" s="1"/>
  <c r="BI22" i="8" a="1"/>
  <c r="BI22" i="8" s="1"/>
  <c r="BI25" i="8" a="1"/>
  <c r="BI25" i="8" s="1"/>
  <c r="BI16" i="8" a="1"/>
  <c r="BI16" i="8" s="1"/>
  <c r="BI23" i="8" a="1"/>
  <c r="BI23" i="8" s="1"/>
  <c r="BI20" i="8" a="1"/>
  <c r="BI20" i="8" s="1"/>
  <c r="BI26" i="8" a="1"/>
  <c r="BI26" i="8" s="1"/>
  <c r="BI24" i="8" a="1"/>
  <c r="BI24" i="8" s="1"/>
  <c r="BI14" i="8" a="1"/>
  <c r="BI14" i="8" s="1"/>
  <c r="BI15" i="8" a="1"/>
  <c r="BI15" i="8" s="1"/>
  <c r="Z213" i="6"/>
  <c r="Y215" i="6"/>
  <c r="Y4" i="8"/>
  <c r="Y3" i="8" s="1"/>
  <c r="AB4" i="7"/>
  <c r="AA5" i="7"/>
  <c r="W181" i="6"/>
  <c r="W180" i="6"/>
  <c r="W179" i="6"/>
  <c r="AA57" i="6"/>
  <c r="AB172" i="6"/>
  <c r="AB170" i="6"/>
  <c r="AB168" i="6"/>
  <c r="AB166" i="6"/>
  <c r="AB164" i="6"/>
  <c r="AB162" i="6"/>
  <c r="AB171" i="6"/>
  <c r="AB167" i="6"/>
  <c r="AB163" i="6"/>
  <c r="AB154" i="6"/>
  <c r="AB150" i="6"/>
  <c r="AB143" i="6"/>
  <c r="AB131" i="6"/>
  <c r="AB129" i="6"/>
  <c r="AB127" i="6"/>
  <c r="AB125" i="6"/>
  <c r="AB153" i="6"/>
  <c r="AB136" i="6"/>
  <c r="AB132" i="6"/>
  <c r="AB189" i="6"/>
  <c r="AC185" i="6" s="1"/>
  <c r="AB151" i="6"/>
  <c r="AB147" i="6"/>
  <c r="AB149" i="6"/>
  <c r="AB145" i="6"/>
  <c r="AB173" i="6"/>
  <c r="AB158" i="6"/>
  <c r="AB133" i="6"/>
  <c r="AB165" i="6"/>
  <c r="AB157" i="6"/>
  <c r="AB156" i="6"/>
  <c r="AB138" i="6"/>
  <c r="AB175" i="6" s="1" a="1"/>
  <c r="AB175" i="6" s="1"/>
  <c r="AB96" i="6"/>
  <c r="AB155" i="6"/>
  <c r="AB142" i="6"/>
  <c r="AB148" i="6"/>
  <c r="AB128" i="6"/>
  <c r="AB123" i="6"/>
  <c r="AB75" i="6"/>
  <c r="AB73" i="6"/>
  <c r="AB169" i="6"/>
  <c r="AB152" i="6"/>
  <c r="AB97" i="6"/>
  <c r="P53" i="4" s="1"/>
  <c r="AB137" i="6"/>
  <c r="AB134" i="6"/>
  <c r="AB98" i="6"/>
  <c r="P54" i="4" s="1"/>
  <c r="AB76" i="6"/>
  <c r="AB144" i="6"/>
  <c r="AB130" i="6"/>
  <c r="AB27" i="6"/>
  <c r="AB25" i="6"/>
  <c r="AB146" i="6"/>
  <c r="AB85" i="6"/>
  <c r="AB39" i="6"/>
  <c r="AB37" i="6"/>
  <c r="AB35" i="6"/>
  <c r="AB33" i="6"/>
  <c r="AB31" i="6"/>
  <c r="AB29" i="6"/>
  <c r="AC5" i="6"/>
  <c r="AB126" i="6"/>
  <c r="AB92" i="6"/>
  <c r="AB91" i="6" s="1"/>
  <c r="AB74" i="6"/>
  <c r="AB135" i="6"/>
  <c r="AB124" i="6"/>
  <c r="AB99" i="6"/>
  <c r="P55" i="4" s="1"/>
  <c r="AB36" i="6"/>
  <c r="AB26" i="6"/>
  <c r="AB13" i="6"/>
  <c r="AB6" i="6"/>
  <c r="AB38" i="6"/>
  <c r="AB12" i="6"/>
  <c r="AB48" i="6"/>
  <c r="AB32" i="6"/>
  <c r="AB30" i="6"/>
  <c r="AB15" i="6"/>
  <c r="AB122" i="6"/>
  <c r="AB11" i="6"/>
  <c r="AC17" i="6" s="1"/>
  <c r="AB34" i="6"/>
  <c r="AB43" i="6" s="1" a="1"/>
  <c r="AB43" i="6" s="1"/>
  <c r="AB28" i="6"/>
  <c r="AB63" i="6" a="1"/>
  <c r="AB63" i="6" s="1"/>
  <c r="AB18" i="6"/>
  <c r="AB16" i="6"/>
  <c r="AB22" i="6"/>
  <c r="Z44" i="6"/>
  <c r="AA201" i="6" s="1"/>
  <c r="AA205" i="6" s="1"/>
  <c r="AA55" i="6"/>
  <c r="AA70" i="6"/>
  <c r="Z45" i="6"/>
  <c r="AA19" i="6"/>
  <c r="Y180" i="6"/>
  <c r="Y181" i="6"/>
  <c r="Y179" i="6"/>
  <c r="AB49" i="6"/>
  <c r="AB56" i="6" s="1"/>
  <c r="AA42" i="6"/>
  <c r="Z88" i="6"/>
  <c r="Z87" i="6" s="1"/>
  <c r="Z53" i="6"/>
  <c r="AB17" i="6"/>
  <c r="AB19" i="6" s="1"/>
  <c r="AB188" i="6"/>
  <c r="AB187" i="6"/>
  <c r="AA214" i="6" l="1"/>
  <c r="AA206" i="6"/>
  <c r="AB88" i="6"/>
  <c r="AB201" i="6"/>
  <c r="AB205" i="6" s="1"/>
  <c r="AA44" i="6"/>
  <c r="P37" i="4"/>
  <c r="AB57" i="6"/>
  <c r="P29" i="4"/>
  <c r="P11" i="4" s="1"/>
  <c r="AC49" i="6"/>
  <c r="AC56" i="6" s="1"/>
  <c r="AB42" i="6"/>
  <c r="AA88" i="6"/>
  <c r="AA87" i="6" s="1"/>
  <c r="AB55" i="6"/>
  <c r="AB70" i="6"/>
  <c r="P32" i="4"/>
  <c r="AB95" i="6"/>
  <c r="P52" i="4"/>
  <c r="AC19" i="6"/>
  <c r="AB5" i="7"/>
  <c r="AC4" i="7"/>
  <c r="Z4" i="8"/>
  <c r="Z3" i="8" s="1"/>
  <c r="AA53" i="6"/>
  <c r="AA213" i="6"/>
  <c r="Z215" i="6"/>
  <c r="AC189" i="6"/>
  <c r="AD185" i="6" s="1"/>
  <c r="AC173" i="6"/>
  <c r="AC171" i="6"/>
  <c r="AC169" i="6"/>
  <c r="AC167" i="6"/>
  <c r="AC165" i="6"/>
  <c r="AC163" i="6"/>
  <c r="AC158" i="6"/>
  <c r="AC156" i="6"/>
  <c r="AC154" i="6"/>
  <c r="AC157" i="6"/>
  <c r="AC148" i="6"/>
  <c r="AC138" i="6"/>
  <c r="AC175" i="6" s="1" a="1"/>
  <c r="AC175" i="6" s="1"/>
  <c r="AC172" i="6"/>
  <c r="AC166" i="6"/>
  <c r="AC153" i="6"/>
  <c r="AC136" i="6"/>
  <c r="AC132" i="6"/>
  <c r="AC127" i="6"/>
  <c r="AC151" i="6"/>
  <c r="AC147" i="6"/>
  <c r="AC143" i="6"/>
  <c r="AC125" i="6"/>
  <c r="AC168" i="6"/>
  <c r="AC162" i="6"/>
  <c r="AC144" i="6"/>
  <c r="AC137" i="6"/>
  <c r="AC170" i="6"/>
  <c r="AC155" i="6"/>
  <c r="AC146" i="6"/>
  <c r="AC142" i="6"/>
  <c r="AC149" i="6"/>
  <c r="AC126" i="6"/>
  <c r="AC123" i="6"/>
  <c r="AC92" i="6"/>
  <c r="AC91" i="6" s="1"/>
  <c r="AC150" i="6"/>
  <c r="AC145" i="6"/>
  <c r="AC124" i="6"/>
  <c r="AC99" i="6"/>
  <c r="AC85" i="6"/>
  <c r="AC131" i="6"/>
  <c r="AC130" i="6"/>
  <c r="AC135" i="6"/>
  <c r="AC75" i="6"/>
  <c r="AC39" i="6"/>
  <c r="AC37" i="6"/>
  <c r="AC35" i="6"/>
  <c r="AC33" i="6"/>
  <c r="AC31" i="6"/>
  <c r="AC29" i="6"/>
  <c r="AC128" i="6"/>
  <c r="AC15" i="6"/>
  <c r="AC12" i="6"/>
  <c r="AC133" i="6"/>
  <c r="AC97" i="6"/>
  <c r="AC76" i="6"/>
  <c r="AC134" i="6"/>
  <c r="AC27" i="6"/>
  <c r="AC63" i="6"/>
  <c r="AC48" i="6"/>
  <c r="AC32" i="6"/>
  <c r="AC30" i="6"/>
  <c r="AC122" i="6"/>
  <c r="AC74" i="6"/>
  <c r="AC25" i="6"/>
  <c r="AC11" i="6"/>
  <c r="AC28" i="6"/>
  <c r="AC18" i="6"/>
  <c r="AD5" i="6"/>
  <c r="AC38" i="6"/>
  <c r="AC96" i="6"/>
  <c r="AC34" i="6"/>
  <c r="AC129" i="6"/>
  <c r="AC98" i="6"/>
  <c r="AC164" i="6"/>
  <c r="AC16" i="6"/>
  <c r="AC73" i="6"/>
  <c r="AC22" i="6"/>
  <c r="AC36" i="6"/>
  <c r="AC152" i="6"/>
  <c r="AC26" i="6"/>
  <c r="AC13" i="6"/>
  <c r="AC6" i="6"/>
  <c r="AC187" i="6"/>
  <c r="AC188" i="6"/>
  <c r="AA71" i="6"/>
  <c r="AA45" i="6"/>
  <c r="P38" i="4"/>
  <c r="AA69" i="6"/>
  <c r="P50" i="4"/>
  <c r="Z66" i="6"/>
  <c r="Z179" i="6" s="1"/>
  <c r="P51" i="4" l="1"/>
  <c r="AD188" i="6"/>
  <c r="AD187" i="6"/>
  <c r="AC201" i="6"/>
  <c r="AC205" i="6" s="1"/>
  <c r="AB44" i="6"/>
  <c r="AD17" i="6"/>
  <c r="Z181" i="6"/>
  <c r="AB53" i="6"/>
  <c r="P31" i="4"/>
  <c r="AB206" i="6"/>
  <c r="AB214" i="6"/>
  <c r="AB45" i="6"/>
  <c r="AD49" i="6"/>
  <c r="AD56" i="6" s="1"/>
  <c r="AC42" i="6"/>
  <c r="AB71" i="6"/>
  <c r="AB69" i="6" s="1"/>
  <c r="P33" i="4"/>
  <c r="AB87" i="6"/>
  <c r="P48" i="4"/>
  <c r="AA4" i="8"/>
  <c r="AA3" i="8" s="1"/>
  <c r="AD4" i="7"/>
  <c r="AC5" i="7"/>
  <c r="P15" i="4"/>
  <c r="AD189" i="6"/>
  <c r="AE185" i="6" s="1"/>
  <c r="AD173" i="6"/>
  <c r="AD171" i="6"/>
  <c r="AD169" i="6"/>
  <c r="AD167" i="6"/>
  <c r="AD165" i="6"/>
  <c r="AD163" i="6"/>
  <c r="AD158" i="6"/>
  <c r="AD156" i="6"/>
  <c r="AD154" i="6"/>
  <c r="AD146" i="6"/>
  <c r="AD136" i="6"/>
  <c r="AD151" i="6"/>
  <c r="AD147" i="6"/>
  <c r="AD143" i="6"/>
  <c r="AD125" i="6"/>
  <c r="AD98" i="6"/>
  <c r="AD96" i="6"/>
  <c r="AD92" i="6"/>
  <c r="AD91" i="6" s="1"/>
  <c r="AD168" i="6"/>
  <c r="AD162" i="6"/>
  <c r="AD144" i="6"/>
  <c r="AD137" i="6"/>
  <c r="AD133" i="6"/>
  <c r="AD130" i="6"/>
  <c r="AD124" i="6"/>
  <c r="AD122" i="6"/>
  <c r="AD152" i="6"/>
  <c r="AD148" i="6"/>
  <c r="AD150" i="6"/>
  <c r="AD157" i="6"/>
  <c r="AD149" i="6"/>
  <c r="AD138" i="6"/>
  <c r="AD175" i="6" s="1" a="1"/>
  <c r="AD175" i="6" s="1"/>
  <c r="AD126" i="6"/>
  <c r="AD170" i="6"/>
  <c r="AD155" i="6"/>
  <c r="AD142" i="6"/>
  <c r="AD128" i="6"/>
  <c r="AD172" i="6"/>
  <c r="AD153" i="6"/>
  <c r="AD135" i="6"/>
  <c r="AD132" i="6"/>
  <c r="AD97" i="6"/>
  <c r="AD145" i="6"/>
  <c r="AD134" i="6"/>
  <c r="AD129" i="6"/>
  <c r="AD76" i="6"/>
  <c r="AD166" i="6"/>
  <c r="AD164" i="6"/>
  <c r="AD127" i="6"/>
  <c r="AD85" i="6"/>
  <c r="AD123" i="6"/>
  <c r="AD73" i="6"/>
  <c r="AD63" i="6"/>
  <c r="AD48" i="6"/>
  <c r="AD57" i="6" s="1"/>
  <c r="AD71" i="6" s="1"/>
  <c r="AD28" i="6"/>
  <c r="AD26" i="6"/>
  <c r="AD131" i="6"/>
  <c r="AD75" i="6"/>
  <c r="AD39" i="6"/>
  <c r="AD37" i="6"/>
  <c r="AD35" i="6"/>
  <c r="AD33" i="6"/>
  <c r="AD31" i="6"/>
  <c r="AD29" i="6"/>
  <c r="AD99" i="6"/>
  <c r="AD74" i="6"/>
  <c r="AD25" i="6"/>
  <c r="AD11" i="6"/>
  <c r="AE17" i="6" s="1"/>
  <c r="AD18" i="6"/>
  <c r="AD38" i="6"/>
  <c r="AD12" i="6"/>
  <c r="AE5" i="6"/>
  <c r="AD16" i="6"/>
  <c r="AD34" i="6"/>
  <c r="AD27" i="6"/>
  <c r="AD15" i="6"/>
  <c r="AD22" i="6"/>
  <c r="AD43" i="6" a="1"/>
  <c r="AD43" i="6" s="1"/>
  <c r="AD36" i="6"/>
  <c r="AD13" i="6"/>
  <c r="AD6" i="6"/>
  <c r="AD30" i="6"/>
  <c r="AD32" i="6"/>
  <c r="AA67" i="6"/>
  <c r="AA66" i="6" s="1"/>
  <c r="AA181" i="6" s="1"/>
  <c r="AB213" i="6"/>
  <c r="AA215" i="6"/>
  <c r="P16" i="4"/>
  <c r="AC43" i="6" a="1"/>
  <c r="AC43" i="6" s="1"/>
  <c r="AC45" i="6" s="1"/>
  <c r="Z180" i="6"/>
  <c r="AC95" i="6"/>
  <c r="AA180" i="6"/>
  <c r="AC70" i="6"/>
  <c r="AC55" i="6"/>
  <c r="AC57" i="6"/>
  <c r="AB67" i="6" l="1"/>
  <c r="AB66" i="6" s="1"/>
  <c r="P42" i="4"/>
  <c r="AE19" i="6"/>
  <c r="AC71" i="6"/>
  <c r="AE188" i="6"/>
  <c r="AE187" i="6"/>
  <c r="P47" i="4"/>
  <c r="AC44" i="6"/>
  <c r="AD201" i="6" s="1"/>
  <c r="AD205" i="6" s="1"/>
  <c r="AD70" i="6"/>
  <c r="AD69" i="6" s="1"/>
  <c r="AD67" i="6" s="1"/>
  <c r="AD55" i="6"/>
  <c r="AC214" i="6"/>
  <c r="AC206" i="6"/>
  <c r="AC88" i="6"/>
  <c r="AA179" i="6"/>
  <c r="AD42" i="6"/>
  <c r="AD88" i="6" s="1"/>
  <c r="AD87" i="6" s="1"/>
  <c r="AE49" i="6"/>
  <c r="AE56" i="6" s="1"/>
  <c r="AE4" i="7"/>
  <c r="AB4" i="8"/>
  <c r="AB3" i="8" s="1"/>
  <c r="AD5" i="7"/>
  <c r="P13" i="4"/>
  <c r="P12" i="4" s="1"/>
  <c r="P21" i="4"/>
  <c r="AB215" i="6"/>
  <c r="AC213" i="6"/>
  <c r="AB179" i="6"/>
  <c r="AB181" i="6"/>
  <c r="P56" i="4" s="1"/>
  <c r="AB180" i="6"/>
  <c r="P30" i="4"/>
  <c r="AD19" i="6"/>
  <c r="AD45" i="6"/>
  <c r="AC53" i="6"/>
  <c r="AC69" i="6"/>
  <c r="AE189" i="6"/>
  <c r="AF185" i="6" s="1"/>
  <c r="AE173" i="6"/>
  <c r="AE171" i="6"/>
  <c r="AE169" i="6"/>
  <c r="AE167" i="6"/>
  <c r="AE165" i="6"/>
  <c r="AE163" i="6"/>
  <c r="AE158" i="6"/>
  <c r="AE156" i="6"/>
  <c r="AE154" i="6"/>
  <c r="AE152" i="6"/>
  <c r="AE150" i="6"/>
  <c r="AE148" i="6"/>
  <c r="AE146" i="6"/>
  <c r="AE144" i="6"/>
  <c r="AE142" i="6"/>
  <c r="AE137" i="6"/>
  <c r="AE135" i="6"/>
  <c r="AE133" i="6"/>
  <c r="AE131" i="6"/>
  <c r="AE172" i="6"/>
  <c r="AE168" i="6"/>
  <c r="AE164" i="6"/>
  <c r="AE134" i="6"/>
  <c r="AE162" i="6"/>
  <c r="AE130" i="6"/>
  <c r="AE124" i="6"/>
  <c r="AE122" i="6"/>
  <c r="AE128" i="6"/>
  <c r="AE166" i="6"/>
  <c r="AE153" i="6"/>
  <c r="AE170" i="6"/>
  <c r="AE155" i="6"/>
  <c r="AE136" i="6"/>
  <c r="AE125" i="6"/>
  <c r="AE132" i="6"/>
  <c r="AE127" i="6"/>
  <c r="AE151" i="6"/>
  <c r="AE143" i="6"/>
  <c r="AE157" i="6"/>
  <c r="AE138" i="6"/>
  <c r="AE175" i="6" s="1" a="1"/>
  <c r="AE175" i="6" s="1"/>
  <c r="AE85" i="6"/>
  <c r="AE126" i="6"/>
  <c r="AE98" i="6"/>
  <c r="AE92" i="6"/>
  <c r="AE91" i="6" s="1"/>
  <c r="AE149" i="6"/>
  <c r="AE123" i="6"/>
  <c r="AE97" i="6"/>
  <c r="AE76" i="6"/>
  <c r="AE73" i="6"/>
  <c r="AE63" i="6"/>
  <c r="AE48" i="6"/>
  <c r="AE57" i="6" s="1"/>
  <c r="AE71" i="6" s="1"/>
  <c r="AE28" i="6"/>
  <c r="AE26" i="6"/>
  <c r="AE129" i="6"/>
  <c r="AE38" i="6"/>
  <c r="AE36" i="6"/>
  <c r="AE34" i="6"/>
  <c r="AE32" i="6"/>
  <c r="AE30" i="6"/>
  <c r="AE22" i="6"/>
  <c r="AE37" i="6"/>
  <c r="AE33" i="6"/>
  <c r="AE99" i="6"/>
  <c r="AE145" i="6"/>
  <c r="AE74" i="6"/>
  <c r="AE39" i="6"/>
  <c r="AE6" i="6"/>
  <c r="AE35" i="6"/>
  <c r="AE27" i="6"/>
  <c r="AE15" i="6"/>
  <c r="AE16" i="6"/>
  <c r="AE96" i="6"/>
  <c r="AE31" i="6"/>
  <c r="AE18" i="6"/>
  <c r="AE12" i="6"/>
  <c r="AF5" i="6"/>
  <c r="AE147" i="6"/>
  <c r="AE75" i="6"/>
  <c r="AE13" i="6"/>
  <c r="AE29" i="6"/>
  <c r="AE25" i="6"/>
  <c r="AE43" i="6" s="1" a="1"/>
  <c r="AE43" i="6" s="1"/>
  <c r="AE11" i="6"/>
  <c r="AD95" i="6"/>
  <c r="AD206" i="6" l="1"/>
  <c r="AD214" i="6"/>
  <c r="AF188" i="6"/>
  <c r="AF187" i="6"/>
  <c r="AF17" i="6"/>
  <c r="AE42" i="6"/>
  <c r="AE88" i="6" s="1"/>
  <c r="AF49" i="6"/>
  <c r="AF56" i="6" s="1"/>
  <c r="AE95" i="6"/>
  <c r="AC67" i="6"/>
  <c r="AF4" i="7"/>
  <c r="AC4" i="8"/>
  <c r="AC3" i="8" s="1"/>
  <c r="AE5" i="7"/>
  <c r="AC215" i="6"/>
  <c r="AD213" i="6"/>
  <c r="P20" i="4"/>
  <c r="AC87" i="6"/>
  <c r="AF189" i="6"/>
  <c r="AG185" i="6" s="1"/>
  <c r="AF173" i="6"/>
  <c r="AF171" i="6"/>
  <c r="AF169" i="6"/>
  <c r="AF167" i="6"/>
  <c r="AF165" i="6"/>
  <c r="AF163" i="6"/>
  <c r="AF172" i="6"/>
  <c r="AF168" i="6"/>
  <c r="AF164" i="6"/>
  <c r="AF155" i="6"/>
  <c r="AF151" i="6"/>
  <c r="AF144" i="6"/>
  <c r="AF132" i="6"/>
  <c r="AF130" i="6"/>
  <c r="AF128" i="6"/>
  <c r="AF126" i="6"/>
  <c r="AF137" i="6"/>
  <c r="AF133" i="6"/>
  <c r="AF152" i="6"/>
  <c r="AF148" i="6"/>
  <c r="AF157" i="6"/>
  <c r="AF149" i="6"/>
  <c r="AF145" i="6"/>
  <c r="AF138" i="6"/>
  <c r="AF175" i="6" s="1" a="1"/>
  <c r="AF175" i="6" s="1"/>
  <c r="AF154" i="6"/>
  <c r="AF147" i="6"/>
  <c r="AF143" i="6"/>
  <c r="AF156" i="6"/>
  <c r="AF142" i="6"/>
  <c r="AF127" i="6"/>
  <c r="AF153" i="6"/>
  <c r="AF150" i="6"/>
  <c r="AF135" i="6"/>
  <c r="AF129" i="6"/>
  <c r="AF97" i="6"/>
  <c r="AF162" i="6"/>
  <c r="AF166" i="6"/>
  <c r="AF146" i="6"/>
  <c r="AF158" i="6"/>
  <c r="AF136" i="6"/>
  <c r="AF125" i="6"/>
  <c r="AF76" i="6"/>
  <c r="AF74" i="6"/>
  <c r="AF131" i="6"/>
  <c r="AF170" i="6"/>
  <c r="AF75" i="6"/>
  <c r="AF123" i="6"/>
  <c r="AF122" i="6"/>
  <c r="AF99" i="6"/>
  <c r="AF73" i="6"/>
  <c r="AF63" i="6"/>
  <c r="AF48" i="6"/>
  <c r="AF28" i="6"/>
  <c r="AF26" i="6"/>
  <c r="AF38" i="6"/>
  <c r="AF36" i="6"/>
  <c r="AF34" i="6"/>
  <c r="AF32" i="6"/>
  <c r="AF30" i="6"/>
  <c r="AF22" i="6"/>
  <c r="AF18" i="6"/>
  <c r="AF16" i="6"/>
  <c r="AF6" i="6"/>
  <c r="AF98" i="6"/>
  <c r="AF85" i="6"/>
  <c r="AF124" i="6"/>
  <c r="AF92" i="6"/>
  <c r="AF91" i="6" s="1"/>
  <c r="AF35" i="6"/>
  <c r="AF27" i="6"/>
  <c r="AF15" i="6"/>
  <c r="AF96" i="6"/>
  <c r="AF31" i="6"/>
  <c r="AF12" i="6"/>
  <c r="AG5" i="6"/>
  <c r="AF37" i="6"/>
  <c r="AF13" i="6"/>
  <c r="AF33" i="6"/>
  <c r="AF29" i="6"/>
  <c r="AF25" i="6"/>
  <c r="AF11" i="6"/>
  <c r="AF134" i="6"/>
  <c r="AF39" i="6"/>
  <c r="AE70" i="6"/>
  <c r="AE69" i="6" s="1"/>
  <c r="AE67" i="6" s="1"/>
  <c r="AE55" i="6"/>
  <c r="AD53" i="6"/>
  <c r="AE201" i="6"/>
  <c r="AE205" i="6" s="1"/>
  <c r="AD44" i="6"/>
  <c r="AD66" i="6"/>
  <c r="P40" i="4"/>
  <c r="AE87" i="6" l="1"/>
  <c r="AG188" i="6"/>
  <c r="AG187" i="6"/>
  <c r="AF42" i="6"/>
  <c r="AG49" i="6"/>
  <c r="AG56" i="6" s="1"/>
  <c r="AF95" i="6"/>
  <c r="AF70" i="6"/>
  <c r="AF55" i="6"/>
  <c r="AF19" i="6"/>
  <c r="AD179" i="6"/>
  <c r="AD180" i="6"/>
  <c r="AD181" i="6"/>
  <c r="AE214" i="6"/>
  <c r="AE206" i="6"/>
  <c r="P39" i="4"/>
  <c r="P18" i="4"/>
  <c r="P17" i="4" s="1"/>
  <c r="P22" i="4" s="1"/>
  <c r="P23" i="4" s="1"/>
  <c r="AG189" i="6"/>
  <c r="AH185" i="6" s="1"/>
  <c r="AG172" i="6"/>
  <c r="AG170" i="6"/>
  <c r="AG168" i="6"/>
  <c r="AG166" i="6"/>
  <c r="AG164" i="6"/>
  <c r="AG162" i="6"/>
  <c r="AG157" i="6"/>
  <c r="AG155" i="6"/>
  <c r="AG153" i="6"/>
  <c r="AG158" i="6"/>
  <c r="AG149" i="6"/>
  <c r="AG142" i="6"/>
  <c r="AG167" i="6"/>
  <c r="AG152" i="6"/>
  <c r="AG148" i="6"/>
  <c r="AG144" i="6"/>
  <c r="AG128" i="6"/>
  <c r="AG145" i="6"/>
  <c r="AG138" i="6"/>
  <c r="AG175" i="6" s="1" a="1"/>
  <c r="AG175" i="6" s="1"/>
  <c r="AG134" i="6"/>
  <c r="AG126" i="6"/>
  <c r="AG99" i="6"/>
  <c r="AG169" i="6"/>
  <c r="AG163" i="6"/>
  <c r="AG171" i="6"/>
  <c r="AG151" i="6"/>
  <c r="AG165" i="6"/>
  <c r="AG150" i="6"/>
  <c r="AG135" i="6"/>
  <c r="AG132" i="6"/>
  <c r="AG129" i="6"/>
  <c r="AG154" i="6"/>
  <c r="AG143" i="6"/>
  <c r="AG124" i="6"/>
  <c r="AG131" i="6"/>
  <c r="AG147" i="6"/>
  <c r="AG156" i="6"/>
  <c r="AG133" i="6"/>
  <c r="AG98" i="6"/>
  <c r="AG92" i="6"/>
  <c r="AG91" i="6" s="1"/>
  <c r="AG63" i="6"/>
  <c r="AG173" i="6"/>
  <c r="AG127" i="6"/>
  <c r="AG123" i="6"/>
  <c r="AG122" i="6"/>
  <c r="AG96" i="6"/>
  <c r="AG146" i="6"/>
  <c r="AG97" i="6"/>
  <c r="AG76" i="6"/>
  <c r="AG38" i="6"/>
  <c r="AG36" i="6"/>
  <c r="AG34" i="6"/>
  <c r="AG32" i="6"/>
  <c r="AG30" i="6"/>
  <c r="AG22" i="6"/>
  <c r="AG136" i="6"/>
  <c r="AG13" i="6"/>
  <c r="AG73" i="6"/>
  <c r="AG48" i="6"/>
  <c r="AG28" i="6"/>
  <c r="AG26" i="6"/>
  <c r="AG137" i="6"/>
  <c r="AG125" i="6"/>
  <c r="AG74" i="6"/>
  <c r="AG85" i="6"/>
  <c r="AG130" i="6"/>
  <c r="AG31" i="6"/>
  <c r="AG12" i="6"/>
  <c r="AH5" i="6"/>
  <c r="AG11" i="6"/>
  <c r="AG18" i="6"/>
  <c r="AG6" i="6"/>
  <c r="AG16" i="6"/>
  <c r="AG37" i="6"/>
  <c r="AG75" i="6"/>
  <c r="AG33" i="6"/>
  <c r="AG29" i="6"/>
  <c r="AG25" i="6"/>
  <c r="AG39" i="6"/>
  <c r="AG27" i="6"/>
  <c r="AG15" i="6"/>
  <c r="AG35" i="6"/>
  <c r="AF57" i="6"/>
  <c r="AG4" i="7"/>
  <c r="AD4" i="8"/>
  <c r="AD3" i="8" s="1"/>
  <c r="AF5" i="7"/>
  <c r="AD215" i="6"/>
  <c r="AE213" i="6"/>
  <c r="AE53" i="6"/>
  <c r="AF43" i="6" a="1"/>
  <c r="AF43" i="6" s="1"/>
  <c r="AF45" i="6" s="1"/>
  <c r="AE44" i="6"/>
  <c r="AF201" i="6" s="1"/>
  <c r="AF205" i="6" s="1"/>
  <c r="AE66" i="6"/>
  <c r="AG17" i="6"/>
  <c r="AC66" i="6"/>
  <c r="AE45" i="6"/>
  <c r="AF214" i="6" l="1"/>
  <c r="AF206" i="6"/>
  <c r="AE215" i="6"/>
  <c r="AF213" i="6"/>
  <c r="AF53" i="6"/>
  <c r="AC179" i="6"/>
  <c r="AC180" i="6"/>
  <c r="AC181" i="6"/>
  <c r="AE180" i="6"/>
  <c r="AE179" i="6"/>
  <c r="AE181" i="6"/>
  <c r="AH49" i="6"/>
  <c r="AH56" i="6" s="1"/>
  <c r="AG42" i="6"/>
  <c r="AG5" i="7"/>
  <c r="AE4" i="8"/>
  <c r="AE3" i="8" s="1"/>
  <c r="AH4" i="7"/>
  <c r="AG43" i="6" a="1"/>
  <c r="AG43" i="6" s="1"/>
  <c r="AH17" i="6"/>
  <c r="AG70" i="6"/>
  <c r="AG57" i="6"/>
  <c r="AG71" i="6" s="1"/>
  <c r="AG19" i="6"/>
  <c r="AH172" i="6"/>
  <c r="AH170" i="6"/>
  <c r="AH168" i="6"/>
  <c r="AH166" i="6"/>
  <c r="AH164" i="6"/>
  <c r="AH162" i="6"/>
  <c r="AH157" i="6"/>
  <c r="AH155" i="6"/>
  <c r="AH153" i="6"/>
  <c r="AH189" i="6"/>
  <c r="AI185" i="6" s="1"/>
  <c r="AH158" i="6"/>
  <c r="AH147" i="6"/>
  <c r="AH137" i="6"/>
  <c r="AH145" i="6"/>
  <c r="AH138" i="6"/>
  <c r="AH175" i="6" s="1" a="1"/>
  <c r="AH175" i="6" s="1"/>
  <c r="AH134" i="6"/>
  <c r="AH126" i="6"/>
  <c r="AH99" i="6"/>
  <c r="AH97" i="6"/>
  <c r="AH169" i="6"/>
  <c r="AH163" i="6"/>
  <c r="AH149" i="6"/>
  <c r="AH123" i="6"/>
  <c r="AH173" i="6"/>
  <c r="AH156" i="6"/>
  <c r="AH154" i="6"/>
  <c r="AH143" i="6"/>
  <c r="AH128" i="6"/>
  <c r="AH124" i="6"/>
  <c r="AH151" i="6"/>
  <c r="AH131" i="6"/>
  <c r="AH130" i="6"/>
  <c r="AH167" i="6"/>
  <c r="AH152" i="6"/>
  <c r="AH144" i="6"/>
  <c r="AH171" i="6"/>
  <c r="AH136" i="6"/>
  <c r="AH165" i="6"/>
  <c r="AH150" i="6"/>
  <c r="AH129" i="6"/>
  <c r="AH75" i="6"/>
  <c r="AH142" i="6"/>
  <c r="AH135" i="6"/>
  <c r="AH146" i="6"/>
  <c r="AH132" i="6"/>
  <c r="AH133" i="6"/>
  <c r="AH98" i="6"/>
  <c r="AH11" i="6"/>
  <c r="AH74" i="6"/>
  <c r="AH27" i="6"/>
  <c r="AH25" i="6"/>
  <c r="AH127" i="6"/>
  <c r="AH76" i="6"/>
  <c r="AH63" i="6"/>
  <c r="AH38" i="6"/>
  <c r="AH36" i="6"/>
  <c r="AH34" i="6"/>
  <c r="AH32" i="6"/>
  <c r="AH30" i="6"/>
  <c r="AH125" i="6"/>
  <c r="AH148" i="6"/>
  <c r="AH92" i="6"/>
  <c r="AH91" i="6" s="1"/>
  <c r="AH85" i="6"/>
  <c r="AH122" i="6"/>
  <c r="AH96" i="6"/>
  <c r="AH18" i="6"/>
  <c r="AH33" i="6"/>
  <c r="AH16" i="6"/>
  <c r="AH29" i="6"/>
  <c r="AH13" i="6"/>
  <c r="AH6" i="6"/>
  <c r="AH37" i="6"/>
  <c r="AH28" i="6"/>
  <c r="AH22" i="6"/>
  <c r="AH73" i="6"/>
  <c r="AH39" i="6"/>
  <c r="AH35" i="6"/>
  <c r="AH26" i="6"/>
  <c r="AH15" i="6"/>
  <c r="AH31" i="6"/>
  <c r="AH12" i="6"/>
  <c r="AH48" i="6"/>
  <c r="AH57" i="6" s="1"/>
  <c r="AH71" i="6" s="1"/>
  <c r="AI5" i="6"/>
  <c r="AG95" i="6"/>
  <c r="AG201" i="6"/>
  <c r="AG205" i="6" s="1"/>
  <c r="AF44" i="6"/>
  <c r="AF88" i="6"/>
  <c r="AH188" i="6"/>
  <c r="AH187" i="6"/>
  <c r="AF71" i="6"/>
  <c r="AF69" i="6" s="1"/>
  <c r="AF67" i="6" l="1"/>
  <c r="AG214" i="6"/>
  <c r="AG206" i="6"/>
  <c r="AH5" i="7"/>
  <c r="AF4" i="8"/>
  <c r="AF3" i="8" s="1"/>
  <c r="AI4" i="7"/>
  <c r="AG55" i="6"/>
  <c r="AG44" i="6"/>
  <c r="AH201" i="6" s="1"/>
  <c r="AH205" i="6" s="1"/>
  <c r="AG88" i="6"/>
  <c r="AG87" i="6" s="1"/>
  <c r="AI49" i="6"/>
  <c r="AI56" i="6" s="1"/>
  <c r="AH42" i="6"/>
  <c r="AH43" i="6" a="1"/>
  <c r="AH43" i="6" s="1"/>
  <c r="AH45" i="6" s="1"/>
  <c r="AI187" i="6"/>
  <c r="AI188" i="6"/>
  <c r="AG69" i="6"/>
  <c r="AG67" i="6" s="1"/>
  <c r="AH55" i="6"/>
  <c r="AH53" i="6" s="1"/>
  <c r="AH70" i="6"/>
  <c r="AH69" i="6" s="1"/>
  <c r="AH67" i="6" s="1"/>
  <c r="AF87" i="6"/>
  <c r="AH95" i="6"/>
  <c r="AH19" i="6"/>
  <c r="AG213" i="6"/>
  <c r="AF215" i="6"/>
  <c r="AI172" i="6"/>
  <c r="AI170" i="6"/>
  <c r="AI168" i="6"/>
  <c r="AI166" i="6"/>
  <c r="AI164" i="6"/>
  <c r="AI162" i="6"/>
  <c r="AI157" i="6"/>
  <c r="AI155" i="6"/>
  <c r="AI153" i="6"/>
  <c r="AI151" i="6"/>
  <c r="AI149" i="6"/>
  <c r="AI147" i="6"/>
  <c r="AI145" i="6"/>
  <c r="AI143" i="6"/>
  <c r="AI138" i="6"/>
  <c r="AI175" i="6" s="1" a="1"/>
  <c r="AI175" i="6" s="1"/>
  <c r="AI136" i="6"/>
  <c r="AI134" i="6"/>
  <c r="AI132" i="6"/>
  <c r="AI173" i="6"/>
  <c r="AI169" i="6"/>
  <c r="AI165" i="6"/>
  <c r="AI135" i="6"/>
  <c r="AI163" i="6"/>
  <c r="AI123" i="6"/>
  <c r="AI189" i="6"/>
  <c r="AJ185" i="6" s="1"/>
  <c r="AI156" i="6"/>
  <c r="AI131" i="6"/>
  <c r="AI129" i="6"/>
  <c r="AI158" i="6"/>
  <c r="AI150" i="6"/>
  <c r="AI146" i="6"/>
  <c r="AI142" i="6"/>
  <c r="AI167" i="6"/>
  <c r="AI152" i="6"/>
  <c r="AI148" i="6"/>
  <c r="AI144" i="6"/>
  <c r="AI137" i="6"/>
  <c r="AI130" i="6"/>
  <c r="AI122" i="6"/>
  <c r="AI154" i="6"/>
  <c r="AI127" i="6"/>
  <c r="AI96" i="6"/>
  <c r="AI99" i="6"/>
  <c r="AI85" i="6"/>
  <c r="AI125" i="6"/>
  <c r="AI97" i="6"/>
  <c r="AI133" i="6"/>
  <c r="AI128" i="6"/>
  <c r="AI98" i="6"/>
  <c r="AI74" i="6"/>
  <c r="AI27" i="6"/>
  <c r="AI25" i="6"/>
  <c r="AI171" i="6"/>
  <c r="AI39" i="6"/>
  <c r="AI37" i="6"/>
  <c r="AI35" i="6"/>
  <c r="AI33" i="6"/>
  <c r="AI31" i="6"/>
  <c r="AI43" i="6" s="1" a="1"/>
  <c r="AI43" i="6" s="1"/>
  <c r="AI29" i="6"/>
  <c r="AI38" i="6"/>
  <c r="AI34" i="6"/>
  <c r="AI124" i="6"/>
  <c r="AI92" i="6"/>
  <c r="AI91" i="6" s="1"/>
  <c r="AI76" i="6"/>
  <c r="AI63" i="6"/>
  <c r="AI126" i="6"/>
  <c r="AI75" i="6"/>
  <c r="AI16" i="6"/>
  <c r="AI11" i="6"/>
  <c r="AJ17" i="6" s="1"/>
  <c r="AI28" i="6"/>
  <c r="AI22" i="6"/>
  <c r="AI13" i="6"/>
  <c r="AI6" i="6"/>
  <c r="AI73" i="6"/>
  <c r="AI36" i="6"/>
  <c r="AI26" i="6"/>
  <c r="AI15" i="6"/>
  <c r="AI48" i="6"/>
  <c r="AI57" i="6" s="1"/>
  <c r="AI32" i="6"/>
  <c r="AI30" i="6"/>
  <c r="AI12" i="6"/>
  <c r="AJ5" i="6"/>
  <c r="AI18" i="6"/>
  <c r="AI17" i="6"/>
  <c r="AI19" i="6" s="1"/>
  <c r="AG45" i="6"/>
  <c r="AH206" i="6" l="1"/>
  <c r="AH214" i="6"/>
  <c r="AJ188" i="6"/>
  <c r="AJ187" i="6"/>
  <c r="AI71" i="6"/>
  <c r="AH44" i="6"/>
  <c r="AI201" i="6" s="1"/>
  <c r="AI205" i="6" s="1"/>
  <c r="AH88" i="6"/>
  <c r="AH87" i="6" s="1"/>
  <c r="AH66" i="6" s="1"/>
  <c r="AI55" i="6"/>
  <c r="AI53" i="6" s="1"/>
  <c r="AI70" i="6"/>
  <c r="AJ49" i="6"/>
  <c r="AJ56" i="6" s="1"/>
  <c r="AI42" i="6"/>
  <c r="AG215" i="6"/>
  <c r="AH213" i="6"/>
  <c r="AG66" i="6"/>
  <c r="AJ172" i="6"/>
  <c r="AJ170" i="6"/>
  <c r="AJ168" i="6"/>
  <c r="AJ166" i="6"/>
  <c r="AJ164" i="6"/>
  <c r="AJ162" i="6"/>
  <c r="AJ173" i="6"/>
  <c r="AJ169" i="6"/>
  <c r="AJ165" i="6"/>
  <c r="AJ156" i="6"/>
  <c r="AJ152" i="6"/>
  <c r="AJ145" i="6"/>
  <c r="AJ133" i="6"/>
  <c r="AJ129" i="6"/>
  <c r="AJ127" i="6"/>
  <c r="AJ125" i="6"/>
  <c r="AJ189" i="6"/>
  <c r="AK185" i="6" s="1"/>
  <c r="AJ149" i="6"/>
  <c r="AJ131" i="6"/>
  <c r="AJ158" i="6"/>
  <c r="AJ157" i="6"/>
  <c r="AJ150" i="6"/>
  <c r="AJ146" i="6"/>
  <c r="AJ142" i="6"/>
  <c r="AJ135" i="6"/>
  <c r="AJ154" i="6"/>
  <c r="AJ153" i="6"/>
  <c r="AJ151" i="6"/>
  <c r="AJ167" i="6"/>
  <c r="AJ144" i="6"/>
  <c r="AJ99" i="6"/>
  <c r="AJ98" i="6"/>
  <c r="AJ134" i="6"/>
  <c r="AJ148" i="6"/>
  <c r="AJ137" i="6"/>
  <c r="AJ155" i="6"/>
  <c r="AJ143" i="6"/>
  <c r="AJ126" i="6"/>
  <c r="AJ75" i="6"/>
  <c r="AJ73" i="6"/>
  <c r="AJ147" i="6"/>
  <c r="AJ130" i="6"/>
  <c r="AJ122" i="6"/>
  <c r="AJ132" i="6"/>
  <c r="AJ97" i="6"/>
  <c r="AJ76" i="6"/>
  <c r="AJ171" i="6"/>
  <c r="AJ128" i="6"/>
  <c r="AJ124" i="6"/>
  <c r="AJ136" i="6"/>
  <c r="AJ74" i="6"/>
  <c r="AJ27" i="6"/>
  <c r="AJ25" i="6"/>
  <c r="AJ39" i="6"/>
  <c r="AJ37" i="6"/>
  <c r="AJ35" i="6"/>
  <c r="AJ33" i="6"/>
  <c r="AJ31" i="6"/>
  <c r="AJ29" i="6"/>
  <c r="AK5" i="6"/>
  <c r="AJ96" i="6"/>
  <c r="AJ163" i="6"/>
  <c r="AJ123" i="6"/>
  <c r="AJ92" i="6"/>
  <c r="AJ91" i="6" s="1"/>
  <c r="AJ63" i="6"/>
  <c r="AJ85" i="6"/>
  <c r="AJ38" i="6"/>
  <c r="AJ28" i="6"/>
  <c r="AJ11" i="6"/>
  <c r="AK17" i="6" s="1"/>
  <c r="AJ15" i="6"/>
  <c r="AJ12" i="6"/>
  <c r="AJ34" i="6"/>
  <c r="AJ13" i="6"/>
  <c r="AJ6" i="6"/>
  <c r="AJ22" i="6"/>
  <c r="AJ36" i="6"/>
  <c r="AJ26" i="6"/>
  <c r="AJ48" i="6"/>
  <c r="AJ57" i="6" s="1"/>
  <c r="AJ71" i="6" s="1"/>
  <c r="AJ32" i="6"/>
  <c r="AJ30" i="6"/>
  <c r="AJ138" i="6"/>
  <c r="AJ175" i="6" s="1" a="1"/>
  <c r="AJ175" i="6" s="1"/>
  <c r="AJ18" i="6"/>
  <c r="AJ19" i="6" s="1"/>
  <c r="AJ16" i="6"/>
  <c r="AG53" i="6"/>
  <c r="AI95" i="6"/>
  <c r="AG4" i="8"/>
  <c r="AG3" i="8" s="1"/>
  <c r="AI5" i="7"/>
  <c r="AJ4" i="7"/>
  <c r="AF66" i="6"/>
  <c r="AH180" i="6" l="1"/>
  <c r="AH181" i="6"/>
  <c r="AH179" i="6"/>
  <c r="AI214" i="6"/>
  <c r="AI206" i="6"/>
  <c r="AJ5" i="7"/>
  <c r="AH4" i="8"/>
  <c r="AH3" i="8" s="1"/>
  <c r="AK4" i="7"/>
  <c r="AI44" i="6"/>
  <c r="AJ201" i="6" s="1"/>
  <c r="AJ205" i="6" s="1"/>
  <c r="AI88" i="6"/>
  <c r="AG180" i="6"/>
  <c r="AG179" i="6"/>
  <c r="AG181" i="6"/>
  <c r="AF180" i="6"/>
  <c r="AF179" i="6"/>
  <c r="AF181" i="6"/>
  <c r="AK49" i="6"/>
  <c r="AK56" i="6" s="1"/>
  <c r="AJ42" i="6"/>
  <c r="AI69" i="6"/>
  <c r="AJ95" i="6"/>
  <c r="AI213" i="6"/>
  <c r="AH215" i="6"/>
  <c r="AK187" i="6"/>
  <c r="AK188" i="6"/>
  <c r="AK19" i="6"/>
  <c r="AJ55" i="6"/>
  <c r="AJ53" i="6" s="1"/>
  <c r="AJ70" i="6"/>
  <c r="AJ69" i="6" s="1"/>
  <c r="AJ67" i="6" s="1"/>
  <c r="AK173" i="6"/>
  <c r="AK171" i="6"/>
  <c r="AK169" i="6"/>
  <c r="AK167" i="6"/>
  <c r="AK165" i="6"/>
  <c r="AK163" i="6"/>
  <c r="AK158" i="6"/>
  <c r="AK156" i="6"/>
  <c r="AK154" i="6"/>
  <c r="AK189" i="6"/>
  <c r="AL185" i="6" s="1"/>
  <c r="AK150" i="6"/>
  <c r="AK143" i="6"/>
  <c r="AK131" i="6"/>
  <c r="AK168" i="6"/>
  <c r="AK157" i="6"/>
  <c r="AK146" i="6"/>
  <c r="AK142" i="6"/>
  <c r="AK135" i="6"/>
  <c r="AK129" i="6"/>
  <c r="AK127" i="6"/>
  <c r="AK170" i="6"/>
  <c r="AK164" i="6"/>
  <c r="AK155" i="6"/>
  <c r="AK136" i="6"/>
  <c r="AK172" i="6"/>
  <c r="AK162" i="6"/>
  <c r="AK138" i="6"/>
  <c r="AK175" i="6" s="1" a="1"/>
  <c r="AK175" i="6" s="1"/>
  <c r="AK144" i="6"/>
  <c r="AK152" i="6"/>
  <c r="AK134" i="6"/>
  <c r="AK96" i="6"/>
  <c r="AK95" i="6" s="1"/>
  <c r="AK145" i="6"/>
  <c r="AK153" i="6"/>
  <c r="AK166" i="6"/>
  <c r="AK137" i="6"/>
  <c r="AK123" i="6"/>
  <c r="AK85" i="6"/>
  <c r="AK151" i="6"/>
  <c r="AK128" i="6"/>
  <c r="AK125" i="6"/>
  <c r="AK124" i="6"/>
  <c r="AK92" i="6"/>
  <c r="AK91" i="6" s="1"/>
  <c r="AK133" i="6"/>
  <c r="AK98" i="6"/>
  <c r="AK39" i="6"/>
  <c r="AK37" i="6"/>
  <c r="AK35" i="6"/>
  <c r="AK33" i="6"/>
  <c r="AK31" i="6"/>
  <c r="AK29" i="6"/>
  <c r="AK15" i="6"/>
  <c r="AK12" i="6"/>
  <c r="AK147" i="6"/>
  <c r="AK130" i="6"/>
  <c r="AK122" i="6"/>
  <c r="AK149" i="6"/>
  <c r="AK97" i="6"/>
  <c r="AK74" i="6"/>
  <c r="AK27" i="6"/>
  <c r="AK132" i="6"/>
  <c r="AK99" i="6"/>
  <c r="AK76" i="6"/>
  <c r="AK148" i="6"/>
  <c r="AK126" i="6"/>
  <c r="AK75" i="6"/>
  <c r="AK73" i="6"/>
  <c r="AK34" i="6"/>
  <c r="AK13" i="6"/>
  <c r="AK6" i="6"/>
  <c r="AL5" i="6"/>
  <c r="AK43" i="6" a="1"/>
  <c r="AK43" i="6" s="1"/>
  <c r="AK22" i="6"/>
  <c r="AK26" i="6"/>
  <c r="AK11" i="6"/>
  <c r="AK36" i="6"/>
  <c r="AK63" i="6"/>
  <c r="AK48" i="6"/>
  <c r="AK57" i="6" s="1"/>
  <c r="AK71" i="6" s="1"/>
  <c r="AK32" i="6"/>
  <c r="AK30" i="6"/>
  <c r="AK25" i="6"/>
  <c r="AK18" i="6"/>
  <c r="AK16" i="6"/>
  <c r="AK38" i="6"/>
  <c r="AK28" i="6"/>
  <c r="AJ43" i="6" a="1"/>
  <c r="AJ43" i="6" s="1"/>
  <c r="AI45" i="6"/>
  <c r="AJ206" i="6" l="1"/>
  <c r="AJ214" i="6"/>
  <c r="AJ44" i="6"/>
  <c r="AK201" i="6" s="1"/>
  <c r="AK205" i="6" s="1"/>
  <c r="AJ88" i="6"/>
  <c r="AJ87" i="6" s="1"/>
  <c r="AJ66" i="6" s="1"/>
  <c r="AJ45" i="6"/>
  <c r="AK42" i="6"/>
  <c r="AL49" i="6"/>
  <c r="AL56" i="6" s="1"/>
  <c r="AI4" i="8"/>
  <c r="AI3" i="8" s="1"/>
  <c r="AL4" i="7"/>
  <c r="AK5" i="7"/>
  <c r="AI67" i="6"/>
  <c r="AL17" i="6"/>
  <c r="AK45" i="6"/>
  <c r="AL173" i="6"/>
  <c r="AL171" i="6"/>
  <c r="AL169" i="6"/>
  <c r="AL167" i="6"/>
  <c r="AL165" i="6"/>
  <c r="AL163" i="6"/>
  <c r="AL158" i="6"/>
  <c r="AL156" i="6"/>
  <c r="AL154" i="6"/>
  <c r="AL189" i="6"/>
  <c r="AM185" i="6" s="1"/>
  <c r="AL153" i="6"/>
  <c r="AL148" i="6"/>
  <c r="AL138" i="6"/>
  <c r="AL175" i="6" s="1" a="1"/>
  <c r="AL175" i="6" s="1"/>
  <c r="AL150" i="6"/>
  <c r="AL127" i="6"/>
  <c r="AL98" i="6"/>
  <c r="AL96" i="6"/>
  <c r="AL92" i="6"/>
  <c r="AL91" i="6" s="1"/>
  <c r="AL170" i="6"/>
  <c r="AL164" i="6"/>
  <c r="AL155" i="6"/>
  <c r="AL136" i="6"/>
  <c r="AL132" i="6"/>
  <c r="AL125" i="6"/>
  <c r="AL124" i="6"/>
  <c r="AL122" i="6"/>
  <c r="AL151" i="6"/>
  <c r="AL147" i="6"/>
  <c r="AL143" i="6"/>
  <c r="AL149" i="6"/>
  <c r="AL145" i="6"/>
  <c r="AL152" i="6"/>
  <c r="AL134" i="6"/>
  <c r="AL131" i="6"/>
  <c r="AL172" i="6"/>
  <c r="AL162" i="6"/>
  <c r="AL146" i="6"/>
  <c r="AL133" i="6"/>
  <c r="AL130" i="6"/>
  <c r="AL166" i="6"/>
  <c r="AL99" i="6"/>
  <c r="AL97" i="6"/>
  <c r="AL76" i="6"/>
  <c r="AL144" i="6"/>
  <c r="AL157" i="6"/>
  <c r="AL129" i="6"/>
  <c r="AL137" i="6"/>
  <c r="AL75" i="6"/>
  <c r="AL48" i="6"/>
  <c r="AL57" i="6" s="1"/>
  <c r="AL71" i="6" s="1"/>
  <c r="AL28" i="6"/>
  <c r="AL43" i="6" s="1" a="1"/>
  <c r="AL43" i="6" s="1"/>
  <c r="AL26" i="6"/>
  <c r="AL168" i="6"/>
  <c r="AL142" i="6"/>
  <c r="AL128" i="6"/>
  <c r="AL39" i="6"/>
  <c r="AL37" i="6"/>
  <c r="AL35" i="6"/>
  <c r="AL33" i="6"/>
  <c r="AL31" i="6"/>
  <c r="AL29" i="6"/>
  <c r="AL135" i="6"/>
  <c r="AL85" i="6"/>
  <c r="AL126" i="6"/>
  <c r="AL74" i="6"/>
  <c r="AL73" i="6"/>
  <c r="AL123" i="6"/>
  <c r="AL22" i="6"/>
  <c r="AL32" i="6"/>
  <c r="AL25" i="6"/>
  <c r="AL15" i="6"/>
  <c r="AM5" i="6"/>
  <c r="AL11" i="6"/>
  <c r="AM17" i="6" s="1"/>
  <c r="AL30" i="6"/>
  <c r="AL18" i="6"/>
  <c r="AL12" i="6"/>
  <c r="AL36" i="6"/>
  <c r="AL63" i="6"/>
  <c r="AL16" i="6"/>
  <c r="AL38" i="6"/>
  <c r="AL27" i="6"/>
  <c r="AL34" i="6"/>
  <c r="AL13" i="6"/>
  <c r="AL6" i="6"/>
  <c r="AK70" i="6"/>
  <c r="AK69" i="6" s="1"/>
  <c r="AK67" i="6" s="1"/>
  <c r="AK55" i="6"/>
  <c r="AK53" i="6" s="1"/>
  <c r="AI87" i="6"/>
  <c r="AJ213" i="6"/>
  <c r="AI215" i="6"/>
  <c r="AL187" i="6"/>
  <c r="AL188" i="6"/>
  <c r="AK214" i="6" l="1"/>
  <c r="AK206" i="6"/>
  <c r="AJ180" i="6"/>
  <c r="AJ181" i="6"/>
  <c r="AJ179" i="6"/>
  <c r="AK66" i="6"/>
  <c r="AK181" i="6" s="1"/>
  <c r="AJ215" i="6"/>
  <c r="AK213" i="6"/>
  <c r="AI66" i="6"/>
  <c r="AL19" i="6"/>
  <c r="AM189" i="6"/>
  <c r="AN185" i="6" s="1"/>
  <c r="AM173" i="6"/>
  <c r="AM171" i="6"/>
  <c r="AM169" i="6"/>
  <c r="AM167" i="6"/>
  <c r="AM165" i="6"/>
  <c r="AM163" i="6"/>
  <c r="AM158" i="6"/>
  <c r="AM156" i="6"/>
  <c r="AM154" i="6"/>
  <c r="AM152" i="6"/>
  <c r="AM150" i="6"/>
  <c r="AM148" i="6"/>
  <c r="AM146" i="6"/>
  <c r="AM144" i="6"/>
  <c r="AM142" i="6"/>
  <c r="AM137" i="6"/>
  <c r="AM135" i="6"/>
  <c r="AM133" i="6"/>
  <c r="AM131" i="6"/>
  <c r="AM170" i="6"/>
  <c r="AM166" i="6"/>
  <c r="AM162" i="6"/>
  <c r="AM136" i="6"/>
  <c r="AM164" i="6"/>
  <c r="AM155" i="6"/>
  <c r="AM132" i="6"/>
  <c r="AM125" i="6"/>
  <c r="AM124" i="6"/>
  <c r="AM122" i="6"/>
  <c r="AM151" i="6"/>
  <c r="AM147" i="6"/>
  <c r="AM143" i="6"/>
  <c r="AM130" i="6"/>
  <c r="AM153" i="6"/>
  <c r="AM168" i="6"/>
  <c r="AM157" i="6"/>
  <c r="AM172" i="6"/>
  <c r="AM145" i="6"/>
  <c r="AM123" i="6"/>
  <c r="AM92" i="6"/>
  <c r="AM91" i="6" s="1"/>
  <c r="AM149" i="6"/>
  <c r="AM138" i="6"/>
  <c r="AM175" i="6" s="1" a="1"/>
  <c r="AM175" i="6" s="1"/>
  <c r="AM134" i="6"/>
  <c r="AM96" i="6"/>
  <c r="AM95" i="6" s="1"/>
  <c r="AM85" i="6"/>
  <c r="AM128" i="6"/>
  <c r="AM98" i="6"/>
  <c r="AM126" i="6"/>
  <c r="AM129" i="6"/>
  <c r="AM75" i="6"/>
  <c r="AM48" i="6"/>
  <c r="AM57" i="6" s="1"/>
  <c r="AM71" i="6" s="1"/>
  <c r="AM28" i="6"/>
  <c r="AM26" i="6"/>
  <c r="AM99" i="6"/>
  <c r="AM73" i="6"/>
  <c r="AM63" i="6"/>
  <c r="AM38" i="6"/>
  <c r="AM36" i="6"/>
  <c r="AM34" i="6"/>
  <c r="AM32" i="6"/>
  <c r="AM30" i="6"/>
  <c r="AM22" i="6"/>
  <c r="AM74" i="6"/>
  <c r="AM39" i="6"/>
  <c r="AM35" i="6"/>
  <c r="AM31" i="6"/>
  <c r="AM127" i="6"/>
  <c r="AM11" i="6"/>
  <c r="AM12" i="6"/>
  <c r="AN5" i="6"/>
  <c r="AM16" i="6"/>
  <c r="AM37" i="6"/>
  <c r="AM18" i="6"/>
  <c r="AM19" i="6" s="1"/>
  <c r="AM33" i="6"/>
  <c r="AM29" i="6"/>
  <c r="AM25" i="6"/>
  <c r="AM15" i="6"/>
  <c r="AM97" i="6"/>
  <c r="AM76" i="6"/>
  <c r="AM27" i="6"/>
  <c r="AM43" i="6" s="1" a="1"/>
  <c r="AM43" i="6" s="1"/>
  <c r="AM13" i="6"/>
  <c r="AM6" i="6"/>
  <c r="AL42" i="6"/>
  <c r="AL45" i="6" s="1"/>
  <c r="AM49" i="6"/>
  <c r="AM56" i="6" s="1"/>
  <c r="AL70" i="6"/>
  <c r="AL69" i="6" s="1"/>
  <c r="AL67" i="6" s="1"/>
  <c r="AL55" i="6"/>
  <c r="AL53" i="6" s="1"/>
  <c r="AK180" i="6"/>
  <c r="AM188" i="6"/>
  <c r="AM187" i="6"/>
  <c r="AL95" i="6"/>
  <c r="AM4" i="7"/>
  <c r="AJ4" i="8"/>
  <c r="AJ3" i="8" s="1"/>
  <c r="AL5" i="7"/>
  <c r="AL201" i="6"/>
  <c r="AL205" i="6" s="1"/>
  <c r="AK44" i="6"/>
  <c r="AK88" i="6"/>
  <c r="AK87" i="6" s="1"/>
  <c r="AN4" i="7" l="1"/>
  <c r="AM5" i="7"/>
  <c r="AK4" i="8"/>
  <c r="AK3" i="8" s="1"/>
  <c r="AN187" i="6"/>
  <c r="AN188" i="6"/>
  <c r="AK179" i="6"/>
  <c r="AN189" i="6"/>
  <c r="AO185" i="6" s="1"/>
  <c r="AN173" i="6"/>
  <c r="AN171" i="6"/>
  <c r="AN169" i="6"/>
  <c r="AN167" i="6"/>
  <c r="AN165" i="6"/>
  <c r="AN163" i="6"/>
  <c r="AN170" i="6"/>
  <c r="AN166" i="6"/>
  <c r="AN162" i="6"/>
  <c r="AN157" i="6"/>
  <c r="AN146" i="6"/>
  <c r="AN134" i="6"/>
  <c r="AN130" i="6"/>
  <c r="AN128" i="6"/>
  <c r="AN126" i="6"/>
  <c r="AN158" i="6"/>
  <c r="AN156" i="6"/>
  <c r="AN151" i="6"/>
  <c r="AN147" i="6"/>
  <c r="AN143" i="6"/>
  <c r="AN136" i="6"/>
  <c r="AN154" i="6"/>
  <c r="AN153" i="6"/>
  <c r="AN144" i="6"/>
  <c r="AN137" i="6"/>
  <c r="AN142" i="6"/>
  <c r="AN145" i="6"/>
  <c r="AN133" i="6"/>
  <c r="AN164" i="6"/>
  <c r="AN168" i="6"/>
  <c r="AN172" i="6"/>
  <c r="AN152" i="6"/>
  <c r="AN127" i="6"/>
  <c r="AN123" i="6"/>
  <c r="AN122" i="6"/>
  <c r="AN99" i="6"/>
  <c r="Q55" i="4" s="1"/>
  <c r="AN97" i="6"/>
  <c r="Q53" i="4" s="1"/>
  <c r="AN76" i="6"/>
  <c r="AN74" i="6"/>
  <c r="AN149" i="6"/>
  <c r="AN135" i="6"/>
  <c r="AN132" i="6"/>
  <c r="AN75" i="6"/>
  <c r="AN148" i="6"/>
  <c r="AN129" i="6"/>
  <c r="AN48" i="6"/>
  <c r="AN28" i="6"/>
  <c r="AN26" i="6"/>
  <c r="AN155" i="6"/>
  <c r="AN150" i="6"/>
  <c r="AN96" i="6"/>
  <c r="AN73" i="6"/>
  <c r="AN63" i="6"/>
  <c r="Q37" i="4" s="1"/>
  <c r="AN38" i="6"/>
  <c r="AN36" i="6"/>
  <c r="AN34" i="6"/>
  <c r="AN32" i="6"/>
  <c r="AN30" i="6"/>
  <c r="AN22" i="6"/>
  <c r="AN18" i="6"/>
  <c r="AN16" i="6"/>
  <c r="AN6" i="6"/>
  <c r="AN92" i="6"/>
  <c r="AN91" i="6" s="1"/>
  <c r="Q50" i="4" s="1"/>
  <c r="AN85" i="6"/>
  <c r="AN98" i="6"/>
  <c r="Q54" i="4" s="1"/>
  <c r="AN125" i="6"/>
  <c r="AN124" i="6"/>
  <c r="AN37" i="6"/>
  <c r="AN33" i="6"/>
  <c r="AN29" i="6"/>
  <c r="AN25" i="6"/>
  <c r="AN15" i="6"/>
  <c r="AN12" i="6"/>
  <c r="AO5" i="6"/>
  <c r="AN39" i="6"/>
  <c r="AN27" i="6"/>
  <c r="AN43" i="6" s="1" a="1"/>
  <c r="AN43" i="6" s="1"/>
  <c r="AN138" i="6"/>
  <c r="AN175" i="6" s="1" a="1"/>
  <c r="AN175" i="6" s="1"/>
  <c r="Q38" i="4" s="1"/>
  <c r="AN35" i="6"/>
  <c r="AN13" i="6"/>
  <c r="AN31" i="6"/>
  <c r="AN11" i="6"/>
  <c r="AN131" i="6"/>
  <c r="AM70" i="6"/>
  <c r="AM69" i="6" s="1"/>
  <c r="AM67" i="6" s="1"/>
  <c r="AM55" i="6"/>
  <c r="AM53" i="6" s="1"/>
  <c r="AI180" i="6"/>
  <c r="AI181" i="6"/>
  <c r="AI179" i="6"/>
  <c r="AL206" i="6"/>
  <c r="AL214" i="6"/>
  <c r="AM201" i="6"/>
  <c r="AM205" i="6" s="1"/>
  <c r="AL44" i="6"/>
  <c r="AL88" i="6"/>
  <c r="AL87" i="6" s="1"/>
  <c r="AL66" i="6" s="1"/>
  <c r="AM42" i="6"/>
  <c r="AN49" i="6"/>
  <c r="AN56" i="6" s="1"/>
  <c r="AN17" i="6"/>
  <c r="AK215" i="6"/>
  <c r="AL213" i="6"/>
  <c r="AL179" i="6" l="1"/>
  <c r="AL181" i="6"/>
  <c r="AL180" i="6"/>
  <c r="AN70" i="6"/>
  <c r="AN55" i="6"/>
  <c r="Q32" i="4"/>
  <c r="AO17" i="6"/>
  <c r="AM206" i="6"/>
  <c r="AM214" i="6"/>
  <c r="Q16" i="4"/>
  <c r="AN57" i="6"/>
  <c r="Q29" i="4"/>
  <c r="Q11" i="4" s="1"/>
  <c r="AM44" i="6"/>
  <c r="AM88" i="6"/>
  <c r="AM87" i="6" s="1"/>
  <c r="AL215" i="6"/>
  <c r="AM213" i="6"/>
  <c r="Q15" i="4"/>
  <c r="AN19" i="6"/>
  <c r="AO189" i="6"/>
  <c r="AP185" i="6" s="1"/>
  <c r="AO172" i="6"/>
  <c r="AO170" i="6"/>
  <c r="AO168" i="6"/>
  <c r="AO166" i="6"/>
  <c r="AO164" i="6"/>
  <c r="AO162" i="6"/>
  <c r="AO157" i="6"/>
  <c r="AO155" i="6"/>
  <c r="AO153" i="6"/>
  <c r="AO151" i="6"/>
  <c r="AO144" i="6"/>
  <c r="AO132" i="6"/>
  <c r="AO169" i="6"/>
  <c r="AO154" i="6"/>
  <c r="AO130" i="6"/>
  <c r="AO173" i="6"/>
  <c r="AO137" i="6"/>
  <c r="AO133" i="6"/>
  <c r="AO128" i="6"/>
  <c r="AO99" i="6"/>
  <c r="AO171" i="6"/>
  <c r="AO165" i="6"/>
  <c r="AO152" i="6"/>
  <c r="AO148" i="6"/>
  <c r="AO163" i="6"/>
  <c r="AO150" i="6"/>
  <c r="AO146" i="6"/>
  <c r="AO167" i="6"/>
  <c r="AO126" i="6"/>
  <c r="AO125" i="6"/>
  <c r="AO97" i="6"/>
  <c r="AO147" i="6"/>
  <c r="AO142" i="6"/>
  <c r="AO145" i="6"/>
  <c r="AO131" i="6"/>
  <c r="AO63" i="6"/>
  <c r="AO124" i="6"/>
  <c r="AO98" i="6"/>
  <c r="AO92" i="6"/>
  <c r="AO91" i="6" s="1"/>
  <c r="AO129" i="6"/>
  <c r="AO138" i="6"/>
  <c r="AO175" i="6" s="1" a="1"/>
  <c r="AO175" i="6" s="1"/>
  <c r="AO136" i="6"/>
  <c r="AO96" i="6"/>
  <c r="AO75" i="6"/>
  <c r="AO73" i="6"/>
  <c r="AO38" i="6"/>
  <c r="AO36" i="6"/>
  <c r="AO34" i="6"/>
  <c r="AO32" i="6"/>
  <c r="AO30" i="6"/>
  <c r="AO22" i="6"/>
  <c r="AO143" i="6"/>
  <c r="AO122" i="6"/>
  <c r="AO85" i="6"/>
  <c r="AO13" i="6"/>
  <c r="AO135" i="6"/>
  <c r="AO48" i="6"/>
  <c r="AO28" i="6"/>
  <c r="AO26" i="6"/>
  <c r="AO43" i="6" s="1" a="1"/>
  <c r="AO43" i="6" s="1"/>
  <c r="AO158" i="6"/>
  <c r="AO127" i="6"/>
  <c r="AO123" i="6"/>
  <c r="AO33" i="6"/>
  <c r="AO29" i="6"/>
  <c r="AO25" i="6"/>
  <c r="AO15" i="6"/>
  <c r="AO27" i="6"/>
  <c r="AO16" i="6"/>
  <c r="AO6" i="6"/>
  <c r="AO12" i="6"/>
  <c r="AP5" i="6"/>
  <c r="AO156" i="6"/>
  <c r="AO76" i="6"/>
  <c r="AO18" i="6"/>
  <c r="AO149" i="6"/>
  <c r="AO39" i="6"/>
  <c r="AO35" i="6"/>
  <c r="AO31" i="6"/>
  <c r="AO134" i="6"/>
  <c r="AO11" i="6"/>
  <c r="AO37" i="6"/>
  <c r="AO74" i="6"/>
  <c r="AM180" i="6"/>
  <c r="AM179" i="6"/>
  <c r="AN42" i="6"/>
  <c r="AO49" i="6"/>
  <c r="AO56" i="6" s="1"/>
  <c r="AO4" i="7"/>
  <c r="AL4" i="8"/>
  <c r="AL3" i="8" s="1"/>
  <c r="AN5" i="7"/>
  <c r="AN95" i="6"/>
  <c r="Q52" i="4"/>
  <c r="AM66" i="6"/>
  <c r="AM181" i="6" s="1"/>
  <c r="AO188" i="6"/>
  <c r="AO187" i="6"/>
  <c r="AM45" i="6"/>
  <c r="AN201" i="6" s="1"/>
  <c r="AN205" i="6" s="1"/>
  <c r="AN214" i="6" l="1"/>
  <c r="AN206" i="6"/>
  <c r="AO88" i="6"/>
  <c r="AN53" i="6"/>
  <c r="Q31" i="4"/>
  <c r="AN71" i="6"/>
  <c r="Q33" i="4"/>
  <c r="AN69" i="6"/>
  <c r="AM4" i="8"/>
  <c r="AM3" i="8" s="1"/>
  <c r="AP4" i="7"/>
  <c r="AO5" i="7"/>
  <c r="AO95" i="6"/>
  <c r="AM215" i="6"/>
  <c r="AN213" i="6"/>
  <c r="AN44" i="6"/>
  <c r="AO201" i="6" s="1"/>
  <c r="AO205" i="6" s="1"/>
  <c r="AN88" i="6"/>
  <c r="AP49" i="6"/>
  <c r="AP56" i="6" s="1"/>
  <c r="AO42" i="6"/>
  <c r="AO57" i="6"/>
  <c r="AO70" i="6"/>
  <c r="AO55" i="6"/>
  <c r="AP17" i="6"/>
  <c r="AP188" i="6"/>
  <c r="AP187" i="6"/>
  <c r="AO19" i="6"/>
  <c r="Q51" i="4"/>
  <c r="AP189" i="6"/>
  <c r="AQ185" i="6" s="1"/>
  <c r="AP172" i="6"/>
  <c r="AP170" i="6"/>
  <c r="AP168" i="6"/>
  <c r="AP166" i="6"/>
  <c r="AP164" i="6"/>
  <c r="AP162" i="6"/>
  <c r="AP157" i="6"/>
  <c r="AP155" i="6"/>
  <c r="AP153" i="6"/>
  <c r="AP154" i="6"/>
  <c r="AP149" i="6"/>
  <c r="AP142" i="6"/>
  <c r="AP173" i="6"/>
  <c r="AP137" i="6"/>
  <c r="AP133" i="6"/>
  <c r="AP128" i="6"/>
  <c r="AP99" i="6"/>
  <c r="AP97" i="6"/>
  <c r="AP171" i="6"/>
  <c r="AP165" i="6"/>
  <c r="AP152" i="6"/>
  <c r="AP148" i="6"/>
  <c r="AP144" i="6"/>
  <c r="AP126" i="6"/>
  <c r="AP123" i="6"/>
  <c r="AP145" i="6"/>
  <c r="AP138" i="6"/>
  <c r="AP175" i="6" s="1" a="1"/>
  <c r="AP175" i="6" s="1"/>
  <c r="AP158" i="6"/>
  <c r="AP156" i="6"/>
  <c r="AP147" i="6"/>
  <c r="AP143" i="6"/>
  <c r="AP125" i="6"/>
  <c r="AP146" i="6"/>
  <c r="AP127" i="6"/>
  <c r="AP169" i="6"/>
  <c r="AP136" i="6"/>
  <c r="AP163" i="6"/>
  <c r="AP150" i="6"/>
  <c r="AP135" i="6"/>
  <c r="AP75" i="6"/>
  <c r="AP167" i="6"/>
  <c r="AP122" i="6"/>
  <c r="AP85" i="6"/>
  <c r="AP63" i="6"/>
  <c r="AP130" i="6"/>
  <c r="AP92" i="6"/>
  <c r="AP91" i="6" s="1"/>
  <c r="AP11" i="6"/>
  <c r="AP132" i="6"/>
  <c r="AP124" i="6"/>
  <c r="AP76" i="6"/>
  <c r="AP27" i="6"/>
  <c r="AP25" i="6"/>
  <c r="AP129" i="6"/>
  <c r="AP96" i="6"/>
  <c r="AP95" i="6" s="1"/>
  <c r="AP73" i="6"/>
  <c r="AP38" i="6"/>
  <c r="AP36" i="6"/>
  <c r="AP34" i="6"/>
  <c r="AP32" i="6"/>
  <c r="AP30" i="6"/>
  <c r="AP151" i="6"/>
  <c r="AP48" i="6"/>
  <c r="AP57" i="6" s="1"/>
  <c r="AP71" i="6" s="1"/>
  <c r="AP98" i="6"/>
  <c r="AP12" i="6"/>
  <c r="AQ5" i="6"/>
  <c r="AP13" i="6"/>
  <c r="AP18" i="6"/>
  <c r="AP39" i="6"/>
  <c r="AP26" i="6"/>
  <c r="AP16" i="6"/>
  <c r="AP35" i="6"/>
  <c r="AP43" i="6" a="1"/>
  <c r="AP43" i="6" s="1"/>
  <c r="AP31" i="6"/>
  <c r="AP6" i="6"/>
  <c r="AP134" i="6"/>
  <c r="AP131" i="6"/>
  <c r="AP74" i="6"/>
  <c r="AP37" i="6"/>
  <c r="AP28" i="6"/>
  <c r="AP22" i="6"/>
  <c r="AP15" i="6"/>
  <c r="AP33" i="6"/>
  <c r="AP29" i="6"/>
  <c r="AN45" i="6"/>
  <c r="AO214" i="6" l="1"/>
  <c r="AO206" i="6"/>
  <c r="AQ189" i="6"/>
  <c r="AR185" i="6" s="1"/>
  <c r="AQ172" i="6"/>
  <c r="AQ170" i="6"/>
  <c r="AQ168" i="6"/>
  <c r="AQ166" i="6"/>
  <c r="AQ164" i="6"/>
  <c r="AQ162" i="6"/>
  <c r="AQ157" i="6"/>
  <c r="AQ155" i="6"/>
  <c r="AQ153" i="6"/>
  <c r="AQ151" i="6"/>
  <c r="AQ149" i="6"/>
  <c r="AQ147" i="6"/>
  <c r="AQ145" i="6"/>
  <c r="AQ143" i="6"/>
  <c r="AQ138" i="6"/>
  <c r="AQ175" i="6" s="1" a="1"/>
  <c r="AQ175" i="6" s="1"/>
  <c r="AQ136" i="6"/>
  <c r="AQ134" i="6"/>
  <c r="AQ132" i="6"/>
  <c r="AQ171" i="6"/>
  <c r="AQ167" i="6"/>
  <c r="AQ163" i="6"/>
  <c r="AQ137" i="6"/>
  <c r="AQ173" i="6"/>
  <c r="AQ165" i="6"/>
  <c r="AQ152" i="6"/>
  <c r="AQ148" i="6"/>
  <c r="AQ144" i="6"/>
  <c r="AQ126" i="6"/>
  <c r="AQ123" i="6"/>
  <c r="AQ169" i="6"/>
  <c r="AQ146" i="6"/>
  <c r="AQ133" i="6"/>
  <c r="AQ127" i="6"/>
  <c r="AQ129" i="6"/>
  <c r="AQ124" i="6"/>
  <c r="AQ135" i="6"/>
  <c r="AQ158" i="6"/>
  <c r="AQ156" i="6"/>
  <c r="AQ98" i="6"/>
  <c r="AQ92" i="6"/>
  <c r="AQ91" i="6" s="1"/>
  <c r="AQ142" i="6"/>
  <c r="AQ125" i="6"/>
  <c r="AQ96" i="6"/>
  <c r="AQ85" i="6"/>
  <c r="AQ122" i="6"/>
  <c r="AQ150" i="6"/>
  <c r="AQ130" i="6"/>
  <c r="AQ99" i="6"/>
  <c r="AQ76" i="6"/>
  <c r="AQ27" i="6"/>
  <c r="AQ25" i="6"/>
  <c r="AQ74" i="6"/>
  <c r="AQ39" i="6"/>
  <c r="AQ37" i="6"/>
  <c r="AQ35" i="6"/>
  <c r="AQ33" i="6"/>
  <c r="AQ31" i="6"/>
  <c r="AQ29" i="6"/>
  <c r="AQ75" i="6"/>
  <c r="AQ63" i="6"/>
  <c r="AQ36" i="6"/>
  <c r="AQ32" i="6"/>
  <c r="AQ73" i="6"/>
  <c r="AQ154" i="6"/>
  <c r="AQ128" i="6"/>
  <c r="AQ18" i="6"/>
  <c r="AQ13" i="6"/>
  <c r="AQ6" i="6"/>
  <c r="AQ11" i="6"/>
  <c r="AQ26" i="6"/>
  <c r="AQ16" i="6"/>
  <c r="AQ97" i="6"/>
  <c r="AQ30" i="6"/>
  <c r="AQ48" i="6"/>
  <c r="AQ57" i="6" s="1"/>
  <c r="AQ71" i="6" s="1"/>
  <c r="AQ131" i="6"/>
  <c r="AQ38" i="6"/>
  <c r="AQ28" i="6"/>
  <c r="AQ34" i="6"/>
  <c r="AQ22" i="6"/>
  <c r="AQ15" i="6"/>
  <c r="AQ12" i="6"/>
  <c r="AR5" i="6"/>
  <c r="AP19" i="6"/>
  <c r="AP55" i="6"/>
  <c r="AP53" i="6" s="1"/>
  <c r="AP70" i="6"/>
  <c r="AP69" i="6" s="1"/>
  <c r="AP67" i="6" s="1"/>
  <c r="Q13" i="4"/>
  <c r="Q12" i="4" s="1"/>
  <c r="AP5" i="7"/>
  <c r="AN4" i="8"/>
  <c r="AN3" i="8" s="1"/>
  <c r="AQ4" i="7"/>
  <c r="Q30" i="4"/>
  <c r="AQ187" i="6"/>
  <c r="AQ188" i="6"/>
  <c r="AO53" i="6"/>
  <c r="AQ49" i="6"/>
  <c r="AQ56" i="6" s="1"/>
  <c r="AP42" i="6"/>
  <c r="AP45" i="6" s="1"/>
  <c r="AN67" i="6"/>
  <c r="AN66" i="6" s="1"/>
  <c r="AN179" i="6" s="1"/>
  <c r="Q42" i="4"/>
  <c r="AO213" i="6"/>
  <c r="AN215" i="6"/>
  <c r="AO71" i="6"/>
  <c r="AO69" i="6" s="1"/>
  <c r="AN87" i="6"/>
  <c r="Q48" i="4"/>
  <c r="AQ17" i="6"/>
  <c r="AQ19" i="6" s="1"/>
  <c r="AO87" i="6"/>
  <c r="Q21" i="4"/>
  <c r="AO44" i="6"/>
  <c r="AP201" i="6" s="1"/>
  <c r="AP205" i="6" s="1"/>
  <c r="AO45" i="6"/>
  <c r="AO67" i="6" l="1"/>
  <c r="AO66" i="6" s="1"/>
  <c r="AP214" i="6"/>
  <c r="AP206" i="6"/>
  <c r="AQ88" i="6"/>
  <c r="AQ87" i="6" s="1"/>
  <c r="Q40" i="4"/>
  <c r="AR187" i="6"/>
  <c r="AR188" i="6"/>
  <c r="AN181" i="6"/>
  <c r="Q56" i="4" s="1"/>
  <c r="AN180" i="6"/>
  <c r="AR17" i="6"/>
  <c r="Q47" i="4"/>
  <c r="AO4" i="8"/>
  <c r="AO3" i="8" s="1"/>
  <c r="AQ5" i="7"/>
  <c r="AR4" i="7"/>
  <c r="AR49" i="6"/>
  <c r="AR56" i="6" s="1"/>
  <c r="AQ42" i="6"/>
  <c r="AO215" i="6"/>
  <c r="AP213" i="6"/>
  <c r="AQ201" i="6"/>
  <c r="AQ205" i="6" s="1"/>
  <c r="AP44" i="6"/>
  <c r="AQ55" i="6"/>
  <c r="AQ53" i="6" s="1"/>
  <c r="AQ70" i="6"/>
  <c r="AQ69" i="6" s="1"/>
  <c r="AQ67" i="6" s="1"/>
  <c r="AO180" i="6"/>
  <c r="AO179" i="6"/>
  <c r="AO181" i="6"/>
  <c r="AR189" i="6"/>
  <c r="AS185" i="6" s="1"/>
  <c r="AR172" i="6"/>
  <c r="AR170" i="6"/>
  <c r="AR168" i="6"/>
  <c r="AR166" i="6"/>
  <c r="AR164" i="6"/>
  <c r="AR162" i="6"/>
  <c r="AR171" i="6"/>
  <c r="AR167" i="6"/>
  <c r="AR163" i="6"/>
  <c r="AR158" i="6"/>
  <c r="AR147" i="6"/>
  <c r="AR135" i="6"/>
  <c r="AR129" i="6"/>
  <c r="AR127" i="6"/>
  <c r="AR125" i="6"/>
  <c r="AR153" i="6"/>
  <c r="AR145" i="6"/>
  <c r="AR138" i="6"/>
  <c r="AR175" i="6" s="1" a="1"/>
  <c r="AR175" i="6" s="1"/>
  <c r="AR134" i="6"/>
  <c r="AR149" i="6"/>
  <c r="AR155" i="6"/>
  <c r="AR154" i="6"/>
  <c r="AR151" i="6"/>
  <c r="AR126" i="6"/>
  <c r="AR124" i="6"/>
  <c r="AR169" i="6"/>
  <c r="AR136" i="6"/>
  <c r="AR128" i="6"/>
  <c r="AR148" i="6"/>
  <c r="AR137" i="6"/>
  <c r="AR132" i="6"/>
  <c r="AR130" i="6"/>
  <c r="AR157" i="6"/>
  <c r="AR143" i="6"/>
  <c r="AR75" i="6"/>
  <c r="AR73" i="6"/>
  <c r="AR173" i="6"/>
  <c r="AR146" i="6"/>
  <c r="AR133" i="6"/>
  <c r="AR122" i="6"/>
  <c r="AR76" i="6"/>
  <c r="AR150" i="6"/>
  <c r="AR131" i="6"/>
  <c r="AR99" i="6"/>
  <c r="AR92" i="6"/>
  <c r="AR91" i="6" s="1"/>
  <c r="AR27" i="6"/>
  <c r="AR25" i="6"/>
  <c r="AR74" i="6"/>
  <c r="AR39" i="6"/>
  <c r="AR37" i="6"/>
  <c r="AR43" i="6" s="1" a="1"/>
  <c r="AR43" i="6" s="1"/>
  <c r="AR35" i="6"/>
  <c r="AR33" i="6"/>
  <c r="AR31" i="6"/>
  <c r="AR29" i="6"/>
  <c r="AS5" i="6"/>
  <c r="AR85" i="6"/>
  <c r="AR123" i="6"/>
  <c r="AR98" i="6"/>
  <c r="AR142" i="6"/>
  <c r="AR96" i="6"/>
  <c r="AR144" i="6"/>
  <c r="AR26" i="6"/>
  <c r="AR16" i="6"/>
  <c r="AR156" i="6"/>
  <c r="AR97" i="6"/>
  <c r="AR36" i="6"/>
  <c r="AR30" i="6"/>
  <c r="AR11" i="6"/>
  <c r="AR63" i="6"/>
  <c r="AR48" i="6"/>
  <c r="AR32" i="6"/>
  <c r="AR13" i="6"/>
  <c r="AR6" i="6"/>
  <c r="AR165" i="6"/>
  <c r="AR38" i="6"/>
  <c r="AR28" i="6"/>
  <c r="AR34" i="6"/>
  <c r="AR22" i="6"/>
  <c r="AR15" i="6"/>
  <c r="AR152" i="6"/>
  <c r="AR12" i="6"/>
  <c r="AR18" i="6"/>
  <c r="AQ43" i="6" a="1"/>
  <c r="AQ43" i="6" s="1"/>
  <c r="AQ45" i="6" s="1"/>
  <c r="AQ95" i="6"/>
  <c r="AP88" i="6"/>
  <c r="AR55" i="6" l="1"/>
  <c r="AR70" i="6"/>
  <c r="AR19" i="6"/>
  <c r="Q39" i="4"/>
  <c r="Q18" i="4"/>
  <c r="AR5" i="7"/>
  <c r="AP4" i="8"/>
  <c r="AP3" i="8" s="1"/>
  <c r="AS4" i="7"/>
  <c r="AQ213" i="6"/>
  <c r="AP215" i="6"/>
  <c r="AQ214" i="6"/>
  <c r="AQ206" i="6"/>
  <c r="AR95" i="6"/>
  <c r="AQ66" i="6"/>
  <c r="AQ179" i="6" s="1"/>
  <c r="AR57" i="6"/>
  <c r="AS173" i="6"/>
  <c r="AS171" i="6"/>
  <c r="AS169" i="6"/>
  <c r="AS167" i="6"/>
  <c r="AS165" i="6"/>
  <c r="AS163" i="6"/>
  <c r="AS158" i="6"/>
  <c r="AS156" i="6"/>
  <c r="AS154" i="6"/>
  <c r="AS152" i="6"/>
  <c r="AS145" i="6"/>
  <c r="AS133" i="6"/>
  <c r="AS189" i="6"/>
  <c r="AT185" i="6" s="1"/>
  <c r="AS170" i="6"/>
  <c r="AS138" i="6"/>
  <c r="AS175" i="6" s="1" a="1"/>
  <c r="AS175" i="6" s="1"/>
  <c r="AS134" i="6"/>
  <c r="AS149" i="6"/>
  <c r="AS131" i="6"/>
  <c r="AS129" i="6"/>
  <c r="AS172" i="6"/>
  <c r="AS166" i="6"/>
  <c r="AS150" i="6"/>
  <c r="AS146" i="6"/>
  <c r="AS142" i="6"/>
  <c r="AS164" i="6"/>
  <c r="AS148" i="6"/>
  <c r="AS144" i="6"/>
  <c r="AS137" i="6"/>
  <c r="AS162" i="6"/>
  <c r="AS136" i="6"/>
  <c r="AS128" i="6"/>
  <c r="AS147" i="6"/>
  <c r="AS135" i="6"/>
  <c r="AS132" i="6"/>
  <c r="AS130" i="6"/>
  <c r="AS122" i="6"/>
  <c r="AS98" i="6"/>
  <c r="AS155" i="6"/>
  <c r="AS151" i="6"/>
  <c r="AS124" i="6"/>
  <c r="AS96" i="6"/>
  <c r="AS85" i="6"/>
  <c r="AS126" i="6"/>
  <c r="AS123" i="6"/>
  <c r="AS99" i="6"/>
  <c r="AS97" i="6"/>
  <c r="AS157" i="6"/>
  <c r="AS143" i="6"/>
  <c r="AS76" i="6"/>
  <c r="AS74" i="6"/>
  <c r="AS39" i="6"/>
  <c r="AS37" i="6"/>
  <c r="AS35" i="6"/>
  <c r="AS33" i="6"/>
  <c r="AS31" i="6"/>
  <c r="AS29" i="6"/>
  <c r="AS153" i="6"/>
  <c r="AS15" i="6"/>
  <c r="AS12" i="6"/>
  <c r="AS125" i="6"/>
  <c r="AS92" i="6"/>
  <c r="AS91" i="6" s="1"/>
  <c r="AS27" i="6"/>
  <c r="AS73" i="6"/>
  <c r="AS127" i="6"/>
  <c r="AS75" i="6"/>
  <c r="AS168" i="6"/>
  <c r="AS36" i="6"/>
  <c r="AS30" i="6"/>
  <c r="AS28" i="6"/>
  <c r="AS63" i="6"/>
  <c r="AS48" i="6"/>
  <c r="AS57" i="6" s="1"/>
  <c r="AS71" i="6" s="1"/>
  <c r="AS32" i="6"/>
  <c r="AS13" i="6"/>
  <c r="AS6" i="6"/>
  <c r="AS11" i="6"/>
  <c r="AS43" i="6" a="1"/>
  <c r="AS43" i="6" s="1"/>
  <c r="AS38" i="6"/>
  <c r="AS34" i="6"/>
  <c r="AS22" i="6"/>
  <c r="AS18" i="6"/>
  <c r="AT5" i="6"/>
  <c r="AS26" i="6"/>
  <c r="AS25" i="6"/>
  <c r="AS16" i="6"/>
  <c r="AS187" i="6"/>
  <c r="AS188" i="6"/>
  <c r="AP87" i="6"/>
  <c r="AP66" i="6" s="1"/>
  <c r="AS49" i="6"/>
  <c r="AS56" i="6" s="1"/>
  <c r="AR42" i="6"/>
  <c r="AR88" i="6" s="1"/>
  <c r="AS17" i="6"/>
  <c r="AS19" i="6" s="1"/>
  <c r="AQ181" i="6"/>
  <c r="AQ44" i="6"/>
  <c r="AR201" i="6" s="1"/>
  <c r="AR205" i="6" s="1"/>
  <c r="Q20" i="4"/>
  <c r="AR87" i="6" l="1"/>
  <c r="AR214" i="6"/>
  <c r="AR206" i="6"/>
  <c r="AR53" i="6"/>
  <c r="AP181" i="6"/>
  <c r="AP180" i="6"/>
  <c r="AP179" i="6"/>
  <c r="AT49" i="6"/>
  <c r="AT56" i="6" s="1"/>
  <c r="AS42" i="6"/>
  <c r="AR44" i="6"/>
  <c r="AQ4" i="8"/>
  <c r="AQ3" i="8" s="1"/>
  <c r="AS5" i="7"/>
  <c r="AT4" i="7"/>
  <c r="AS70" i="6"/>
  <c r="AS69" i="6" s="1"/>
  <c r="AS67" i="6" s="1"/>
  <c r="AS55" i="6"/>
  <c r="AS53" i="6" s="1"/>
  <c r="AR71" i="6"/>
  <c r="AR69" i="6" s="1"/>
  <c r="AQ215" i="6"/>
  <c r="AR213" i="6"/>
  <c r="Q17" i="4"/>
  <c r="Q22" i="4" s="1"/>
  <c r="Q23" i="4" s="1"/>
  <c r="AR45" i="6"/>
  <c r="AS201" i="6" s="1"/>
  <c r="AS205" i="6" s="1"/>
  <c r="AT187" i="6"/>
  <c r="AT188" i="6"/>
  <c r="AT17" i="6"/>
  <c r="AT173" i="6"/>
  <c r="AT171" i="6"/>
  <c r="AT169" i="6"/>
  <c r="AT167" i="6"/>
  <c r="AT165" i="6"/>
  <c r="AT163" i="6"/>
  <c r="AT158" i="6"/>
  <c r="AT156" i="6"/>
  <c r="AT154" i="6"/>
  <c r="AT152" i="6"/>
  <c r="AT155" i="6"/>
  <c r="AT150" i="6"/>
  <c r="AT143" i="6"/>
  <c r="AT131" i="6"/>
  <c r="AT189" i="6"/>
  <c r="AU185" i="6" s="1"/>
  <c r="AT149" i="6"/>
  <c r="AT145" i="6"/>
  <c r="AT129" i="6"/>
  <c r="AT98" i="6"/>
  <c r="AT96" i="6"/>
  <c r="AT92" i="6"/>
  <c r="AT91" i="6" s="1"/>
  <c r="AT172" i="6"/>
  <c r="AT166" i="6"/>
  <c r="AT146" i="6"/>
  <c r="AT142" i="6"/>
  <c r="AT135" i="6"/>
  <c r="AT127" i="6"/>
  <c r="AT124" i="6"/>
  <c r="AT122" i="6"/>
  <c r="AT153" i="6"/>
  <c r="AT147" i="6"/>
  <c r="AT132" i="6"/>
  <c r="AT130" i="6"/>
  <c r="AT164" i="6"/>
  <c r="AT148" i="6"/>
  <c r="AT137" i="6"/>
  <c r="AT99" i="6"/>
  <c r="AT138" i="6"/>
  <c r="AT175" i="6" s="1" a="1"/>
  <c r="AT175" i="6" s="1"/>
  <c r="AT144" i="6"/>
  <c r="AT162" i="6"/>
  <c r="AT128" i="6"/>
  <c r="AT125" i="6"/>
  <c r="AT151" i="6"/>
  <c r="AT76" i="6"/>
  <c r="AT170" i="6"/>
  <c r="AT136" i="6"/>
  <c r="AT123" i="6"/>
  <c r="AT97" i="6"/>
  <c r="AT168" i="6"/>
  <c r="AT157" i="6"/>
  <c r="AT134" i="6"/>
  <c r="AT48" i="6"/>
  <c r="AT57" i="6" s="1"/>
  <c r="AT71" i="6" s="1"/>
  <c r="AT28" i="6"/>
  <c r="AT26" i="6"/>
  <c r="AT133" i="6"/>
  <c r="AT74" i="6"/>
  <c r="AT39" i="6"/>
  <c r="AT37" i="6"/>
  <c r="AT35" i="6"/>
  <c r="AT33" i="6"/>
  <c r="AT31" i="6"/>
  <c r="AT29" i="6"/>
  <c r="AT126" i="6"/>
  <c r="AT75" i="6"/>
  <c r="AT63" i="6"/>
  <c r="AT32" i="6"/>
  <c r="AT13" i="6"/>
  <c r="AT6" i="6"/>
  <c r="AT34" i="6"/>
  <c r="AT22" i="6"/>
  <c r="AU5" i="6"/>
  <c r="AT15" i="6"/>
  <c r="AT38" i="6"/>
  <c r="AT27" i="6"/>
  <c r="AT43" i="6" s="1" a="1"/>
  <c r="AT43" i="6" s="1"/>
  <c r="AT11" i="6"/>
  <c r="AT73" i="6"/>
  <c r="AT18" i="6"/>
  <c r="AT12" i="6"/>
  <c r="AT25" i="6"/>
  <c r="AT16" i="6"/>
  <c r="AT85" i="6"/>
  <c r="AT36" i="6"/>
  <c r="AT30" i="6"/>
  <c r="AS95" i="6"/>
  <c r="AQ180" i="6"/>
  <c r="AS214" i="6" l="1"/>
  <c r="AS206" i="6"/>
  <c r="AR67" i="6"/>
  <c r="AR66" i="6" s="1"/>
  <c r="AR180" i="6" s="1"/>
  <c r="AT95" i="6"/>
  <c r="AU188" i="6"/>
  <c r="AU187" i="6"/>
  <c r="AR179" i="6"/>
  <c r="AT42" i="6"/>
  <c r="AU49" i="6"/>
  <c r="AU56" i="6" s="1"/>
  <c r="AU189" i="6"/>
  <c r="AV185" i="6" s="1"/>
  <c r="AU173" i="6"/>
  <c r="AU171" i="6"/>
  <c r="AU169" i="6"/>
  <c r="AU167" i="6"/>
  <c r="AU165" i="6"/>
  <c r="AU163" i="6"/>
  <c r="AU158" i="6"/>
  <c r="AU156" i="6"/>
  <c r="AU154" i="6"/>
  <c r="AU152" i="6"/>
  <c r="AU150" i="6"/>
  <c r="AU148" i="6"/>
  <c r="AU146" i="6"/>
  <c r="AU144" i="6"/>
  <c r="AU142" i="6"/>
  <c r="AU137" i="6"/>
  <c r="AU135" i="6"/>
  <c r="AU133" i="6"/>
  <c r="AU131" i="6"/>
  <c r="AU172" i="6"/>
  <c r="AU168" i="6"/>
  <c r="AU164" i="6"/>
  <c r="AU138" i="6"/>
  <c r="AU175" i="6" s="1" a="1"/>
  <c r="AU175" i="6" s="1"/>
  <c r="AU166" i="6"/>
  <c r="AU127" i="6"/>
  <c r="AU124" i="6"/>
  <c r="AU122" i="6"/>
  <c r="AU125" i="6"/>
  <c r="AU162" i="6"/>
  <c r="AU157" i="6"/>
  <c r="AU136" i="6"/>
  <c r="AU170" i="6"/>
  <c r="AU129" i="6"/>
  <c r="AU96" i="6"/>
  <c r="AU149" i="6"/>
  <c r="AU153" i="6"/>
  <c r="AU147" i="6"/>
  <c r="AU132" i="6"/>
  <c r="AU85" i="6"/>
  <c r="AU126" i="6"/>
  <c r="AU134" i="6"/>
  <c r="AU99" i="6"/>
  <c r="AU143" i="6"/>
  <c r="AU130" i="6"/>
  <c r="AU155" i="6"/>
  <c r="AU48" i="6"/>
  <c r="AU28" i="6"/>
  <c r="AU26" i="6"/>
  <c r="AU151" i="6"/>
  <c r="AU38" i="6"/>
  <c r="AU36" i="6"/>
  <c r="AU34" i="6"/>
  <c r="AU32" i="6"/>
  <c r="AU30" i="6"/>
  <c r="AU22" i="6"/>
  <c r="AU76" i="6"/>
  <c r="AU123" i="6"/>
  <c r="AU37" i="6"/>
  <c r="AU33" i="6"/>
  <c r="AU98" i="6"/>
  <c r="AU145" i="6"/>
  <c r="AU128" i="6"/>
  <c r="AU63" i="6"/>
  <c r="AU97" i="6"/>
  <c r="AU31" i="6"/>
  <c r="AU15" i="6"/>
  <c r="AU12" i="6"/>
  <c r="AU39" i="6"/>
  <c r="AU27" i="6"/>
  <c r="AU11" i="6"/>
  <c r="AU18" i="6"/>
  <c r="AV5" i="6"/>
  <c r="AU73" i="6"/>
  <c r="AU35" i="6"/>
  <c r="AU75" i="6"/>
  <c r="AU74" i="6"/>
  <c r="AU25" i="6"/>
  <c r="AU16" i="6"/>
  <c r="AU29" i="6"/>
  <c r="AU6" i="6"/>
  <c r="AU92" i="6"/>
  <c r="AU91" i="6" s="1"/>
  <c r="AU13" i="6"/>
  <c r="AS44" i="6"/>
  <c r="AT201" i="6" s="1"/>
  <c r="AT205" i="6" s="1"/>
  <c r="AU17" i="6"/>
  <c r="AU19" i="6" s="1"/>
  <c r="AS45" i="6"/>
  <c r="AT70" i="6"/>
  <c r="AT69" i="6" s="1"/>
  <c r="AT67" i="6" s="1"/>
  <c r="AT55" i="6"/>
  <c r="AT53" i="6" s="1"/>
  <c r="AS88" i="6"/>
  <c r="AU4" i="7"/>
  <c r="AT5" i="7"/>
  <c r="AR4" i="8"/>
  <c r="AR3" i="8" s="1"/>
  <c r="AS213" i="6"/>
  <c r="AR215" i="6"/>
  <c r="AT19" i="6"/>
  <c r="AT206" i="6" l="1"/>
  <c r="AT214" i="6"/>
  <c r="AU42" i="6"/>
  <c r="AV49" i="6"/>
  <c r="AV56" i="6" s="1"/>
  <c r="AU57" i="6"/>
  <c r="AU70" i="6"/>
  <c r="AT44" i="6"/>
  <c r="AU201" i="6" s="1"/>
  <c r="AU205" i="6" s="1"/>
  <c r="AT45" i="6"/>
  <c r="AR181" i="6"/>
  <c r="AV173" i="6"/>
  <c r="AV171" i="6"/>
  <c r="AV169" i="6"/>
  <c r="AV167" i="6"/>
  <c r="AV165" i="6"/>
  <c r="AV163" i="6"/>
  <c r="AV172" i="6"/>
  <c r="AV168" i="6"/>
  <c r="AV164" i="6"/>
  <c r="AV158" i="6"/>
  <c r="AV152" i="6"/>
  <c r="AV148" i="6"/>
  <c r="AV136" i="6"/>
  <c r="AV130" i="6"/>
  <c r="AV128" i="6"/>
  <c r="AV126" i="6"/>
  <c r="AV146" i="6"/>
  <c r="AV142" i="6"/>
  <c r="AV135" i="6"/>
  <c r="AV131" i="6"/>
  <c r="AV125" i="6"/>
  <c r="AV162" i="6"/>
  <c r="AV157" i="6"/>
  <c r="AV150" i="6"/>
  <c r="AV132" i="6"/>
  <c r="AV151" i="6"/>
  <c r="AV147" i="6"/>
  <c r="AV143" i="6"/>
  <c r="AV149" i="6"/>
  <c r="AV145" i="6"/>
  <c r="AV138" i="6"/>
  <c r="AV175" i="6" s="1" a="1"/>
  <c r="AV175" i="6" s="1"/>
  <c r="AV137" i="6"/>
  <c r="AV92" i="6"/>
  <c r="AV91" i="6" s="1"/>
  <c r="AV166" i="6"/>
  <c r="AV134" i="6"/>
  <c r="AV170" i="6"/>
  <c r="AV154" i="6"/>
  <c r="AV76" i="6"/>
  <c r="AV74" i="6"/>
  <c r="AV189" i="6"/>
  <c r="AW185" i="6" s="1"/>
  <c r="AV144" i="6"/>
  <c r="AV133" i="6"/>
  <c r="AV129" i="6"/>
  <c r="AV123" i="6"/>
  <c r="AV97" i="6"/>
  <c r="AV75" i="6"/>
  <c r="AV156" i="6"/>
  <c r="AV155" i="6"/>
  <c r="AV127" i="6"/>
  <c r="AV98" i="6"/>
  <c r="AV153" i="6"/>
  <c r="AV48" i="6"/>
  <c r="AV57" i="6" s="1"/>
  <c r="AV71" i="6" s="1"/>
  <c r="AV26" i="6"/>
  <c r="AV43" i="6" s="1" a="1"/>
  <c r="AV43" i="6" s="1"/>
  <c r="AV124" i="6"/>
  <c r="AV38" i="6"/>
  <c r="AV36" i="6"/>
  <c r="AV34" i="6"/>
  <c r="AV32" i="6"/>
  <c r="AV30" i="6"/>
  <c r="AV22" i="6"/>
  <c r="AV18" i="6"/>
  <c r="AV16" i="6"/>
  <c r="AV6" i="6"/>
  <c r="AV73" i="6"/>
  <c r="AV63" i="6"/>
  <c r="AV122" i="6"/>
  <c r="AV99" i="6"/>
  <c r="AV96" i="6"/>
  <c r="AV39" i="6"/>
  <c r="AV27" i="6"/>
  <c r="AV11" i="6"/>
  <c r="AV12" i="6"/>
  <c r="AW5" i="6"/>
  <c r="AV35" i="6"/>
  <c r="AV31" i="6"/>
  <c r="AV15" i="6"/>
  <c r="AV25" i="6"/>
  <c r="AV37" i="6"/>
  <c r="AV29" i="6"/>
  <c r="AV85" i="6"/>
  <c r="AV33" i="6"/>
  <c r="AV13" i="6"/>
  <c r="AU95" i="6"/>
  <c r="AS215" i="6"/>
  <c r="AT213" i="6"/>
  <c r="AS87" i="6"/>
  <c r="AS66" i="6" s="1"/>
  <c r="AU5" i="7"/>
  <c r="AS4" i="8"/>
  <c r="AS3" i="8" s="1"/>
  <c r="AV4" i="7"/>
  <c r="AV17" i="6"/>
  <c r="AU43" i="6" a="1"/>
  <c r="AU43" i="6" s="1"/>
  <c r="AV188" i="6"/>
  <c r="AV187" i="6"/>
  <c r="AT88" i="6"/>
  <c r="AT87" i="6" s="1"/>
  <c r="AT66" i="6" s="1"/>
  <c r="AT181" i="6" l="1"/>
  <c r="AT179" i="6"/>
  <c r="AT180" i="6"/>
  <c r="AU206" i="6"/>
  <c r="AU214" i="6"/>
  <c r="AV45" i="6"/>
  <c r="AV95" i="6"/>
  <c r="AV19" i="6"/>
  <c r="AV42" i="6"/>
  <c r="AW49" i="6"/>
  <c r="AW56" i="6" s="1"/>
  <c r="AV70" i="6"/>
  <c r="AV69" i="6" s="1"/>
  <c r="AV67" i="6" s="1"/>
  <c r="AV55" i="6"/>
  <c r="AV53" i="6" s="1"/>
  <c r="AW189" i="6"/>
  <c r="AX185" i="6" s="1"/>
  <c r="AW172" i="6"/>
  <c r="AW170" i="6"/>
  <c r="AW168" i="6"/>
  <c r="AW166" i="6"/>
  <c r="AW164" i="6"/>
  <c r="AW162" i="6"/>
  <c r="AW157" i="6"/>
  <c r="AW155" i="6"/>
  <c r="AW153" i="6"/>
  <c r="AW146" i="6"/>
  <c r="AW134" i="6"/>
  <c r="AW171" i="6"/>
  <c r="AW150" i="6"/>
  <c r="AW132" i="6"/>
  <c r="AW151" i="6"/>
  <c r="AW147" i="6"/>
  <c r="AW143" i="6"/>
  <c r="AW136" i="6"/>
  <c r="AW130" i="6"/>
  <c r="AW99" i="6"/>
  <c r="AW167" i="6"/>
  <c r="AW156" i="6"/>
  <c r="AW173" i="6"/>
  <c r="AW165" i="6"/>
  <c r="AW152" i="6"/>
  <c r="AW169" i="6"/>
  <c r="AW148" i="6"/>
  <c r="AW135" i="6"/>
  <c r="AW149" i="6"/>
  <c r="AW138" i="6"/>
  <c r="AW175" i="6" s="1" a="1"/>
  <c r="AW175" i="6" s="1"/>
  <c r="AW123" i="6"/>
  <c r="AW142" i="6"/>
  <c r="AW131" i="6"/>
  <c r="AW145" i="6"/>
  <c r="AW137" i="6"/>
  <c r="AW96" i="6"/>
  <c r="AW63" i="6"/>
  <c r="AW163" i="6"/>
  <c r="AW122" i="6"/>
  <c r="AW127" i="6"/>
  <c r="AW98" i="6"/>
  <c r="AW92" i="6"/>
  <c r="AW91" i="6" s="1"/>
  <c r="AW124" i="6"/>
  <c r="AW38" i="6"/>
  <c r="AW36" i="6"/>
  <c r="AW34" i="6"/>
  <c r="AW32" i="6"/>
  <c r="AW30" i="6"/>
  <c r="AW28" i="6"/>
  <c r="AW22" i="6"/>
  <c r="AW125" i="6"/>
  <c r="AW73" i="6"/>
  <c r="AW13" i="6"/>
  <c r="AW144" i="6"/>
  <c r="AW126" i="6"/>
  <c r="AW97" i="6"/>
  <c r="AW48" i="6"/>
  <c r="AW57" i="6" s="1"/>
  <c r="AW71" i="6" s="1"/>
  <c r="AW26" i="6"/>
  <c r="AW158" i="6"/>
  <c r="AW154" i="6"/>
  <c r="AW128" i="6"/>
  <c r="AW133" i="6"/>
  <c r="AW129" i="6"/>
  <c r="AW35" i="6"/>
  <c r="AW25" i="6"/>
  <c r="AW18" i="6"/>
  <c r="AW76" i="6"/>
  <c r="AW31" i="6"/>
  <c r="AW15" i="6"/>
  <c r="AW16" i="6"/>
  <c r="AW75" i="6"/>
  <c r="AW12" i="6"/>
  <c r="AX5" i="6"/>
  <c r="AW74" i="6"/>
  <c r="AW37" i="6"/>
  <c r="AW29" i="6"/>
  <c r="AW85" i="6"/>
  <c r="AW33" i="6"/>
  <c r="AW6" i="6"/>
  <c r="AW27" i="6"/>
  <c r="AW43" i="6" s="1" a="1"/>
  <c r="AW43" i="6" s="1"/>
  <c r="AW39" i="6"/>
  <c r="AW11" i="6"/>
  <c r="AW4" i="7"/>
  <c r="AV5" i="7"/>
  <c r="AT4" i="8"/>
  <c r="AT3" i="8" s="1"/>
  <c r="AU71" i="6"/>
  <c r="AU69" i="6" s="1"/>
  <c r="AW17" i="6"/>
  <c r="AW19" i="6" s="1"/>
  <c r="AW188" i="6"/>
  <c r="AW187" i="6"/>
  <c r="AT215" i="6"/>
  <c r="AU213" i="6"/>
  <c r="AU44" i="6"/>
  <c r="AV201" i="6" s="1"/>
  <c r="AV205" i="6" s="1"/>
  <c r="AU88" i="6"/>
  <c r="AU87" i="6" s="1"/>
  <c r="AU45" i="6"/>
  <c r="AS180" i="6"/>
  <c r="AS181" i="6"/>
  <c r="AS179" i="6"/>
  <c r="AU55" i="6"/>
  <c r="AU53" i="6" s="1"/>
  <c r="AU67" i="6" l="1"/>
  <c r="AU66" i="6" s="1"/>
  <c r="AV206" i="6"/>
  <c r="AV214" i="6"/>
  <c r="AX172" i="6"/>
  <c r="AX170" i="6"/>
  <c r="AX168" i="6"/>
  <c r="AX166" i="6"/>
  <c r="AX164" i="6"/>
  <c r="AX162" i="6"/>
  <c r="AX157" i="6"/>
  <c r="AX155" i="6"/>
  <c r="AX153" i="6"/>
  <c r="AX156" i="6"/>
  <c r="AX151" i="6"/>
  <c r="AX144" i="6"/>
  <c r="AX132" i="6"/>
  <c r="AX147" i="6"/>
  <c r="AX143" i="6"/>
  <c r="AX136" i="6"/>
  <c r="AX130" i="6"/>
  <c r="AX99" i="6"/>
  <c r="AX97" i="6"/>
  <c r="AX167" i="6"/>
  <c r="AX128" i="6"/>
  <c r="AX123" i="6"/>
  <c r="AX137" i="6"/>
  <c r="AX189" i="6"/>
  <c r="AY185" i="6" s="1"/>
  <c r="AX142" i="6"/>
  <c r="AX149" i="6"/>
  <c r="AX138" i="6"/>
  <c r="AX175" i="6" s="1" a="1"/>
  <c r="AX175" i="6" s="1"/>
  <c r="AX134" i="6"/>
  <c r="AX131" i="6"/>
  <c r="AX171" i="6"/>
  <c r="AX150" i="6"/>
  <c r="AX173" i="6"/>
  <c r="AX165" i="6"/>
  <c r="AX152" i="6"/>
  <c r="AX169" i="6"/>
  <c r="AX133" i="6"/>
  <c r="AX129" i="6"/>
  <c r="AX126" i="6"/>
  <c r="AX75" i="6"/>
  <c r="AX148" i="6"/>
  <c r="AX158" i="6"/>
  <c r="AX154" i="6"/>
  <c r="AX124" i="6"/>
  <c r="AX125" i="6"/>
  <c r="AX73" i="6"/>
  <c r="AX135" i="6"/>
  <c r="AX63" i="6"/>
  <c r="AX11" i="6"/>
  <c r="AX27" i="6"/>
  <c r="AX25" i="6"/>
  <c r="AX146" i="6"/>
  <c r="AX38" i="6"/>
  <c r="AX36" i="6"/>
  <c r="AX34" i="6"/>
  <c r="AX32" i="6"/>
  <c r="AX30" i="6"/>
  <c r="AX28" i="6"/>
  <c r="AX127" i="6"/>
  <c r="AX98" i="6"/>
  <c r="AX145" i="6"/>
  <c r="AX96" i="6"/>
  <c r="AX122" i="6"/>
  <c r="AX74" i="6"/>
  <c r="AX76" i="6"/>
  <c r="AX48" i="6"/>
  <c r="AX57" i="6" s="1"/>
  <c r="AX31" i="6"/>
  <c r="AX15" i="6"/>
  <c r="AX6" i="6"/>
  <c r="AX12" i="6"/>
  <c r="AY5" i="6"/>
  <c r="AX29" i="6"/>
  <c r="AX16" i="6"/>
  <c r="AX22" i="6"/>
  <c r="AX18" i="6"/>
  <c r="AX37" i="6"/>
  <c r="AX85" i="6"/>
  <c r="AX33" i="6"/>
  <c r="AX13" i="6"/>
  <c r="AX92" i="6"/>
  <c r="AX91" i="6" s="1"/>
  <c r="AX39" i="6"/>
  <c r="AX26" i="6"/>
  <c r="AX35" i="6"/>
  <c r="AX163" i="6"/>
  <c r="AX49" i="6"/>
  <c r="AX56" i="6" s="1"/>
  <c r="AW42" i="6"/>
  <c r="AW45" i="6" s="1"/>
  <c r="AU180" i="6"/>
  <c r="AU181" i="6"/>
  <c r="AU179" i="6"/>
  <c r="AX188" i="6"/>
  <c r="AX187" i="6"/>
  <c r="AU215" i="6"/>
  <c r="AV213" i="6"/>
  <c r="AW5" i="7"/>
  <c r="AX4" i="7"/>
  <c r="AU4" i="8"/>
  <c r="AU3" i="8" s="1"/>
  <c r="AW95" i="6"/>
  <c r="AX17" i="6"/>
  <c r="AX19" i="6" s="1"/>
  <c r="AW70" i="6"/>
  <c r="AW69" i="6" s="1"/>
  <c r="AW67" i="6" s="1"/>
  <c r="AW55" i="6"/>
  <c r="AW53" i="6" s="1"/>
  <c r="AV66" i="6"/>
  <c r="AV180" i="6" s="1"/>
  <c r="AW201" i="6"/>
  <c r="AW205" i="6" s="1"/>
  <c r="AV44" i="6"/>
  <c r="AV88" i="6"/>
  <c r="AV87" i="6" s="1"/>
  <c r="AX71" i="6" l="1"/>
  <c r="AW206" i="6"/>
  <c r="AW214" i="6"/>
  <c r="AY49" i="6"/>
  <c r="AY56" i="6" s="1"/>
  <c r="AX42" i="6"/>
  <c r="AY187" i="6"/>
  <c r="AY188" i="6"/>
  <c r="AW213" i="6"/>
  <c r="AV215" i="6"/>
  <c r="AV181" i="6"/>
  <c r="AX55" i="6"/>
  <c r="AX53" i="6" s="1"/>
  <c r="AX70" i="6"/>
  <c r="AX69" i="6" s="1"/>
  <c r="AX67" i="6" s="1"/>
  <c r="AX95" i="6"/>
  <c r="AW66" i="6"/>
  <c r="AW180" i="6" s="1"/>
  <c r="AY17" i="6"/>
  <c r="AY19" i="6" s="1"/>
  <c r="AV179" i="6"/>
  <c r="AW44" i="6"/>
  <c r="AX201" i="6" s="1"/>
  <c r="AX205" i="6" s="1"/>
  <c r="AW88" i="6"/>
  <c r="AW87" i="6" s="1"/>
  <c r="AY172" i="6"/>
  <c r="AY170" i="6"/>
  <c r="AY168" i="6"/>
  <c r="AY166" i="6"/>
  <c r="AY164" i="6"/>
  <c r="AY162" i="6"/>
  <c r="AY157" i="6"/>
  <c r="AY155" i="6"/>
  <c r="AY153" i="6"/>
  <c r="AY151" i="6"/>
  <c r="AY149" i="6"/>
  <c r="AY147" i="6"/>
  <c r="AY145" i="6"/>
  <c r="AY143" i="6"/>
  <c r="AY138" i="6"/>
  <c r="AY175" i="6" s="1" a="1"/>
  <c r="AY175" i="6" s="1"/>
  <c r="AY136" i="6"/>
  <c r="AY134" i="6"/>
  <c r="AY132" i="6"/>
  <c r="AY189" i="6"/>
  <c r="AZ185" i="6" s="1"/>
  <c r="AY173" i="6"/>
  <c r="AY169" i="6"/>
  <c r="AY165" i="6"/>
  <c r="AY142" i="6"/>
  <c r="AY167" i="6"/>
  <c r="AY128" i="6"/>
  <c r="AY123" i="6"/>
  <c r="AY156" i="6"/>
  <c r="AY137" i="6"/>
  <c r="AY133" i="6"/>
  <c r="AY126" i="6"/>
  <c r="AY163" i="6"/>
  <c r="AY158" i="6"/>
  <c r="AY154" i="6"/>
  <c r="AY148" i="6"/>
  <c r="AY144" i="6"/>
  <c r="AY171" i="6"/>
  <c r="AY150" i="6"/>
  <c r="AY146" i="6"/>
  <c r="AY131" i="6"/>
  <c r="AY97" i="6"/>
  <c r="AY122" i="6"/>
  <c r="AY127" i="6"/>
  <c r="AY99" i="6"/>
  <c r="AY98" i="6"/>
  <c r="AY92" i="6"/>
  <c r="AY91" i="6" s="1"/>
  <c r="AY130" i="6"/>
  <c r="AY124" i="6"/>
  <c r="AY85" i="6"/>
  <c r="AY125" i="6"/>
  <c r="AY135" i="6"/>
  <c r="AY63" i="6"/>
  <c r="AY27" i="6"/>
  <c r="AY43" i="6" s="1" a="1"/>
  <c r="AY43" i="6" s="1"/>
  <c r="AY25" i="6"/>
  <c r="AY75" i="6"/>
  <c r="AY39" i="6"/>
  <c r="AY37" i="6"/>
  <c r="AY35" i="6"/>
  <c r="AY33" i="6"/>
  <c r="AY31" i="6"/>
  <c r="AY29" i="6"/>
  <c r="AY73" i="6"/>
  <c r="AY96" i="6"/>
  <c r="AY38" i="6"/>
  <c r="AY34" i="6"/>
  <c r="AY129" i="6"/>
  <c r="AY74" i="6"/>
  <c r="AY76" i="6"/>
  <c r="AY12" i="6"/>
  <c r="AZ5" i="6"/>
  <c r="AY6" i="6"/>
  <c r="AY22" i="6"/>
  <c r="AY18" i="6"/>
  <c r="AY13" i="6"/>
  <c r="AY28" i="6"/>
  <c r="AY16" i="6"/>
  <c r="AY152" i="6"/>
  <c r="AY26" i="6"/>
  <c r="AY36" i="6"/>
  <c r="AY30" i="6"/>
  <c r="AY11" i="6"/>
  <c r="AY32" i="6"/>
  <c r="AY15" i="6"/>
  <c r="AY48" i="6"/>
  <c r="AY57" i="6" s="1"/>
  <c r="AY71" i="6" s="1"/>
  <c r="AX43" i="6" a="1"/>
  <c r="AX43" i="6" s="1"/>
  <c r="AX45" i="6" s="1"/>
  <c r="AX5" i="7"/>
  <c r="AV4" i="8"/>
  <c r="AV3" i="8" s="1"/>
  <c r="AY4" i="7"/>
  <c r="AX206" i="6" l="1"/>
  <c r="AX214" i="6"/>
  <c r="AZ189" i="6"/>
  <c r="BA185" i="6" s="1"/>
  <c r="AZ172" i="6"/>
  <c r="AZ170" i="6"/>
  <c r="AZ168" i="6"/>
  <c r="AZ166" i="6"/>
  <c r="AZ164" i="6"/>
  <c r="AZ162" i="6"/>
  <c r="AZ173" i="6"/>
  <c r="AZ169" i="6"/>
  <c r="AZ165" i="6"/>
  <c r="AZ153" i="6"/>
  <c r="AZ149" i="6"/>
  <c r="AZ137" i="6"/>
  <c r="AZ129" i="6"/>
  <c r="AZ127" i="6"/>
  <c r="AZ125" i="6"/>
  <c r="AZ157" i="6"/>
  <c r="AZ156" i="6"/>
  <c r="AZ151" i="6"/>
  <c r="AZ133" i="6"/>
  <c r="AZ126" i="6"/>
  <c r="AZ163" i="6"/>
  <c r="AZ158" i="6"/>
  <c r="AZ154" i="6"/>
  <c r="AZ148" i="6"/>
  <c r="AZ144" i="6"/>
  <c r="AZ155" i="6"/>
  <c r="AZ134" i="6"/>
  <c r="AZ171" i="6"/>
  <c r="AZ150" i="6"/>
  <c r="AZ142" i="6"/>
  <c r="AZ143" i="6"/>
  <c r="AZ146" i="6"/>
  <c r="AZ97" i="6"/>
  <c r="R53" i="4" s="1"/>
  <c r="AZ75" i="6"/>
  <c r="AZ73" i="6"/>
  <c r="AZ167" i="6"/>
  <c r="AZ138" i="6"/>
  <c r="AZ175" i="6" s="1" a="1"/>
  <c r="AZ175" i="6" s="1"/>
  <c r="R38" i="4" s="1"/>
  <c r="AZ131" i="6"/>
  <c r="AZ76" i="6"/>
  <c r="AZ152" i="6"/>
  <c r="AZ145" i="6"/>
  <c r="AZ135" i="6"/>
  <c r="AZ128" i="6"/>
  <c r="AZ27" i="6"/>
  <c r="AZ25" i="6"/>
  <c r="AZ147" i="6"/>
  <c r="AZ132" i="6"/>
  <c r="AZ39" i="6"/>
  <c r="AZ37" i="6"/>
  <c r="AZ35" i="6"/>
  <c r="AZ33" i="6"/>
  <c r="AZ31" i="6"/>
  <c r="AZ29" i="6"/>
  <c r="BA5" i="6"/>
  <c r="AZ123" i="6"/>
  <c r="AZ98" i="6"/>
  <c r="R54" i="4" s="1"/>
  <c r="AZ96" i="6"/>
  <c r="AZ85" i="6"/>
  <c r="AZ74" i="6"/>
  <c r="AZ136" i="6"/>
  <c r="AZ130" i="6"/>
  <c r="AZ124" i="6"/>
  <c r="AZ63" i="6"/>
  <c r="R37" i="4" s="1"/>
  <c r="AZ122" i="6"/>
  <c r="AZ22" i="6"/>
  <c r="AZ18" i="6"/>
  <c r="AZ11" i="6"/>
  <c r="AZ38" i="6"/>
  <c r="AZ28" i="6"/>
  <c r="AZ43" i="6" s="1" a="1"/>
  <c r="AZ43" i="6" s="1"/>
  <c r="AZ16" i="6"/>
  <c r="AZ13" i="6"/>
  <c r="AZ6" i="6"/>
  <c r="AZ34" i="6"/>
  <c r="AZ26" i="6"/>
  <c r="AZ92" i="6"/>
  <c r="AZ91" i="6" s="1"/>
  <c r="R50" i="4" s="1"/>
  <c r="AZ36" i="6"/>
  <c r="AZ30" i="6"/>
  <c r="AZ48" i="6"/>
  <c r="AZ32" i="6"/>
  <c r="AZ15" i="6"/>
  <c r="AZ12" i="6"/>
  <c r="AZ99" i="6"/>
  <c r="R55" i="4" s="1"/>
  <c r="AY95" i="6"/>
  <c r="AX44" i="6"/>
  <c r="AY201" i="6" s="1"/>
  <c r="AY205" i="6" s="1"/>
  <c r="AZ49" i="6"/>
  <c r="AZ56" i="6" s="1"/>
  <c r="AY42" i="6"/>
  <c r="AY55" i="6"/>
  <c r="AY53" i="6" s="1"/>
  <c r="AY70" i="6"/>
  <c r="AY69" i="6" s="1"/>
  <c r="AY67" i="6" s="1"/>
  <c r="AW4" i="8"/>
  <c r="AW3" i="8" s="1"/>
  <c r="AZ4" i="7"/>
  <c r="AY5" i="7"/>
  <c r="AZ17" i="6"/>
  <c r="AZ19" i="6" s="1"/>
  <c r="AW181" i="6"/>
  <c r="AW179" i="6"/>
  <c r="AX88" i="6"/>
  <c r="AX87" i="6" s="1"/>
  <c r="AX66" i="6" s="1"/>
  <c r="AX213" i="6"/>
  <c r="AW215" i="6"/>
  <c r="AZ188" i="6"/>
  <c r="AZ187" i="6"/>
  <c r="AY214" i="6" l="1"/>
  <c r="AY206" i="6"/>
  <c r="AX181" i="6"/>
  <c r="AX180" i="6"/>
  <c r="AX179" i="6"/>
  <c r="AZ95" i="6"/>
  <c r="R52" i="4"/>
  <c r="BA187" i="6"/>
  <c r="BA188" i="6"/>
  <c r="AZ201" i="6"/>
  <c r="AZ205" i="6" s="1"/>
  <c r="AY44" i="6"/>
  <c r="AY88" i="6"/>
  <c r="AY87" i="6" s="1"/>
  <c r="AY66" i="6" s="1"/>
  <c r="R15" i="4"/>
  <c r="AY213" i="6"/>
  <c r="AX215" i="6"/>
  <c r="AZ55" i="6"/>
  <c r="AZ70" i="6"/>
  <c r="R32" i="4"/>
  <c r="AZ57" i="6"/>
  <c r="R29" i="4"/>
  <c r="R11" i="4" s="1"/>
  <c r="AZ5" i="7"/>
  <c r="BA4" i="7"/>
  <c r="AX4" i="8"/>
  <c r="AX3" i="8" s="1"/>
  <c r="BA189" i="6"/>
  <c r="BB185" i="6" s="1"/>
  <c r="BA173" i="6"/>
  <c r="BA171" i="6"/>
  <c r="BA169" i="6"/>
  <c r="BA167" i="6"/>
  <c r="BA165" i="6"/>
  <c r="BA163" i="6"/>
  <c r="BA158" i="6"/>
  <c r="BA156" i="6"/>
  <c r="BA154" i="6"/>
  <c r="BA152" i="6"/>
  <c r="BA147" i="6"/>
  <c r="BA135" i="6"/>
  <c r="BA172" i="6"/>
  <c r="BA162" i="6"/>
  <c r="BA148" i="6"/>
  <c r="BA144" i="6"/>
  <c r="BA137" i="6"/>
  <c r="BA155" i="6"/>
  <c r="BA168" i="6"/>
  <c r="BA145" i="6"/>
  <c r="BA138" i="6"/>
  <c r="BA175" i="6" s="1" a="1"/>
  <c r="BA175" i="6" s="1"/>
  <c r="BA166" i="6"/>
  <c r="BA143" i="6"/>
  <c r="BA136" i="6"/>
  <c r="BA164" i="6"/>
  <c r="BA150" i="6"/>
  <c r="BA142" i="6"/>
  <c r="BA125" i="6"/>
  <c r="BA124" i="6"/>
  <c r="BA157" i="6"/>
  <c r="BA151" i="6"/>
  <c r="BA133" i="6"/>
  <c r="BA149" i="6"/>
  <c r="BA123" i="6"/>
  <c r="BA99" i="6"/>
  <c r="BA98" i="6"/>
  <c r="BA92" i="6"/>
  <c r="BA91" i="6" s="1"/>
  <c r="BA170" i="6"/>
  <c r="BA146" i="6"/>
  <c r="BA130" i="6"/>
  <c r="BA85" i="6"/>
  <c r="BA128" i="6"/>
  <c r="BA96" i="6"/>
  <c r="BA153" i="6"/>
  <c r="BA132" i="6"/>
  <c r="BA39" i="6"/>
  <c r="BA37" i="6"/>
  <c r="BA35" i="6"/>
  <c r="BA33" i="6"/>
  <c r="BA31" i="6"/>
  <c r="BA29" i="6"/>
  <c r="BA126" i="6"/>
  <c r="BA97" i="6"/>
  <c r="BA75" i="6"/>
  <c r="BA74" i="6"/>
  <c r="BA15" i="6"/>
  <c r="BA12" i="6"/>
  <c r="BA127" i="6"/>
  <c r="BA27" i="6"/>
  <c r="BA25" i="6"/>
  <c r="BA129" i="6"/>
  <c r="BA122" i="6"/>
  <c r="BA63" i="6"/>
  <c r="BA76" i="6"/>
  <c r="BA38" i="6"/>
  <c r="BA28" i="6"/>
  <c r="BA16" i="6"/>
  <c r="BA26" i="6"/>
  <c r="BA11" i="6"/>
  <c r="BA73" i="6"/>
  <c r="BA34" i="6"/>
  <c r="BA13" i="6"/>
  <c r="BA6" i="6"/>
  <c r="BA134" i="6"/>
  <c r="BA131" i="6"/>
  <c r="BA36" i="6"/>
  <c r="BA30" i="6"/>
  <c r="BA48" i="6"/>
  <c r="BA32" i="6"/>
  <c r="BA22" i="6"/>
  <c r="BA18" i="6"/>
  <c r="BB5" i="6"/>
  <c r="BA17" i="6"/>
  <c r="BA19" i="6" s="1"/>
  <c r="BA49" i="6"/>
  <c r="BA56" i="6" s="1"/>
  <c r="AZ42" i="6"/>
  <c r="R16" i="4"/>
  <c r="AY45" i="6"/>
  <c r="AY181" i="6" l="1"/>
  <c r="AY179" i="6"/>
  <c r="AY180" i="6"/>
  <c r="R51" i="4"/>
  <c r="BB188" i="6"/>
  <c r="BB187" i="6"/>
  <c r="AZ53" i="6"/>
  <c r="R31" i="4"/>
  <c r="AZ44" i="6"/>
  <c r="BA201" i="6" s="1"/>
  <c r="BA205" i="6" s="1"/>
  <c r="AZ88" i="6"/>
  <c r="AY4" i="8"/>
  <c r="AY3" i="8" s="1"/>
  <c r="BA5" i="7"/>
  <c r="BB4" i="7"/>
  <c r="BA57" i="6"/>
  <c r="BB17" i="6"/>
  <c r="BB19" i="6" s="1"/>
  <c r="AZ214" i="6"/>
  <c r="AZ206" i="6"/>
  <c r="BA55" i="6"/>
  <c r="BA70" i="6"/>
  <c r="BA42" i="6"/>
  <c r="BB49" i="6"/>
  <c r="BB56" i="6" s="1"/>
  <c r="AY215" i="6"/>
  <c r="AZ213" i="6"/>
  <c r="BB173" i="6"/>
  <c r="BB171" i="6"/>
  <c r="BB169" i="6"/>
  <c r="BB167" i="6"/>
  <c r="BB165" i="6"/>
  <c r="BB163" i="6"/>
  <c r="BB158" i="6"/>
  <c r="BB156" i="6"/>
  <c r="BB154" i="6"/>
  <c r="BB152" i="6"/>
  <c r="BB189" i="6"/>
  <c r="BC185" i="6" s="1"/>
  <c r="BB157" i="6"/>
  <c r="BB145" i="6"/>
  <c r="BB133" i="6"/>
  <c r="BB172" i="6"/>
  <c r="BB155" i="6"/>
  <c r="BB98" i="6"/>
  <c r="BB96" i="6"/>
  <c r="BB92" i="6"/>
  <c r="BB91" i="6" s="1"/>
  <c r="BB168" i="6"/>
  <c r="BB138" i="6"/>
  <c r="BB175" i="6" s="1" a="1"/>
  <c r="BB175" i="6" s="1"/>
  <c r="BB134" i="6"/>
  <c r="BB129" i="6"/>
  <c r="BB124" i="6"/>
  <c r="BB122" i="6"/>
  <c r="BB153" i="6"/>
  <c r="BB149" i="6"/>
  <c r="BB151" i="6"/>
  <c r="BB147" i="6"/>
  <c r="BB125" i="6"/>
  <c r="BB166" i="6"/>
  <c r="BB143" i="6"/>
  <c r="BB127" i="6"/>
  <c r="BB126" i="6"/>
  <c r="BB144" i="6"/>
  <c r="BB136" i="6"/>
  <c r="BB142" i="6"/>
  <c r="BB170" i="6"/>
  <c r="BB131" i="6"/>
  <c r="BB76" i="6"/>
  <c r="BB164" i="6"/>
  <c r="BB150" i="6"/>
  <c r="BB135" i="6"/>
  <c r="BB132" i="6"/>
  <c r="BB97" i="6"/>
  <c r="BB75" i="6"/>
  <c r="BB74" i="6"/>
  <c r="BB162" i="6"/>
  <c r="BB137" i="6"/>
  <c r="BB123" i="6"/>
  <c r="BB85" i="6"/>
  <c r="BB48" i="6"/>
  <c r="BB57" i="6" s="1"/>
  <c r="BB71" i="6" s="1"/>
  <c r="BB26" i="6"/>
  <c r="BB43" i="6" s="1" a="1"/>
  <c r="BB43" i="6" s="1"/>
  <c r="BB39" i="6"/>
  <c r="BB37" i="6"/>
  <c r="BB35" i="6"/>
  <c r="BB33" i="6"/>
  <c r="BB31" i="6"/>
  <c r="BB29" i="6"/>
  <c r="BB148" i="6"/>
  <c r="BB128" i="6"/>
  <c r="BB63" i="6"/>
  <c r="BB130" i="6"/>
  <c r="BB73" i="6"/>
  <c r="BB34" i="6"/>
  <c r="BB30" i="6"/>
  <c r="BB11" i="6"/>
  <c r="BB13" i="6"/>
  <c r="BB6" i="6"/>
  <c r="BB25" i="6"/>
  <c r="BB36" i="6"/>
  <c r="BB32" i="6"/>
  <c r="BB15" i="6"/>
  <c r="BB99" i="6"/>
  <c r="BB27" i="6"/>
  <c r="BB22" i="6"/>
  <c r="BB18" i="6"/>
  <c r="BB12" i="6"/>
  <c r="BC5" i="6"/>
  <c r="BB38" i="6"/>
  <c r="BB28" i="6"/>
  <c r="BB146" i="6"/>
  <c r="BB16" i="6"/>
  <c r="BA43" i="6" a="1"/>
  <c r="BA43" i="6" s="1"/>
  <c r="BA45" i="6" s="1"/>
  <c r="BA95" i="6"/>
  <c r="AZ71" i="6"/>
  <c r="AZ69" i="6" s="1"/>
  <c r="R33" i="4"/>
  <c r="AZ45" i="6"/>
  <c r="AZ67" i="6" l="1"/>
  <c r="R42" i="4"/>
  <c r="BB88" i="6"/>
  <c r="BB87" i="6" s="1"/>
  <c r="BA214" i="6"/>
  <c r="BA206" i="6"/>
  <c r="AZ215" i="6"/>
  <c r="BA213" i="6"/>
  <c r="BC4" i="7"/>
  <c r="AZ4" i="8"/>
  <c r="AZ3" i="8" s="1"/>
  <c r="BB5" i="7"/>
  <c r="AZ87" i="6"/>
  <c r="R48" i="4"/>
  <c r="R21" i="4"/>
  <c r="BB70" i="6"/>
  <c r="BB69" i="6" s="1"/>
  <c r="BB67" i="6" s="1"/>
  <c r="BB55" i="6"/>
  <c r="BB53" i="6" s="1"/>
  <c r="BA44" i="6"/>
  <c r="BB201" i="6" s="1"/>
  <c r="BB205" i="6" s="1"/>
  <c r="BA69" i="6"/>
  <c r="BA88" i="6"/>
  <c r="BC189" i="6"/>
  <c r="BD185" i="6" s="1"/>
  <c r="BC173" i="6"/>
  <c r="BC171" i="6"/>
  <c r="BC169" i="6"/>
  <c r="BC167" i="6"/>
  <c r="BC165" i="6"/>
  <c r="BC163" i="6"/>
  <c r="BC158" i="6"/>
  <c r="BC156" i="6"/>
  <c r="BC154" i="6"/>
  <c r="BC152" i="6"/>
  <c r="BC150" i="6"/>
  <c r="BC148" i="6"/>
  <c r="BC146" i="6"/>
  <c r="BC144" i="6"/>
  <c r="BC142" i="6"/>
  <c r="BC137" i="6"/>
  <c r="BC135" i="6"/>
  <c r="BC133" i="6"/>
  <c r="BC131" i="6"/>
  <c r="BC170" i="6"/>
  <c r="BC166" i="6"/>
  <c r="BC162" i="6"/>
  <c r="BC143" i="6"/>
  <c r="BC168" i="6"/>
  <c r="BC138" i="6"/>
  <c r="BC175" i="6" s="1" a="1"/>
  <c r="BC175" i="6" s="1"/>
  <c r="BC134" i="6"/>
  <c r="BC129" i="6"/>
  <c r="BC124" i="6"/>
  <c r="BC122" i="6"/>
  <c r="BC153" i="6"/>
  <c r="BC149" i="6"/>
  <c r="BC145" i="6"/>
  <c r="BC127" i="6"/>
  <c r="BC164" i="6"/>
  <c r="BC157" i="6"/>
  <c r="BC126" i="6"/>
  <c r="BC151" i="6"/>
  <c r="BC128" i="6"/>
  <c r="BC98" i="6"/>
  <c r="BC155" i="6"/>
  <c r="BC130" i="6"/>
  <c r="BC147" i="6"/>
  <c r="BC85" i="6"/>
  <c r="BC136" i="6"/>
  <c r="BC132" i="6"/>
  <c r="BC125" i="6"/>
  <c r="BC97" i="6"/>
  <c r="BC123" i="6"/>
  <c r="BC172" i="6"/>
  <c r="BC96" i="6"/>
  <c r="BC48" i="6"/>
  <c r="BC57" i="6" s="1"/>
  <c r="BC71" i="6" s="1"/>
  <c r="BC26" i="6"/>
  <c r="BC43" i="6" s="1" a="1"/>
  <c r="BC43" i="6" s="1"/>
  <c r="BC76" i="6"/>
  <c r="BC38" i="6"/>
  <c r="BC36" i="6"/>
  <c r="BC34" i="6"/>
  <c r="BC32" i="6"/>
  <c r="BC30" i="6"/>
  <c r="BC28" i="6"/>
  <c r="BC22" i="6"/>
  <c r="BC75" i="6"/>
  <c r="BC74" i="6"/>
  <c r="BC39" i="6"/>
  <c r="BC35" i="6"/>
  <c r="BC31" i="6"/>
  <c r="BC73" i="6"/>
  <c r="BC63" i="6"/>
  <c r="BC13" i="6"/>
  <c r="BC6" i="6"/>
  <c r="BC33" i="6"/>
  <c r="BD5" i="6"/>
  <c r="BC25" i="6"/>
  <c r="BC15" i="6"/>
  <c r="BC37" i="6"/>
  <c r="BC29" i="6"/>
  <c r="BC11" i="6"/>
  <c r="BC92" i="6"/>
  <c r="BC91" i="6" s="1"/>
  <c r="BC99" i="6"/>
  <c r="BC27" i="6"/>
  <c r="BC18" i="6"/>
  <c r="BC12" i="6"/>
  <c r="BC16" i="6"/>
  <c r="BA53" i="6"/>
  <c r="BC17" i="6"/>
  <c r="BC19" i="6" s="1"/>
  <c r="BB42" i="6"/>
  <c r="BB45" i="6" s="1"/>
  <c r="BC49" i="6"/>
  <c r="BC56" i="6" s="1"/>
  <c r="BA71" i="6"/>
  <c r="R13" i="4"/>
  <c r="R12" i="4" s="1"/>
  <c r="BC188" i="6"/>
  <c r="BC187" i="6"/>
  <c r="BB95" i="6"/>
  <c r="R30" i="4"/>
  <c r="BB214" i="6" l="1"/>
  <c r="BB206" i="6"/>
  <c r="BD188" i="6"/>
  <c r="BD187" i="6"/>
  <c r="BA215" i="6"/>
  <c r="BB213" i="6"/>
  <c r="BD17" i="6"/>
  <c r="BA67" i="6"/>
  <c r="BA87" i="6"/>
  <c r="BB181" i="6"/>
  <c r="BC5" i="7"/>
  <c r="BA4" i="8"/>
  <c r="BA3" i="8" s="1"/>
  <c r="BD4" i="7"/>
  <c r="R47" i="4"/>
  <c r="BC70" i="6"/>
  <c r="BC69" i="6" s="1"/>
  <c r="BC67" i="6" s="1"/>
  <c r="BC55" i="6"/>
  <c r="BC42" i="6"/>
  <c r="BD49" i="6"/>
  <c r="BD56" i="6" s="1"/>
  <c r="BC95" i="6"/>
  <c r="BB66" i="6"/>
  <c r="BB180" i="6" s="1"/>
  <c r="R40" i="4"/>
  <c r="BB44" i="6"/>
  <c r="BC201" i="6" s="1"/>
  <c r="BC205" i="6" s="1"/>
  <c r="BD173" i="6"/>
  <c r="BD171" i="6"/>
  <c r="BD169" i="6"/>
  <c r="BD167" i="6"/>
  <c r="BD165" i="6"/>
  <c r="BD163" i="6"/>
  <c r="BD170" i="6"/>
  <c r="BD166" i="6"/>
  <c r="BD162" i="6"/>
  <c r="BD154" i="6"/>
  <c r="BD150" i="6"/>
  <c r="BD138" i="6"/>
  <c r="BD175" i="6" s="1" a="1"/>
  <c r="BD175" i="6" s="1"/>
  <c r="BD131" i="6"/>
  <c r="BD130" i="6"/>
  <c r="BD128" i="6"/>
  <c r="BD126" i="6"/>
  <c r="BD158" i="6"/>
  <c r="BD153" i="6"/>
  <c r="BD149" i="6"/>
  <c r="BD145" i="6"/>
  <c r="BD127" i="6"/>
  <c r="BD164" i="6"/>
  <c r="BD125" i="6"/>
  <c r="BD152" i="6"/>
  <c r="BD146" i="6"/>
  <c r="BD142" i="6"/>
  <c r="BD172" i="6"/>
  <c r="BD155" i="6"/>
  <c r="BD148" i="6"/>
  <c r="BD144" i="6"/>
  <c r="BD137" i="6"/>
  <c r="BD151" i="6"/>
  <c r="BD143" i="6"/>
  <c r="BD124" i="6"/>
  <c r="BD157" i="6"/>
  <c r="BD133" i="6"/>
  <c r="BD99" i="6"/>
  <c r="BD96" i="6"/>
  <c r="BD95" i="6" s="1"/>
  <c r="BD189" i="6"/>
  <c r="BE185" i="6" s="1"/>
  <c r="BD168" i="6"/>
  <c r="BD156" i="6"/>
  <c r="BD132" i="6"/>
  <c r="BD76" i="6"/>
  <c r="BD74" i="6"/>
  <c r="BD134" i="6"/>
  <c r="BD97" i="6"/>
  <c r="BD75" i="6"/>
  <c r="BD129" i="6"/>
  <c r="BD123" i="6"/>
  <c r="BD122" i="6"/>
  <c r="BD147" i="6"/>
  <c r="BD85" i="6"/>
  <c r="BD48" i="6"/>
  <c r="BD26" i="6"/>
  <c r="BD98" i="6"/>
  <c r="BD38" i="6"/>
  <c r="BD36" i="6"/>
  <c r="BD34" i="6"/>
  <c r="BD32" i="6"/>
  <c r="BD30" i="6"/>
  <c r="BD28" i="6"/>
  <c r="BD43" i="6" s="1" a="1"/>
  <c r="BD43" i="6" s="1"/>
  <c r="BD22" i="6"/>
  <c r="BD18" i="6"/>
  <c r="BD16" i="6"/>
  <c r="BD6" i="6"/>
  <c r="BD92" i="6"/>
  <c r="BD91" i="6" s="1"/>
  <c r="BD135" i="6"/>
  <c r="BD73" i="6"/>
  <c r="BD136" i="6"/>
  <c r="BD25" i="6"/>
  <c r="BD12" i="6"/>
  <c r="BD37" i="6"/>
  <c r="BD29" i="6"/>
  <c r="BD11" i="6"/>
  <c r="BE17" i="6" s="1"/>
  <c r="BD15" i="6"/>
  <c r="BD33" i="6"/>
  <c r="BD27" i="6"/>
  <c r="BE5" i="6"/>
  <c r="BD39" i="6"/>
  <c r="BD35" i="6"/>
  <c r="BD63" i="6"/>
  <c r="BD31" i="6"/>
  <c r="BD13" i="6"/>
  <c r="AZ66" i="6"/>
  <c r="BC214" i="6" l="1"/>
  <c r="BC206" i="6"/>
  <c r="BE188" i="6"/>
  <c r="BE187" i="6"/>
  <c r="BC53" i="6"/>
  <c r="R18" i="4"/>
  <c r="R17" i="4" s="1"/>
  <c r="R22" i="4" s="1"/>
  <c r="R23" i="4" s="1"/>
  <c r="R39" i="4"/>
  <c r="BE19" i="6"/>
  <c r="BB179" i="6"/>
  <c r="BA66" i="6"/>
  <c r="R20" i="4"/>
  <c r="BD70" i="6"/>
  <c r="BD19" i="6"/>
  <c r="BB215" i="6"/>
  <c r="BC213" i="6"/>
  <c r="AZ181" i="6"/>
  <c r="R56" i="4" s="1"/>
  <c r="AZ180" i="6"/>
  <c r="AZ179" i="6"/>
  <c r="BD57" i="6"/>
  <c r="BE189" i="6"/>
  <c r="BF185" i="6" s="1"/>
  <c r="BE172" i="6"/>
  <c r="BE170" i="6"/>
  <c r="BE168" i="6"/>
  <c r="BE166" i="6"/>
  <c r="BE164" i="6"/>
  <c r="BE162" i="6"/>
  <c r="BE157" i="6"/>
  <c r="BE155" i="6"/>
  <c r="BE153" i="6"/>
  <c r="BE148" i="6"/>
  <c r="BE136" i="6"/>
  <c r="BE163" i="6"/>
  <c r="BE154" i="6"/>
  <c r="BE125" i="6"/>
  <c r="BE152" i="6"/>
  <c r="BE146" i="6"/>
  <c r="BE142" i="6"/>
  <c r="BE135" i="6"/>
  <c r="BE131" i="6"/>
  <c r="BE99" i="6"/>
  <c r="BE169" i="6"/>
  <c r="BE150" i="6"/>
  <c r="BE167" i="6"/>
  <c r="BE156" i="6"/>
  <c r="BE171" i="6"/>
  <c r="BE133" i="6"/>
  <c r="BE128" i="6"/>
  <c r="BE127" i="6"/>
  <c r="BE144" i="6"/>
  <c r="BE132" i="6"/>
  <c r="BE130" i="6"/>
  <c r="BE129" i="6"/>
  <c r="BE122" i="6"/>
  <c r="BE92" i="6"/>
  <c r="BE91" i="6" s="1"/>
  <c r="BE158" i="6"/>
  <c r="BE145" i="6"/>
  <c r="BE137" i="6"/>
  <c r="BE151" i="6"/>
  <c r="BE63" i="6"/>
  <c r="BE173" i="6"/>
  <c r="BE124" i="6"/>
  <c r="BE96" i="6"/>
  <c r="BE143" i="6"/>
  <c r="BE123" i="6"/>
  <c r="BE147" i="6"/>
  <c r="BE126" i="6"/>
  <c r="BE98" i="6"/>
  <c r="BE38" i="6"/>
  <c r="BE36" i="6"/>
  <c r="BE34" i="6"/>
  <c r="BE32" i="6"/>
  <c r="BE30" i="6"/>
  <c r="BE28" i="6"/>
  <c r="BE22" i="6"/>
  <c r="BE76" i="6"/>
  <c r="BE13" i="6"/>
  <c r="BE165" i="6"/>
  <c r="BE134" i="6"/>
  <c r="BE73" i="6"/>
  <c r="BE97" i="6"/>
  <c r="BE85" i="6"/>
  <c r="BE48" i="6"/>
  <c r="BE57" i="6" s="1"/>
  <c r="BE71" i="6" s="1"/>
  <c r="BE26" i="6"/>
  <c r="BE74" i="6"/>
  <c r="BE37" i="6"/>
  <c r="BE29" i="6"/>
  <c r="BE11" i="6"/>
  <c r="BF17" i="6" s="1"/>
  <c r="BE12" i="6"/>
  <c r="BF5" i="6"/>
  <c r="BE75" i="6"/>
  <c r="BE33" i="6"/>
  <c r="BE27" i="6"/>
  <c r="BE18" i="6"/>
  <c r="BE149" i="6"/>
  <c r="BE15" i="6"/>
  <c r="BE138" i="6"/>
  <c r="BE175" i="6" s="1" a="1"/>
  <c r="BE175" i="6" s="1"/>
  <c r="BE39" i="6"/>
  <c r="BE35" i="6"/>
  <c r="BE16" i="6"/>
  <c r="BE31" i="6"/>
  <c r="BE25" i="6"/>
  <c r="BE6" i="6"/>
  <c r="BD42" i="6"/>
  <c r="BE49" i="6"/>
  <c r="BE56" i="6" s="1"/>
  <c r="BC44" i="6"/>
  <c r="BC88" i="6"/>
  <c r="BE4" i="7"/>
  <c r="BD5" i="7"/>
  <c r="BB4" i="8"/>
  <c r="BB3" i="8" s="1"/>
  <c r="BC45" i="6"/>
  <c r="BD201" i="6" s="1"/>
  <c r="BD205" i="6" s="1"/>
  <c r="BD206" i="6" l="1"/>
  <c r="BD214" i="6"/>
  <c r="BE88" i="6"/>
  <c r="BE87" i="6" s="1"/>
  <c r="BE70" i="6"/>
  <c r="BE69" i="6" s="1"/>
  <c r="BE67" i="6" s="1"/>
  <c r="BE66" i="6" s="1"/>
  <c r="BE55" i="6"/>
  <c r="BE53" i="6" s="1"/>
  <c r="BA179" i="6"/>
  <c r="BA180" i="6"/>
  <c r="BA181" i="6"/>
  <c r="BD44" i="6"/>
  <c r="BE201" i="6" s="1"/>
  <c r="BE205" i="6" s="1"/>
  <c r="BD88" i="6"/>
  <c r="BD87" i="6" s="1"/>
  <c r="S32" i="4"/>
  <c r="N32" i="4" s="1"/>
  <c r="BD71" i="6"/>
  <c r="BD69" i="6" s="1"/>
  <c r="BD55" i="6"/>
  <c r="BF49" i="6"/>
  <c r="BF56" i="6" s="1"/>
  <c r="BE42" i="6"/>
  <c r="S29" i="4"/>
  <c r="S11" i="4" s="1"/>
  <c r="BE43" i="6" a="1"/>
  <c r="BE43" i="6" s="1"/>
  <c r="BE45" i="6" s="1"/>
  <c r="BE95" i="6"/>
  <c r="BC87" i="6"/>
  <c r="BC66" i="6" s="1"/>
  <c r="BC181" i="6" s="1"/>
  <c r="BF187" i="6"/>
  <c r="BF188" i="6"/>
  <c r="BC215" i="6"/>
  <c r="BD213" i="6"/>
  <c r="BC4" i="8"/>
  <c r="BC3" i="8" s="1"/>
  <c r="BF4" i="7"/>
  <c r="BE5" i="7"/>
  <c r="BF172" i="6"/>
  <c r="BF170" i="6"/>
  <c r="BF168" i="6"/>
  <c r="BF166" i="6"/>
  <c r="BF164" i="6"/>
  <c r="BF162" i="6"/>
  <c r="BF157" i="6"/>
  <c r="BF155" i="6"/>
  <c r="BF153" i="6"/>
  <c r="BF158" i="6"/>
  <c r="BF146" i="6"/>
  <c r="BF134" i="6"/>
  <c r="BF189" i="6"/>
  <c r="BF173" i="6"/>
  <c r="BF152" i="6"/>
  <c r="BF142" i="6"/>
  <c r="BF135" i="6"/>
  <c r="BF131" i="6"/>
  <c r="BF99" i="6"/>
  <c r="S55" i="4" s="1"/>
  <c r="N55" i="4" s="1"/>
  <c r="BF97" i="6"/>
  <c r="S53" i="4" s="1"/>
  <c r="N53" i="4" s="1"/>
  <c r="BF169" i="6"/>
  <c r="BF150" i="6"/>
  <c r="BF132" i="6"/>
  <c r="BF130" i="6"/>
  <c r="BF123" i="6"/>
  <c r="BF151" i="6"/>
  <c r="BF147" i="6"/>
  <c r="BF143" i="6"/>
  <c r="BF136" i="6"/>
  <c r="BF149" i="6"/>
  <c r="BF145" i="6"/>
  <c r="BF138" i="6"/>
  <c r="BF175" i="6" s="1" a="1"/>
  <c r="BF175" i="6" s="1"/>
  <c r="S38" i="4" s="1"/>
  <c r="BF144" i="6"/>
  <c r="BF129" i="6"/>
  <c r="BF156" i="6"/>
  <c r="BF163" i="6"/>
  <c r="BF154" i="6"/>
  <c r="BF167" i="6"/>
  <c r="BF148" i="6"/>
  <c r="BF127" i="6"/>
  <c r="BF128" i="6"/>
  <c r="BF75" i="6"/>
  <c r="BF171" i="6"/>
  <c r="BF122" i="6"/>
  <c r="BF165" i="6"/>
  <c r="BF126" i="6"/>
  <c r="BF98" i="6"/>
  <c r="S54" i="4" s="1"/>
  <c r="N54" i="4" s="1"/>
  <c r="BF137" i="6"/>
  <c r="BF96" i="6"/>
  <c r="BF76" i="6"/>
  <c r="BF92" i="6"/>
  <c r="BF91" i="6" s="1"/>
  <c r="S50" i="4" s="1"/>
  <c r="N50" i="4" s="1"/>
  <c r="BF73" i="6"/>
  <c r="BF11" i="6"/>
  <c r="BF63" i="6"/>
  <c r="S37" i="4" s="1"/>
  <c r="BF27" i="6"/>
  <c r="BF25" i="6"/>
  <c r="BF125" i="6"/>
  <c r="BF38" i="6"/>
  <c r="BF36" i="6"/>
  <c r="BF34" i="6"/>
  <c r="BF32" i="6"/>
  <c r="BF30" i="6"/>
  <c r="BF28" i="6"/>
  <c r="BF74" i="6"/>
  <c r="BF48" i="6"/>
  <c r="BF133" i="6"/>
  <c r="BF85" i="6"/>
  <c r="BF33" i="6"/>
  <c r="BF18" i="6"/>
  <c r="BF19" i="6" s="1"/>
  <c r="BF15" i="6"/>
  <c r="BF39" i="6"/>
  <c r="BF16" i="6"/>
  <c r="BF26" i="6"/>
  <c r="BF12" i="6"/>
  <c r="BG5" i="6"/>
  <c r="BF35" i="6"/>
  <c r="BF31" i="6"/>
  <c r="BF22" i="6"/>
  <c r="BF13" i="6"/>
  <c r="BF6" i="6"/>
  <c r="BF29" i="6"/>
  <c r="BF124" i="6"/>
  <c r="BF37" i="6"/>
  <c r="S52" i="4"/>
  <c r="BC179" i="6"/>
  <c r="BD45" i="6"/>
  <c r="S15" i="4" l="1"/>
  <c r="N37" i="4"/>
  <c r="BD67" i="6"/>
  <c r="BD66" i="6" s="1"/>
  <c r="BE206" i="6"/>
  <c r="BE214" i="6"/>
  <c r="BD53" i="6"/>
  <c r="BG49" i="6"/>
  <c r="BG56" i="6" s="1"/>
  <c r="BF42" i="6"/>
  <c r="BC180" i="6"/>
  <c r="BF43" i="6" a="1"/>
  <c r="BF43" i="6" s="1"/>
  <c r="BF45" i="6" s="1"/>
  <c r="T54" i="4"/>
  <c r="U54" i="4"/>
  <c r="S16" i="4"/>
  <c r="N38" i="4"/>
  <c r="S51" i="4"/>
  <c r="N52" i="4"/>
  <c r="BF5" i="7"/>
  <c r="BD4" i="8"/>
  <c r="BD3" i="8" s="1"/>
  <c r="BG4" i="7"/>
  <c r="BG172" i="6"/>
  <c r="BG170" i="6"/>
  <c r="BG168" i="6"/>
  <c r="BG166" i="6"/>
  <c r="BG164" i="6"/>
  <c r="BG162" i="6"/>
  <c r="BG157" i="6"/>
  <c r="BG155" i="6"/>
  <c r="BG153" i="6"/>
  <c r="BG151" i="6"/>
  <c r="BG149" i="6"/>
  <c r="BG147" i="6"/>
  <c r="BG145" i="6"/>
  <c r="BG143" i="6"/>
  <c r="BG138" i="6"/>
  <c r="BG175" i="6" s="1" a="1"/>
  <c r="BG175" i="6" s="1"/>
  <c r="BG136" i="6"/>
  <c r="BG134" i="6"/>
  <c r="BG132" i="6"/>
  <c r="BG158" i="6"/>
  <c r="BG171" i="6"/>
  <c r="BG167" i="6"/>
  <c r="BG163" i="6"/>
  <c r="BG152" i="6"/>
  <c r="BG144" i="6"/>
  <c r="BG169" i="6"/>
  <c r="BG150" i="6"/>
  <c r="BG146" i="6"/>
  <c r="BG130" i="6"/>
  <c r="BG123" i="6"/>
  <c r="BG128" i="6"/>
  <c r="BG165" i="6"/>
  <c r="BG154" i="6"/>
  <c r="BG156" i="6"/>
  <c r="BG135" i="6"/>
  <c r="BG124" i="6"/>
  <c r="BG96" i="6"/>
  <c r="BG173" i="6"/>
  <c r="BG148" i="6"/>
  <c r="BG125" i="6"/>
  <c r="BG97" i="6"/>
  <c r="BG129" i="6"/>
  <c r="BG126" i="6"/>
  <c r="BG98" i="6"/>
  <c r="BG92" i="6"/>
  <c r="BG91" i="6" s="1"/>
  <c r="BG85" i="6"/>
  <c r="BG137" i="6"/>
  <c r="BG99" i="6"/>
  <c r="BG73" i="6"/>
  <c r="BG127" i="6"/>
  <c r="BG63" i="6"/>
  <c r="BG27" i="6"/>
  <c r="BG25" i="6"/>
  <c r="BG43" i="6" s="1" a="1"/>
  <c r="BG43" i="6" s="1"/>
  <c r="BG131" i="6"/>
  <c r="BG39" i="6"/>
  <c r="BG37" i="6"/>
  <c r="BG35" i="6"/>
  <c r="BG33" i="6"/>
  <c r="BG31" i="6"/>
  <c r="BG29" i="6"/>
  <c r="BG76" i="6"/>
  <c r="BG122" i="6"/>
  <c r="BG36" i="6"/>
  <c r="BG32" i="6"/>
  <c r="BG133" i="6"/>
  <c r="BG142" i="6"/>
  <c r="BG75" i="6"/>
  <c r="BG15" i="6"/>
  <c r="BG16" i="6"/>
  <c r="BG6" i="6"/>
  <c r="BG26" i="6"/>
  <c r="BG12" i="6"/>
  <c r="BH5" i="6"/>
  <c r="BG30" i="6"/>
  <c r="BG18" i="6"/>
  <c r="BG74" i="6"/>
  <c r="BG48" i="6"/>
  <c r="BG57" i="6" s="1"/>
  <c r="BG71" i="6" s="1"/>
  <c r="BG22" i="6"/>
  <c r="BG13" i="6"/>
  <c r="BG38" i="6"/>
  <c r="BG28" i="6"/>
  <c r="BG11" i="6"/>
  <c r="BG34" i="6"/>
  <c r="U53" i="4"/>
  <c r="T53" i="4"/>
  <c r="U32" i="4"/>
  <c r="T32" i="4"/>
  <c r="U55" i="4"/>
  <c r="BE44" i="6"/>
  <c r="BF201" i="6" s="1"/>
  <c r="BF205" i="6" s="1"/>
  <c r="BE213" i="6"/>
  <c r="BD215" i="6"/>
  <c r="BG17" i="6"/>
  <c r="BG19" i="6" s="1"/>
  <c r="BE180" i="6"/>
  <c r="BE181" i="6"/>
  <c r="BE179" i="6"/>
  <c r="U50" i="4"/>
  <c r="BF57" i="6"/>
  <c r="N29" i="4"/>
  <c r="BF95" i="6"/>
  <c r="BF55" i="6"/>
  <c r="BF53" i="6" s="1"/>
  <c r="BF70" i="6"/>
  <c r="BF206" i="6" l="1"/>
  <c r="BF214" i="6"/>
  <c r="BF215" i="6" s="1"/>
  <c r="BG88" i="6"/>
  <c r="BG87" i="6" s="1"/>
  <c r="BE4" i="8"/>
  <c r="BE3" i="8" s="1"/>
  <c r="BH4" i="7"/>
  <c r="BG5" i="7"/>
  <c r="BD181" i="6"/>
  <c r="BD180" i="6"/>
  <c r="BD179" i="6"/>
  <c r="S30" i="4"/>
  <c r="N30" i="4" s="1"/>
  <c r="BE215" i="6"/>
  <c r="BF213" i="6"/>
  <c r="N11" i="4"/>
  <c r="U29" i="4"/>
  <c r="T49" i="4"/>
  <c r="T46" i="4"/>
  <c r="T36" i="4"/>
  <c r="T43" i="4"/>
  <c r="T45" i="4"/>
  <c r="T35" i="4"/>
  <c r="T44" i="4"/>
  <c r="T41" i="4"/>
  <c r="T34" i="4"/>
  <c r="U52" i="4"/>
  <c r="T52" i="4"/>
  <c r="BF44" i="6"/>
  <c r="T50" i="4"/>
  <c r="BG95" i="6"/>
  <c r="S21" i="4"/>
  <c r="N51" i="4"/>
  <c r="BG55" i="6"/>
  <c r="BG53" i="6" s="1"/>
  <c r="BG70" i="6"/>
  <c r="BG69" i="6" s="1"/>
  <c r="BG67" i="6" s="1"/>
  <c r="U37" i="4"/>
  <c r="N15" i="4"/>
  <c r="T37" i="4"/>
  <c r="BH49" i="6"/>
  <c r="BH56" i="6" s="1"/>
  <c r="BG42" i="6"/>
  <c r="BG44" i="6" s="1"/>
  <c r="BF71" i="6"/>
  <c r="BF69" i="6" s="1"/>
  <c r="S33" i="4"/>
  <c r="N33" i="4" s="1"/>
  <c r="BH17" i="6"/>
  <c r="BH19" i="6" s="1"/>
  <c r="U38" i="4"/>
  <c r="N16" i="4"/>
  <c r="T38" i="4"/>
  <c r="D93" i="4" s="1"/>
  <c r="D92" i="4"/>
  <c r="T55" i="4"/>
  <c r="BH172" i="6"/>
  <c r="BH170" i="6"/>
  <c r="BH168" i="6"/>
  <c r="BH166" i="6"/>
  <c r="BH164" i="6"/>
  <c r="BH162" i="6"/>
  <c r="BH171" i="6"/>
  <c r="BH167" i="6"/>
  <c r="BH163" i="6"/>
  <c r="BH155" i="6"/>
  <c r="BH151" i="6"/>
  <c r="BH142" i="6"/>
  <c r="BH132" i="6"/>
  <c r="BH129" i="6"/>
  <c r="BH127" i="6"/>
  <c r="BH125" i="6"/>
  <c r="BH128" i="6"/>
  <c r="BH165" i="6"/>
  <c r="BH147" i="6"/>
  <c r="BH143" i="6"/>
  <c r="BH136" i="6"/>
  <c r="BH126" i="6"/>
  <c r="BH173" i="6"/>
  <c r="BH137" i="6"/>
  <c r="BH158" i="6"/>
  <c r="BH157" i="6"/>
  <c r="BH130" i="6"/>
  <c r="BH154" i="6"/>
  <c r="BH145" i="6"/>
  <c r="BH135" i="6"/>
  <c r="BH97" i="6"/>
  <c r="BH153" i="6"/>
  <c r="BH152" i="6"/>
  <c r="BH146" i="6"/>
  <c r="BH149" i="6"/>
  <c r="BH138" i="6"/>
  <c r="BH175" i="6" s="1" a="1"/>
  <c r="BH175" i="6" s="1"/>
  <c r="BH144" i="6"/>
  <c r="BH134" i="6"/>
  <c r="BH131" i="6"/>
  <c r="BH75" i="6"/>
  <c r="BH73" i="6"/>
  <c r="BH122" i="6"/>
  <c r="BH156" i="6"/>
  <c r="BH99" i="6"/>
  <c r="BH76" i="6"/>
  <c r="BH133" i="6"/>
  <c r="BH92" i="6"/>
  <c r="BH91" i="6" s="1"/>
  <c r="BH63" i="6"/>
  <c r="BH27" i="6"/>
  <c r="BH25" i="6"/>
  <c r="BH43" i="6" s="1" a="1"/>
  <c r="BH43" i="6" s="1"/>
  <c r="BH39" i="6"/>
  <c r="BH37" i="6"/>
  <c r="BH35" i="6"/>
  <c r="BH33" i="6"/>
  <c r="BH31" i="6"/>
  <c r="BH29" i="6"/>
  <c r="BI5" i="6"/>
  <c r="BH148" i="6"/>
  <c r="BH150" i="6"/>
  <c r="BH123" i="6"/>
  <c r="BH98" i="6"/>
  <c r="BH96" i="6"/>
  <c r="BH169" i="6"/>
  <c r="BH85" i="6"/>
  <c r="BH26" i="6"/>
  <c r="BH12" i="6"/>
  <c r="BH32" i="6"/>
  <c r="BH30" i="6"/>
  <c r="BH18" i="6"/>
  <c r="BH22" i="6"/>
  <c r="BH6" i="6"/>
  <c r="BH74" i="6"/>
  <c r="BH36" i="6"/>
  <c r="BH16" i="6"/>
  <c r="BH13" i="6"/>
  <c r="BH48" i="6"/>
  <c r="BH57" i="6" s="1"/>
  <c r="BH71" i="6" s="1"/>
  <c r="BH38" i="6"/>
  <c r="BH28" i="6"/>
  <c r="BH124" i="6"/>
  <c r="BH34" i="6"/>
  <c r="BH11" i="6"/>
  <c r="BH15" i="6"/>
  <c r="S31" i="4"/>
  <c r="BF88" i="6"/>
  <c r="BF67" i="6" l="1"/>
  <c r="S42" i="4"/>
  <c r="U51" i="4"/>
  <c r="N21" i="4"/>
  <c r="T51" i="4"/>
  <c r="BH5" i="7"/>
  <c r="BI4" i="7"/>
  <c r="BF4" i="8"/>
  <c r="BF3" i="8" s="1"/>
  <c r="BF87" i="6"/>
  <c r="S48" i="4"/>
  <c r="U16" i="4"/>
  <c r="T16" i="4"/>
  <c r="BI17" i="6"/>
  <c r="U15" i="4"/>
  <c r="T15" i="4"/>
  <c r="S13" i="4"/>
  <c r="S12" i="4" s="1"/>
  <c r="N31" i="4"/>
  <c r="U33" i="4"/>
  <c r="T33" i="4"/>
  <c r="BI173" i="6"/>
  <c r="BI171" i="6"/>
  <c r="BI169" i="6"/>
  <c r="BI167" i="6"/>
  <c r="BI165" i="6"/>
  <c r="BI163" i="6"/>
  <c r="BI158" i="6"/>
  <c r="BI156" i="6"/>
  <c r="BI154" i="6"/>
  <c r="BI152" i="6"/>
  <c r="BI149" i="6"/>
  <c r="BI137" i="6"/>
  <c r="BI164" i="6"/>
  <c r="BI147" i="6"/>
  <c r="BI143" i="6"/>
  <c r="BI136" i="6"/>
  <c r="BI132" i="6"/>
  <c r="BI126" i="6"/>
  <c r="BI151" i="6"/>
  <c r="BI133" i="6"/>
  <c r="BI170" i="6"/>
  <c r="BI148" i="6"/>
  <c r="BI144" i="6"/>
  <c r="BI168" i="6"/>
  <c r="BI162" i="6"/>
  <c r="BI153" i="6"/>
  <c r="BI150" i="6"/>
  <c r="BI146" i="6"/>
  <c r="BI142" i="6"/>
  <c r="BI166" i="6"/>
  <c r="BI145" i="6"/>
  <c r="BI135" i="6"/>
  <c r="BI155" i="6"/>
  <c r="BI123" i="6"/>
  <c r="BI131" i="6"/>
  <c r="BI172" i="6"/>
  <c r="BI130" i="6"/>
  <c r="BI138" i="6"/>
  <c r="BI175" i="6" s="1" a="1"/>
  <c r="BI175" i="6" s="1"/>
  <c r="BI98" i="6"/>
  <c r="BI92" i="6"/>
  <c r="BI91" i="6" s="1"/>
  <c r="BI85" i="6"/>
  <c r="BI157" i="6"/>
  <c r="BI127" i="6"/>
  <c r="BI39" i="6"/>
  <c r="BI37" i="6"/>
  <c r="BI35" i="6"/>
  <c r="BI33" i="6"/>
  <c r="BI31" i="6"/>
  <c r="BI29" i="6"/>
  <c r="BI134" i="6"/>
  <c r="BI15" i="6"/>
  <c r="BI12" i="6"/>
  <c r="BI128" i="6"/>
  <c r="BI122" i="6"/>
  <c r="BI74" i="6"/>
  <c r="BI73" i="6"/>
  <c r="BI63" i="6"/>
  <c r="BI27" i="6"/>
  <c r="BI25" i="6"/>
  <c r="BI129" i="6"/>
  <c r="BI76" i="6"/>
  <c r="BI97" i="6"/>
  <c r="BI75" i="6"/>
  <c r="BI30" i="6"/>
  <c r="BI18" i="6"/>
  <c r="BJ5" i="6"/>
  <c r="BI13" i="6"/>
  <c r="BI6" i="6"/>
  <c r="BI11" i="6"/>
  <c r="BI36" i="6"/>
  <c r="BI16" i="6"/>
  <c r="BI48" i="6"/>
  <c r="BI57" i="6" s="1"/>
  <c r="BI71" i="6" s="1"/>
  <c r="BI32" i="6"/>
  <c r="BI22" i="6"/>
  <c r="BI125" i="6"/>
  <c r="BI99" i="6"/>
  <c r="BI38" i="6"/>
  <c r="BI28" i="6"/>
  <c r="BI124" i="6"/>
  <c r="BI34" i="6"/>
  <c r="BI96" i="6"/>
  <c r="BI95" i="6" s="1"/>
  <c r="BI26" i="6"/>
  <c r="BG66" i="6"/>
  <c r="U11" i="4"/>
  <c r="T19" i="4"/>
  <c r="T14" i="4"/>
  <c r="BI49" i="6"/>
  <c r="BI56" i="6" s="1"/>
  <c r="BH42" i="6"/>
  <c r="U30" i="4"/>
  <c r="T30" i="4"/>
  <c r="BH95" i="6"/>
  <c r="BH55" i="6"/>
  <c r="BH53" i="6" s="1"/>
  <c r="BH70" i="6"/>
  <c r="BH69" i="6" s="1"/>
  <c r="BH67" i="6" s="1"/>
  <c r="BG181" i="6"/>
  <c r="BG179" i="6"/>
  <c r="BG180" i="6"/>
  <c r="BG45" i="6"/>
  <c r="BJ49" i="6" l="1"/>
  <c r="BJ56" i="6" s="1"/>
  <c r="BI42" i="6"/>
  <c r="BG4" i="8"/>
  <c r="BG3" i="8" s="1"/>
  <c r="BJ4" i="7"/>
  <c r="BI5" i="7"/>
  <c r="BJ173" i="6"/>
  <c r="BJ171" i="6"/>
  <c r="BJ169" i="6"/>
  <c r="BJ167" i="6"/>
  <c r="BJ165" i="6"/>
  <c r="BJ163" i="6"/>
  <c r="BJ158" i="6"/>
  <c r="BJ156" i="6"/>
  <c r="BJ154" i="6"/>
  <c r="BJ152" i="6"/>
  <c r="BJ147" i="6"/>
  <c r="BJ135" i="6"/>
  <c r="BJ151" i="6"/>
  <c r="BJ133" i="6"/>
  <c r="BJ98" i="6"/>
  <c r="BJ96" i="6"/>
  <c r="BJ92" i="6"/>
  <c r="BJ91" i="6" s="1"/>
  <c r="BJ170" i="6"/>
  <c r="BJ148" i="6"/>
  <c r="BJ144" i="6"/>
  <c r="BJ137" i="6"/>
  <c r="BJ124" i="6"/>
  <c r="BJ122" i="6"/>
  <c r="BJ157" i="6"/>
  <c r="BJ155" i="6"/>
  <c r="BJ132" i="6"/>
  <c r="BJ168" i="6"/>
  <c r="BJ153" i="6"/>
  <c r="BJ146" i="6"/>
  <c r="BJ131" i="6"/>
  <c r="BJ136" i="6"/>
  <c r="BJ134" i="6"/>
  <c r="BJ162" i="6"/>
  <c r="BJ150" i="6"/>
  <c r="BJ142" i="6"/>
  <c r="BJ166" i="6"/>
  <c r="BJ128" i="6"/>
  <c r="BJ125" i="6"/>
  <c r="BJ97" i="6"/>
  <c r="BJ129" i="6"/>
  <c r="BJ123" i="6"/>
  <c r="BJ99" i="6"/>
  <c r="BJ76" i="6"/>
  <c r="BJ164" i="6"/>
  <c r="BJ145" i="6"/>
  <c r="BJ127" i="6"/>
  <c r="BJ172" i="6"/>
  <c r="BJ74" i="6"/>
  <c r="BJ138" i="6"/>
  <c r="BJ175" i="6" s="1" a="1"/>
  <c r="BJ175" i="6" s="1"/>
  <c r="BJ48" i="6"/>
  <c r="BJ57" i="6" s="1"/>
  <c r="BJ71" i="6" s="1"/>
  <c r="BJ26" i="6"/>
  <c r="BJ143" i="6"/>
  <c r="BJ126" i="6"/>
  <c r="BJ39" i="6"/>
  <c r="BJ37" i="6"/>
  <c r="BJ35" i="6"/>
  <c r="BJ33" i="6"/>
  <c r="BJ31" i="6"/>
  <c r="BJ29" i="6"/>
  <c r="BJ85" i="6"/>
  <c r="BJ73" i="6"/>
  <c r="BJ130" i="6"/>
  <c r="BJ75" i="6"/>
  <c r="BJ36" i="6"/>
  <c r="BJ16" i="6"/>
  <c r="BJ149" i="6"/>
  <c r="BJ32" i="6"/>
  <c r="BJ22" i="6"/>
  <c r="BJ28" i="6"/>
  <c r="BJ11" i="6"/>
  <c r="BK17" i="6" s="1"/>
  <c r="BJ27" i="6"/>
  <c r="BJ43" i="6" s="1" a="1"/>
  <c r="BJ43" i="6" s="1"/>
  <c r="BJ13" i="6"/>
  <c r="BJ6" i="6"/>
  <c r="BJ38" i="6"/>
  <c r="BJ34" i="6"/>
  <c r="BJ63" i="6"/>
  <c r="BJ25" i="6"/>
  <c r="BJ15" i="6"/>
  <c r="BJ30" i="6"/>
  <c r="BK5" i="6"/>
  <c r="BJ18" i="6"/>
  <c r="BJ12" i="6"/>
  <c r="BH44" i="6"/>
  <c r="BH88" i="6"/>
  <c r="BH87" i="6" s="1"/>
  <c r="BI19" i="6"/>
  <c r="U21" i="4"/>
  <c r="T21" i="4"/>
  <c r="BI55" i="6"/>
  <c r="BI53" i="6" s="1"/>
  <c r="BI70" i="6"/>
  <c r="BI69" i="6" s="1"/>
  <c r="BI67" i="6" s="1"/>
  <c r="S47" i="4"/>
  <c r="N48" i="4"/>
  <c r="S40" i="4"/>
  <c r="N42" i="4"/>
  <c r="BH66" i="6"/>
  <c r="BH181" i="6" s="1"/>
  <c r="N13" i="4"/>
  <c r="U31" i="4"/>
  <c r="T31" i="4"/>
  <c r="BF66" i="6"/>
  <c r="BI43" i="6" a="1"/>
  <c r="BI43" i="6" s="1"/>
  <c r="BI45" i="6" s="1"/>
  <c r="BJ17" i="6"/>
  <c r="BJ19" i="6" s="1"/>
  <c r="BH45" i="6"/>
  <c r="BK173" i="6" l="1"/>
  <c r="BK171" i="6"/>
  <c r="BK169" i="6"/>
  <c r="BK167" i="6"/>
  <c r="BK165" i="6"/>
  <c r="BK163" i="6"/>
  <c r="BK158" i="6"/>
  <c r="BK156" i="6"/>
  <c r="BK154" i="6"/>
  <c r="BK152" i="6"/>
  <c r="BK150" i="6"/>
  <c r="BK148" i="6"/>
  <c r="BK146" i="6"/>
  <c r="BK144" i="6"/>
  <c r="BK142" i="6"/>
  <c r="BK137" i="6"/>
  <c r="BK135" i="6"/>
  <c r="BK133" i="6"/>
  <c r="BK131" i="6"/>
  <c r="BK172" i="6"/>
  <c r="BK168" i="6"/>
  <c r="BK164" i="6"/>
  <c r="BK153" i="6"/>
  <c r="BK145" i="6"/>
  <c r="BK170" i="6"/>
  <c r="BK124" i="6"/>
  <c r="BK122" i="6"/>
  <c r="BK157" i="6"/>
  <c r="BK129" i="6"/>
  <c r="BK166" i="6"/>
  <c r="BK138" i="6"/>
  <c r="BK175" i="6" s="1" a="1"/>
  <c r="BK175" i="6" s="1"/>
  <c r="BK143" i="6"/>
  <c r="BK136" i="6"/>
  <c r="BK134" i="6"/>
  <c r="BK147" i="6"/>
  <c r="BK85" i="6"/>
  <c r="BK126" i="6"/>
  <c r="BK155" i="6"/>
  <c r="BK127" i="6"/>
  <c r="BK149" i="6"/>
  <c r="BK162" i="6"/>
  <c r="BK74" i="6"/>
  <c r="BK151" i="6"/>
  <c r="BK128" i="6"/>
  <c r="BK48" i="6"/>
  <c r="BK57" i="6" s="1"/>
  <c r="BK71" i="6" s="1"/>
  <c r="BK26" i="6"/>
  <c r="BK99" i="6"/>
  <c r="BK75" i="6"/>
  <c r="BK38" i="6"/>
  <c r="BK36" i="6"/>
  <c r="BK34" i="6"/>
  <c r="BK32" i="6"/>
  <c r="BK30" i="6"/>
  <c r="BK28" i="6"/>
  <c r="BK22" i="6"/>
  <c r="BK132" i="6"/>
  <c r="BK92" i="6"/>
  <c r="BK91" i="6" s="1"/>
  <c r="BK76" i="6"/>
  <c r="BK73" i="6"/>
  <c r="BK37" i="6"/>
  <c r="BK33" i="6"/>
  <c r="BK43" i="6" s="1" a="1"/>
  <c r="BK43" i="6" s="1"/>
  <c r="BK130" i="6"/>
  <c r="BK97" i="6"/>
  <c r="BK35" i="6"/>
  <c r="BK27" i="6"/>
  <c r="BK13" i="6"/>
  <c r="BK6" i="6"/>
  <c r="BK11" i="6"/>
  <c r="BL17" i="6" s="1"/>
  <c r="BK125" i="6"/>
  <c r="BK39" i="6"/>
  <c r="BK123" i="6"/>
  <c r="BK98" i="6"/>
  <c r="BK31" i="6"/>
  <c r="BK63" i="6"/>
  <c r="BK25" i="6"/>
  <c r="BK15" i="6"/>
  <c r="BK96" i="6"/>
  <c r="BK29" i="6"/>
  <c r="BK18" i="6"/>
  <c r="BK19" i="6" s="1"/>
  <c r="BK12" i="6"/>
  <c r="BL5" i="6"/>
  <c r="BK16" i="6"/>
  <c r="BH180" i="6"/>
  <c r="BK4" i="7"/>
  <c r="BH4" i="8"/>
  <c r="BH3" i="8" s="1"/>
  <c r="BJ5" i="7"/>
  <c r="S18" i="4"/>
  <c r="S17" i="4" s="1"/>
  <c r="S22" i="4" s="1"/>
  <c r="S23" i="4" s="1"/>
  <c r="S39" i="4"/>
  <c r="N39" i="4" s="1"/>
  <c r="N40" i="4"/>
  <c r="BH179" i="6"/>
  <c r="T48" i="4"/>
  <c r="U48" i="4"/>
  <c r="BI44" i="6"/>
  <c r="N12" i="4"/>
  <c r="T13" i="4"/>
  <c r="U13" i="4"/>
  <c r="BJ95" i="6"/>
  <c r="U42" i="4"/>
  <c r="T42" i="4"/>
  <c r="BJ42" i="6"/>
  <c r="BJ44" i="6" s="1"/>
  <c r="BK49" i="6"/>
  <c r="BK56" i="6" s="1"/>
  <c r="BF179" i="6"/>
  <c r="BF181" i="6"/>
  <c r="S56" i="4" s="1"/>
  <c r="N56" i="4" s="1"/>
  <c r="BF180" i="6"/>
  <c r="S20" i="4"/>
  <c r="N47" i="4"/>
  <c r="BJ70" i="6"/>
  <c r="BJ69" i="6" s="1"/>
  <c r="BJ67" i="6" s="1"/>
  <c r="BJ55" i="6"/>
  <c r="BJ53" i="6" s="1"/>
  <c r="BI88" i="6"/>
  <c r="BI87" i="6" s="1"/>
  <c r="BI66" i="6" s="1"/>
  <c r="BI181" i="6" l="1"/>
  <c r="BI179" i="6"/>
  <c r="BI180" i="6"/>
  <c r="U39" i="4"/>
  <c r="T39" i="4"/>
  <c r="BL173" i="6"/>
  <c r="BL171" i="6"/>
  <c r="BL169" i="6"/>
  <c r="BL167" i="6"/>
  <c r="BL165" i="6"/>
  <c r="BL163" i="6"/>
  <c r="BL172" i="6"/>
  <c r="BL168" i="6"/>
  <c r="BL164" i="6"/>
  <c r="BL156" i="6"/>
  <c r="BL143" i="6"/>
  <c r="BL133" i="6"/>
  <c r="BL130" i="6"/>
  <c r="BL128" i="6"/>
  <c r="BL126" i="6"/>
  <c r="BL157" i="6"/>
  <c r="BL148" i="6"/>
  <c r="BL144" i="6"/>
  <c r="BL137" i="6"/>
  <c r="BL129" i="6"/>
  <c r="BL166" i="6"/>
  <c r="BL138" i="6"/>
  <c r="BL175" i="6" s="1" a="1"/>
  <c r="BL175" i="6" s="1"/>
  <c r="BL134" i="6"/>
  <c r="BL127" i="6"/>
  <c r="BL155" i="6"/>
  <c r="BL149" i="6"/>
  <c r="BL145" i="6"/>
  <c r="BL152" i="6"/>
  <c r="BL151" i="6"/>
  <c r="BL147" i="6"/>
  <c r="BL154" i="6"/>
  <c r="BL153" i="6"/>
  <c r="BL146" i="6"/>
  <c r="BL131" i="6"/>
  <c r="BL158" i="6"/>
  <c r="BL136" i="6"/>
  <c r="BL125" i="6"/>
  <c r="BL98" i="6"/>
  <c r="BL170" i="6"/>
  <c r="BL123" i="6"/>
  <c r="BL122" i="6"/>
  <c r="BL99" i="6"/>
  <c r="BL92" i="6"/>
  <c r="BL91" i="6" s="1"/>
  <c r="BL76" i="6"/>
  <c r="BL74" i="6"/>
  <c r="BL150" i="6"/>
  <c r="BL135" i="6"/>
  <c r="BL132" i="6"/>
  <c r="BL96" i="6"/>
  <c r="BL75" i="6"/>
  <c r="BL162" i="6"/>
  <c r="BL124" i="6"/>
  <c r="BL48" i="6"/>
  <c r="BL26" i="6"/>
  <c r="BL38" i="6"/>
  <c r="BL36" i="6"/>
  <c r="BL34" i="6"/>
  <c r="BL32" i="6"/>
  <c r="BL30" i="6"/>
  <c r="BL28" i="6"/>
  <c r="BL22" i="6"/>
  <c r="BL18" i="6"/>
  <c r="BL16" i="6"/>
  <c r="BL6" i="6"/>
  <c r="BL43" i="6" a="1"/>
  <c r="BL43" i="6" s="1"/>
  <c r="BL85" i="6"/>
  <c r="BL142" i="6"/>
  <c r="BL97" i="6"/>
  <c r="BL63" i="6"/>
  <c r="BL27" i="6"/>
  <c r="BL13" i="6"/>
  <c r="BL15" i="6"/>
  <c r="BL39" i="6"/>
  <c r="BL31" i="6"/>
  <c r="BL35" i="6"/>
  <c r="BL11" i="6"/>
  <c r="BL25" i="6"/>
  <c r="BL29" i="6"/>
  <c r="BL12" i="6"/>
  <c r="BL37" i="6"/>
  <c r="BL33" i="6"/>
  <c r="BL73" i="6"/>
  <c r="U56" i="4"/>
  <c r="T56" i="4"/>
  <c r="BL4" i="7"/>
  <c r="BL5" i="7" s="1"/>
  <c r="BI4" i="8"/>
  <c r="BK5" i="7"/>
  <c r="T12" i="4"/>
  <c r="U12" i="4"/>
  <c r="BJ66" i="6"/>
  <c r="BJ180" i="6" s="1"/>
  <c r="BL19" i="6"/>
  <c r="U47" i="4"/>
  <c r="T47" i="4"/>
  <c r="N20" i="4"/>
  <c r="BK42" i="6"/>
  <c r="BL49" i="6"/>
  <c r="BL56" i="6" s="1"/>
  <c r="BJ88" i="6"/>
  <c r="BJ87" i="6" s="1"/>
  <c r="BK70" i="6"/>
  <c r="BK69" i="6" s="1"/>
  <c r="BK67" i="6" s="1"/>
  <c r="BK55" i="6"/>
  <c r="BK53" i="6" s="1"/>
  <c r="BK95" i="6"/>
  <c r="N18" i="4"/>
  <c r="U40" i="4"/>
  <c r="T40" i="4"/>
  <c r="BJ45" i="6"/>
  <c r="AD43" i="8" l="1" a="1"/>
  <c r="AD43" i="8" s="1"/>
  <c r="N43" i="8" a="1"/>
  <c r="N43" i="8" s="1"/>
  <c r="AH43" i="8" a="1"/>
  <c r="AH43" i="8" s="1"/>
  <c r="E43" i="8" a="1"/>
  <c r="E43" i="8" s="1"/>
  <c r="AE43" i="8" a="1"/>
  <c r="AE43" i="8" s="1"/>
  <c r="V43" i="8" a="1"/>
  <c r="V43" i="8" s="1"/>
  <c r="U43" i="8" a="1"/>
  <c r="U43" i="8" s="1"/>
  <c r="X43" i="8" a="1"/>
  <c r="X43" i="8" s="1"/>
  <c r="G43" i="8" a="1"/>
  <c r="G43" i="8" s="1"/>
  <c r="AP43" i="8" a="1"/>
  <c r="AP43" i="8" s="1"/>
  <c r="AF43" i="8" a="1"/>
  <c r="AF43" i="8" s="1"/>
  <c r="C43" i="8" a="1"/>
  <c r="C43" i="8" s="1"/>
  <c r="O43" i="8" a="1"/>
  <c r="O43" i="8" s="1"/>
  <c r="AA43" i="8" a="1"/>
  <c r="AA43" i="8" s="1"/>
  <c r="J43" i="8" a="1"/>
  <c r="J43" i="8" s="1"/>
  <c r="AI43" i="8" a="1"/>
  <c r="AI43" i="8" s="1"/>
  <c r="Y43" i="8" a="1"/>
  <c r="Y43" i="8" s="1"/>
  <c r="Z43" i="8" a="1"/>
  <c r="Z43" i="8" s="1"/>
  <c r="I43" i="8" a="1"/>
  <c r="I43" i="8" s="1"/>
  <c r="F43" i="8" a="1"/>
  <c r="F43" i="8" s="1"/>
  <c r="AM43" i="8" a="1"/>
  <c r="AM43" i="8" s="1"/>
  <c r="AB43" i="8" a="1"/>
  <c r="AB43" i="8" s="1"/>
  <c r="L43" i="8" a="1"/>
  <c r="L43" i="8" s="1"/>
  <c r="W43" i="8" a="1"/>
  <c r="W43" i="8" s="1"/>
  <c r="D43" i="8" a="1"/>
  <c r="D43" i="8" s="1"/>
  <c r="AK43" i="8" a="1"/>
  <c r="AK43" i="8" s="1"/>
  <c r="AG43" i="8" a="1"/>
  <c r="AG43" i="8" s="1"/>
  <c r="AL43" i="8" a="1"/>
  <c r="AL43" i="8" s="1"/>
  <c r="AN43" i="8" a="1"/>
  <c r="AN43" i="8" s="1"/>
  <c r="P43" i="8" a="1"/>
  <c r="P43" i="8" s="1"/>
  <c r="H43" i="8" a="1"/>
  <c r="H43" i="8" s="1"/>
  <c r="K43" i="8" a="1"/>
  <c r="K43" i="8" s="1"/>
  <c r="T43" i="8" a="1"/>
  <c r="T43" i="8" s="1"/>
  <c r="M43" i="8" a="1"/>
  <c r="M43" i="8" s="1"/>
  <c r="AC43" i="8" a="1"/>
  <c r="AC43" i="8" s="1"/>
  <c r="S43" i="8" a="1"/>
  <c r="S43" i="8" s="1"/>
  <c r="R43" i="8" a="1"/>
  <c r="R43" i="8" s="1"/>
  <c r="AJ43" i="8" a="1"/>
  <c r="AJ43" i="8" s="1"/>
  <c r="Q43" i="8" a="1"/>
  <c r="Q43" i="8" s="1"/>
  <c r="B43" i="8" a="1"/>
  <c r="B43" i="8" s="1"/>
  <c r="AR43" i="8" a="1"/>
  <c r="AR43" i="8" s="1"/>
  <c r="AO43" i="8" a="1"/>
  <c r="AO43" i="8" s="1"/>
  <c r="AQ43" i="8" a="1"/>
  <c r="AQ43" i="8" s="1"/>
  <c r="AS43" i="8" a="1"/>
  <c r="AS43" i="8" s="1"/>
  <c r="AT43" i="8" a="1"/>
  <c r="AT43" i="8" s="1"/>
  <c r="AV43" i="8" a="1"/>
  <c r="AV43" i="8" s="1"/>
  <c r="AW43" i="8" a="1"/>
  <c r="AW43" i="8" s="1"/>
  <c r="AU43" i="8" a="1"/>
  <c r="AU43" i="8" s="1"/>
  <c r="AY43" i="8" a="1"/>
  <c r="AY43" i="8" s="1"/>
  <c r="AX43" i="8" a="1"/>
  <c r="AX43" i="8" s="1"/>
  <c r="BA43" i="8" a="1"/>
  <c r="BA43" i="8" s="1"/>
  <c r="AZ43" i="8" a="1"/>
  <c r="AZ43" i="8" s="1"/>
  <c r="BB43" i="8" a="1"/>
  <c r="BB43" i="8" s="1"/>
  <c r="BC43" i="8" a="1"/>
  <c r="BC43" i="8" s="1"/>
  <c r="BF43" i="8" a="1"/>
  <c r="BF43" i="8" s="1"/>
  <c r="BD43" i="8" a="1"/>
  <c r="BD43" i="8" s="1"/>
  <c r="BE43" i="8" a="1"/>
  <c r="BE43" i="8" s="1"/>
  <c r="BH43" i="8" a="1"/>
  <c r="BH43" i="8" s="1"/>
  <c r="BI43" i="8" a="1"/>
  <c r="BI43" i="8" s="1"/>
  <c r="BG43" i="8" a="1"/>
  <c r="BG43" i="8" s="1"/>
  <c r="AB49" i="8" a="1"/>
  <c r="AB49" i="8" s="1"/>
  <c r="S49" i="8" a="1"/>
  <c r="S49" i="8" s="1"/>
  <c r="T49" i="8" a="1"/>
  <c r="T49" i="8" s="1"/>
  <c r="AK49" i="8" a="1"/>
  <c r="AK49" i="8" s="1"/>
  <c r="AL49" i="8" a="1"/>
  <c r="AL49" i="8" s="1"/>
  <c r="B49" i="8" a="1"/>
  <c r="B49" i="8" s="1"/>
  <c r="AE49" i="8" a="1"/>
  <c r="AE49" i="8" s="1"/>
  <c r="X49" i="8" a="1"/>
  <c r="X49" i="8" s="1"/>
  <c r="L49" i="8" a="1"/>
  <c r="L49" i="8" s="1"/>
  <c r="AA49" i="8" a="1"/>
  <c r="AA49" i="8" s="1"/>
  <c r="AJ49" i="8" a="1"/>
  <c r="AJ49" i="8" s="1"/>
  <c r="U49" i="8" a="1"/>
  <c r="U49" i="8" s="1"/>
  <c r="AM49" i="8" a="1"/>
  <c r="AM49" i="8" s="1"/>
  <c r="K49" i="8" a="1"/>
  <c r="K49" i="8" s="1"/>
  <c r="M49" i="8" a="1"/>
  <c r="M49" i="8" s="1"/>
  <c r="N49" i="8" a="1"/>
  <c r="N49" i="8" s="1"/>
  <c r="W49" i="8" a="1"/>
  <c r="W49" i="8" s="1"/>
  <c r="AG49" i="8" a="1"/>
  <c r="AG49" i="8" s="1"/>
  <c r="AD49" i="8" a="1"/>
  <c r="AD49" i="8" s="1"/>
  <c r="C49" i="8" a="1"/>
  <c r="C49" i="8" s="1"/>
  <c r="AN49" i="8" a="1"/>
  <c r="AN49" i="8" s="1"/>
  <c r="AF49" i="8" a="1"/>
  <c r="AF49" i="8" s="1"/>
  <c r="AI49" i="8" a="1"/>
  <c r="AI49" i="8" s="1"/>
  <c r="D49" i="8" a="1"/>
  <c r="D49" i="8" s="1"/>
  <c r="I49" i="8" a="1"/>
  <c r="I49" i="8" s="1"/>
  <c r="AO49" i="8" a="1"/>
  <c r="AO49" i="8" s="1"/>
  <c r="F49" i="8" a="1"/>
  <c r="F49" i="8" s="1"/>
  <c r="R49" i="8" a="1"/>
  <c r="R49" i="8" s="1"/>
  <c r="G49" i="8" a="1"/>
  <c r="G49" i="8" s="1"/>
  <c r="Q49" i="8" a="1"/>
  <c r="Q49" i="8" s="1"/>
  <c r="J49" i="8" a="1"/>
  <c r="J49" i="8" s="1"/>
  <c r="Y49" i="8" a="1"/>
  <c r="Y49" i="8" s="1"/>
  <c r="E49" i="8" a="1"/>
  <c r="E49" i="8" s="1"/>
  <c r="AP49" i="8" a="1"/>
  <c r="AP49" i="8" s="1"/>
  <c r="V49" i="8" a="1"/>
  <c r="V49" i="8" s="1"/>
  <c r="AH49" i="8" a="1"/>
  <c r="AH49" i="8" s="1"/>
  <c r="Z49" i="8" a="1"/>
  <c r="Z49" i="8" s="1"/>
  <c r="O49" i="8" a="1"/>
  <c r="O49" i="8" s="1"/>
  <c r="AC49" i="8" a="1"/>
  <c r="AC49" i="8" s="1"/>
  <c r="P49" i="8" a="1"/>
  <c r="P49" i="8" s="1"/>
  <c r="H49" i="8" a="1"/>
  <c r="H49" i="8" s="1"/>
  <c r="AR49" i="8" a="1"/>
  <c r="AR49" i="8" s="1"/>
  <c r="AQ49" i="8" a="1"/>
  <c r="AQ49" i="8" s="1"/>
  <c r="AS49" i="8" a="1"/>
  <c r="AS49" i="8" s="1"/>
  <c r="AT49" i="8" a="1"/>
  <c r="AT49" i="8" s="1"/>
  <c r="AW49" i="8" a="1"/>
  <c r="AW49" i="8" s="1"/>
  <c r="AU49" i="8" a="1"/>
  <c r="AU49" i="8" s="1"/>
  <c r="AV49" i="8" a="1"/>
  <c r="AV49" i="8" s="1"/>
  <c r="AY49" i="8" a="1"/>
  <c r="AY49" i="8" s="1"/>
  <c r="BB49" i="8" a="1"/>
  <c r="BB49" i="8" s="1"/>
  <c r="AX49" i="8" a="1"/>
  <c r="AX49" i="8" s="1"/>
  <c r="BC49" i="8" a="1"/>
  <c r="BC49" i="8" s="1"/>
  <c r="AZ49" i="8" a="1"/>
  <c r="AZ49" i="8" s="1"/>
  <c r="BA49" i="8" a="1"/>
  <c r="BA49" i="8" s="1"/>
  <c r="BE49" i="8" a="1"/>
  <c r="BE49" i="8" s="1"/>
  <c r="BD49" i="8" a="1"/>
  <c r="BD49" i="8" s="1"/>
  <c r="BF49" i="8" a="1"/>
  <c r="BF49" i="8" s="1"/>
  <c r="BH49" i="8" a="1"/>
  <c r="BH49" i="8" s="1"/>
  <c r="BG49" i="8" a="1"/>
  <c r="BG49" i="8" s="1"/>
  <c r="BI49" i="8" a="1"/>
  <c r="BI49" i="8" s="1"/>
  <c r="M44" i="8" a="1"/>
  <c r="M44" i="8" s="1"/>
  <c r="F44" i="8" a="1"/>
  <c r="F44" i="8" s="1"/>
  <c r="Q44" i="8" a="1"/>
  <c r="Q44" i="8" s="1"/>
  <c r="AB44" i="8" a="1"/>
  <c r="AB44" i="8" s="1"/>
  <c r="N44" i="8" a="1"/>
  <c r="N44" i="8" s="1"/>
  <c r="G44" i="8" a="1"/>
  <c r="G44" i="8" s="1"/>
  <c r="AE44" i="8" a="1"/>
  <c r="AE44" i="8" s="1"/>
  <c r="AD44" i="8" a="1"/>
  <c r="AD44" i="8" s="1"/>
  <c r="X44" i="8" a="1"/>
  <c r="X44" i="8" s="1"/>
  <c r="C44" i="8" a="1"/>
  <c r="C44" i="8" s="1"/>
  <c r="AL44" i="8" a="1"/>
  <c r="AL44" i="8" s="1"/>
  <c r="I44" i="8" a="1"/>
  <c r="I44" i="8" s="1"/>
  <c r="AH44" i="8" a="1"/>
  <c r="AH44" i="8" s="1"/>
  <c r="AM44" i="8" a="1"/>
  <c r="AM44" i="8" s="1"/>
  <c r="O44" i="8" a="1"/>
  <c r="O44" i="8" s="1"/>
  <c r="Z44" i="8" a="1"/>
  <c r="Z44" i="8" s="1"/>
  <c r="AG44" i="8" a="1"/>
  <c r="AG44" i="8" s="1"/>
  <c r="T44" i="8" a="1"/>
  <c r="T44" i="8" s="1"/>
  <c r="Y44" i="8" a="1"/>
  <c r="Y44" i="8" s="1"/>
  <c r="D44" i="8" a="1"/>
  <c r="D44" i="8" s="1"/>
  <c r="AN44" i="8" a="1"/>
  <c r="AN44" i="8" s="1"/>
  <c r="H44" i="8" a="1"/>
  <c r="H44" i="8" s="1"/>
  <c r="AJ44" i="8" a="1"/>
  <c r="AJ44" i="8" s="1"/>
  <c r="AC44" i="8" a="1"/>
  <c r="AC44" i="8" s="1"/>
  <c r="AK44" i="8" a="1"/>
  <c r="AK44" i="8" s="1"/>
  <c r="B44" i="8" a="1"/>
  <c r="B44" i="8" s="1"/>
  <c r="AI44" i="8" a="1"/>
  <c r="AI44" i="8" s="1"/>
  <c r="P44" i="8" a="1"/>
  <c r="P44" i="8" s="1"/>
  <c r="U44" i="8" a="1"/>
  <c r="U44" i="8" s="1"/>
  <c r="L44" i="8" a="1"/>
  <c r="L44" i="8" s="1"/>
  <c r="V44" i="8" a="1"/>
  <c r="V44" i="8" s="1"/>
  <c r="S44" i="8" a="1"/>
  <c r="S44" i="8" s="1"/>
  <c r="J44" i="8" a="1"/>
  <c r="J44" i="8" s="1"/>
  <c r="R44" i="8" a="1"/>
  <c r="R44" i="8" s="1"/>
  <c r="K44" i="8" a="1"/>
  <c r="K44" i="8" s="1"/>
  <c r="W44" i="8" a="1"/>
  <c r="W44" i="8" s="1"/>
  <c r="AF44" i="8" a="1"/>
  <c r="AF44" i="8" s="1"/>
  <c r="AA44" i="8" a="1"/>
  <c r="AA44" i="8" s="1"/>
  <c r="E44" i="8" a="1"/>
  <c r="E44" i="8" s="1"/>
  <c r="AO44" i="8" a="1"/>
  <c r="AO44" i="8" s="1"/>
  <c r="AP44" i="8" a="1"/>
  <c r="AP44" i="8" s="1"/>
  <c r="AT44" i="8" a="1"/>
  <c r="AT44" i="8" s="1"/>
  <c r="AQ44" i="8" a="1"/>
  <c r="AQ44" i="8" s="1"/>
  <c r="AR44" i="8" a="1"/>
  <c r="AR44" i="8" s="1"/>
  <c r="AU44" i="8" a="1"/>
  <c r="AU44" i="8" s="1"/>
  <c r="AS44" i="8" a="1"/>
  <c r="AS44" i="8" s="1"/>
  <c r="AV44" i="8" a="1"/>
  <c r="AV44" i="8" s="1"/>
  <c r="AY44" i="8" a="1"/>
  <c r="AY44" i="8" s="1"/>
  <c r="AX44" i="8" a="1"/>
  <c r="AX44" i="8" s="1"/>
  <c r="AW44" i="8" a="1"/>
  <c r="AW44" i="8" s="1"/>
  <c r="AZ44" i="8" a="1"/>
  <c r="AZ44" i="8" s="1"/>
  <c r="BC44" i="8" a="1"/>
  <c r="BC44" i="8" s="1"/>
  <c r="BA44" i="8" a="1"/>
  <c r="BA44" i="8" s="1"/>
  <c r="BF44" i="8" a="1"/>
  <c r="BF44" i="8" s="1"/>
  <c r="BB44" i="8" a="1"/>
  <c r="BB44" i="8" s="1"/>
  <c r="BD44" i="8" a="1"/>
  <c r="BD44" i="8" s="1"/>
  <c r="BE44" i="8" a="1"/>
  <c r="BE44" i="8" s="1"/>
  <c r="BG44" i="8" a="1"/>
  <c r="BG44" i="8" s="1"/>
  <c r="BI44" i="8" a="1"/>
  <c r="BI44" i="8" s="1"/>
  <c r="BH44" i="8" a="1"/>
  <c r="BH44" i="8" s="1"/>
  <c r="Z47" i="8" a="1"/>
  <c r="Z47" i="8" s="1"/>
  <c r="AM47" i="8" a="1"/>
  <c r="AM47" i="8" s="1"/>
  <c r="AF47" i="8" a="1"/>
  <c r="AF47" i="8" s="1"/>
  <c r="AG47" i="8" a="1"/>
  <c r="AG47" i="8" s="1"/>
  <c r="AD47" i="8" a="1"/>
  <c r="AD47" i="8" s="1"/>
  <c r="M47" i="8" a="1"/>
  <c r="M47" i="8" s="1"/>
  <c r="Y47" i="8" a="1"/>
  <c r="Y47" i="8" s="1"/>
  <c r="AH47" i="8" a="1"/>
  <c r="AH47" i="8" s="1"/>
  <c r="E47" i="8" a="1"/>
  <c r="E47" i="8" s="1"/>
  <c r="K47" i="8" a="1"/>
  <c r="K47" i="8" s="1"/>
  <c r="R47" i="8" a="1"/>
  <c r="R47" i="8" s="1"/>
  <c r="AK47" i="8" a="1"/>
  <c r="AK47" i="8" s="1"/>
  <c r="G47" i="8" a="1"/>
  <c r="G47" i="8" s="1"/>
  <c r="S47" i="8" a="1"/>
  <c r="S47" i="8" s="1"/>
  <c r="U47" i="8" a="1"/>
  <c r="U47" i="8" s="1"/>
  <c r="I47" i="8" a="1"/>
  <c r="I47" i="8" s="1"/>
  <c r="AI47" i="8" a="1"/>
  <c r="AI47" i="8" s="1"/>
  <c r="AL47" i="8" a="1"/>
  <c r="AL47" i="8" s="1"/>
  <c r="AN47" i="8" a="1"/>
  <c r="AN47" i="8" s="1"/>
  <c r="J47" i="8" a="1"/>
  <c r="J47" i="8" s="1"/>
  <c r="AE47" i="8" a="1"/>
  <c r="AE47" i="8" s="1"/>
  <c r="N47" i="8" a="1"/>
  <c r="N47" i="8" s="1"/>
  <c r="P47" i="8" a="1"/>
  <c r="P47" i="8" s="1"/>
  <c r="O47" i="8" a="1"/>
  <c r="O47" i="8" s="1"/>
  <c r="AC47" i="8" a="1"/>
  <c r="AC47" i="8" s="1"/>
  <c r="Q47" i="8" a="1"/>
  <c r="Q47" i="8" s="1"/>
  <c r="T47" i="8" a="1"/>
  <c r="T47" i="8" s="1"/>
  <c r="AJ47" i="8" a="1"/>
  <c r="AJ47" i="8" s="1"/>
  <c r="V47" i="8" a="1"/>
  <c r="V47" i="8" s="1"/>
  <c r="W47" i="8" a="1"/>
  <c r="W47" i="8" s="1"/>
  <c r="C47" i="8" a="1"/>
  <c r="C47" i="8" s="1"/>
  <c r="H47" i="8" a="1"/>
  <c r="H47" i="8" s="1"/>
  <c r="AB47" i="8" a="1"/>
  <c r="AB47" i="8" s="1"/>
  <c r="L47" i="8" a="1"/>
  <c r="L47" i="8" s="1"/>
  <c r="F47" i="8" a="1"/>
  <c r="F47" i="8" s="1"/>
  <c r="B47" i="8" a="1"/>
  <c r="B47" i="8" s="1"/>
  <c r="D47" i="8" a="1"/>
  <c r="D47" i="8" s="1"/>
  <c r="X47" i="8" a="1"/>
  <c r="X47" i="8" s="1"/>
  <c r="AA47" i="8" a="1"/>
  <c r="AA47" i="8" s="1"/>
  <c r="AO47" i="8" a="1"/>
  <c r="AO47" i="8" s="1"/>
  <c r="AP47" i="8" a="1"/>
  <c r="AP47" i="8" s="1"/>
  <c r="AQ47" i="8" a="1"/>
  <c r="AQ47" i="8" s="1"/>
  <c r="AR47" i="8" a="1"/>
  <c r="AR47" i="8" s="1"/>
  <c r="AS47" i="8" a="1"/>
  <c r="AS47" i="8" s="1"/>
  <c r="AT47" i="8" a="1"/>
  <c r="AT47" i="8" s="1"/>
  <c r="AV47" i="8" a="1"/>
  <c r="AV47" i="8" s="1"/>
  <c r="AX47" i="8" a="1"/>
  <c r="AX47" i="8" s="1"/>
  <c r="AU47" i="8" a="1"/>
  <c r="AU47" i="8" s="1"/>
  <c r="AW47" i="8" a="1"/>
  <c r="AW47" i="8" s="1"/>
  <c r="AY47" i="8" a="1"/>
  <c r="AY47" i="8" s="1"/>
  <c r="BA47" i="8" a="1"/>
  <c r="BA47" i="8" s="1"/>
  <c r="AZ47" i="8" a="1"/>
  <c r="AZ47" i="8" s="1"/>
  <c r="BB47" i="8" a="1"/>
  <c r="BB47" i="8" s="1"/>
  <c r="BC47" i="8" a="1"/>
  <c r="BC47" i="8" s="1"/>
  <c r="BF47" i="8" a="1"/>
  <c r="BF47" i="8" s="1"/>
  <c r="BE47" i="8" a="1"/>
  <c r="BE47" i="8" s="1"/>
  <c r="BD47" i="8" a="1"/>
  <c r="BD47" i="8" s="1"/>
  <c r="BG47" i="8" a="1"/>
  <c r="BG47" i="8" s="1"/>
  <c r="BI47" i="8" a="1"/>
  <c r="BI47" i="8" s="1"/>
  <c r="BH47" i="8" a="1"/>
  <c r="BH47" i="8" s="1"/>
  <c r="AK46" i="8" a="1"/>
  <c r="AK46" i="8" s="1"/>
  <c r="V46" i="8" a="1"/>
  <c r="V46" i="8" s="1"/>
  <c r="AN46" i="8" a="1"/>
  <c r="AN46" i="8" s="1"/>
  <c r="D46" i="8" a="1"/>
  <c r="D46" i="8" s="1"/>
  <c r="L46" i="8" a="1"/>
  <c r="L46" i="8" s="1"/>
  <c r="AB46" i="8" a="1"/>
  <c r="AB46" i="8" s="1"/>
  <c r="W46" i="8" a="1"/>
  <c r="W46" i="8" s="1"/>
  <c r="T46" i="8" a="1"/>
  <c r="T46" i="8" s="1"/>
  <c r="H46" i="8" a="1"/>
  <c r="H46" i="8" s="1"/>
  <c r="AE46" i="8" a="1"/>
  <c r="AE46" i="8" s="1"/>
  <c r="AH46" i="8" a="1"/>
  <c r="AH46" i="8" s="1"/>
  <c r="R46" i="8" a="1"/>
  <c r="R46" i="8" s="1"/>
  <c r="S46" i="8" a="1"/>
  <c r="S46" i="8" s="1"/>
  <c r="U46" i="8" a="1"/>
  <c r="U46" i="8" s="1"/>
  <c r="AA46" i="8" a="1"/>
  <c r="AA46" i="8" s="1"/>
  <c r="F46" i="8" a="1"/>
  <c r="F46" i="8" s="1"/>
  <c r="N46" i="8" a="1"/>
  <c r="N46" i="8" s="1"/>
  <c r="Z46" i="8" a="1"/>
  <c r="Z46" i="8" s="1"/>
  <c r="Y46" i="8" a="1"/>
  <c r="Y46" i="8" s="1"/>
  <c r="Q46" i="8" a="1"/>
  <c r="Q46" i="8" s="1"/>
  <c r="X46" i="8" a="1"/>
  <c r="X46" i="8" s="1"/>
  <c r="AI46" i="8" a="1"/>
  <c r="AI46" i="8" s="1"/>
  <c r="AL46" i="8" a="1"/>
  <c r="AL46" i="8" s="1"/>
  <c r="G46" i="8" a="1"/>
  <c r="G46" i="8" s="1"/>
  <c r="J46" i="8" a="1"/>
  <c r="J46" i="8" s="1"/>
  <c r="AJ46" i="8" a="1"/>
  <c r="AJ46" i="8" s="1"/>
  <c r="E46" i="8" a="1"/>
  <c r="E46" i="8" s="1"/>
  <c r="O46" i="8" a="1"/>
  <c r="O46" i="8" s="1"/>
  <c r="AM46" i="8" a="1"/>
  <c r="AM46" i="8" s="1"/>
  <c r="I46" i="8" a="1"/>
  <c r="I46" i="8" s="1"/>
  <c r="B46" i="8" a="1"/>
  <c r="B46" i="8" s="1"/>
  <c r="AD46" i="8" a="1"/>
  <c r="AD46" i="8" s="1"/>
  <c r="AG46" i="8" a="1"/>
  <c r="AG46" i="8" s="1"/>
  <c r="M46" i="8" a="1"/>
  <c r="M46" i="8" s="1"/>
  <c r="P46" i="8" a="1"/>
  <c r="P46" i="8" s="1"/>
  <c r="K46" i="8" a="1"/>
  <c r="K46" i="8" s="1"/>
  <c r="AC46" i="8" a="1"/>
  <c r="AC46" i="8" s="1"/>
  <c r="AF46" i="8" a="1"/>
  <c r="AF46" i="8" s="1"/>
  <c r="C46" i="8" a="1"/>
  <c r="C46" i="8" s="1"/>
  <c r="AO46" i="8" a="1"/>
  <c r="AO46" i="8" s="1"/>
  <c r="AP46" i="8" a="1"/>
  <c r="AP46" i="8" s="1"/>
  <c r="AR46" i="8" a="1"/>
  <c r="AR46" i="8" s="1"/>
  <c r="AQ46" i="8" a="1"/>
  <c r="AQ46" i="8" s="1"/>
  <c r="AS46" i="8" a="1"/>
  <c r="AS46" i="8" s="1"/>
  <c r="AU46" i="8" a="1"/>
  <c r="AU46" i="8" s="1"/>
  <c r="AT46" i="8" a="1"/>
  <c r="AT46" i="8" s="1"/>
  <c r="AY46" i="8" a="1"/>
  <c r="AY46" i="8" s="1"/>
  <c r="AW46" i="8" a="1"/>
  <c r="AW46" i="8" s="1"/>
  <c r="AV46" i="8" a="1"/>
  <c r="AV46" i="8" s="1"/>
  <c r="AX46" i="8" a="1"/>
  <c r="AX46" i="8" s="1"/>
  <c r="BB46" i="8" a="1"/>
  <c r="BB46" i="8" s="1"/>
  <c r="AZ46" i="8" a="1"/>
  <c r="AZ46" i="8" s="1"/>
  <c r="BA46" i="8" a="1"/>
  <c r="BA46" i="8" s="1"/>
  <c r="BC46" i="8" a="1"/>
  <c r="BC46" i="8" s="1"/>
  <c r="BE46" i="8" a="1"/>
  <c r="BE46" i="8" s="1"/>
  <c r="BD46" i="8" a="1"/>
  <c r="BD46" i="8" s="1"/>
  <c r="BI46" i="8" a="1"/>
  <c r="BI46" i="8" s="1"/>
  <c r="BF46" i="8" a="1"/>
  <c r="BF46" i="8" s="1"/>
  <c r="BG46" i="8" a="1"/>
  <c r="BG46" i="8" s="1"/>
  <c r="BH46" i="8" a="1"/>
  <c r="BH46" i="8" s="1"/>
  <c r="BL95" i="6"/>
  <c r="AK48" i="8" a="1"/>
  <c r="AK48" i="8" s="1"/>
  <c r="D48" i="8" a="1"/>
  <c r="D48" i="8" s="1"/>
  <c r="R48" i="8" a="1"/>
  <c r="R48" i="8" s="1"/>
  <c r="AL48" i="8" a="1"/>
  <c r="AL48" i="8" s="1"/>
  <c r="AH48" i="8" a="1"/>
  <c r="AH48" i="8" s="1"/>
  <c r="O48" i="8" a="1"/>
  <c r="O48" i="8" s="1"/>
  <c r="AP48" i="8" a="1"/>
  <c r="AP48" i="8" s="1"/>
  <c r="V48" i="8" a="1"/>
  <c r="V48" i="8" s="1"/>
  <c r="M48" i="8" a="1"/>
  <c r="M48" i="8" s="1"/>
  <c r="L48" i="8" a="1"/>
  <c r="L48" i="8" s="1"/>
  <c r="Y48" i="8" a="1"/>
  <c r="Y48" i="8" s="1"/>
  <c r="AI48" i="8" a="1"/>
  <c r="AI48" i="8" s="1"/>
  <c r="Q48" i="8" a="1"/>
  <c r="Q48" i="8" s="1"/>
  <c r="J48" i="8" a="1"/>
  <c r="J48" i="8" s="1"/>
  <c r="AG48" i="8" a="1"/>
  <c r="AG48" i="8" s="1"/>
  <c r="H48" i="8" a="1"/>
  <c r="H48" i="8" s="1"/>
  <c r="E48" i="8" a="1"/>
  <c r="E48" i="8" s="1"/>
  <c r="AF48" i="8" a="1"/>
  <c r="AF48" i="8" s="1"/>
  <c r="AE48" i="8" a="1"/>
  <c r="AE48" i="8" s="1"/>
  <c r="S48" i="8" a="1"/>
  <c r="S48" i="8" s="1"/>
  <c r="AN48" i="8" a="1"/>
  <c r="AN48" i="8" s="1"/>
  <c r="AM48" i="8" a="1"/>
  <c r="AM48" i="8" s="1"/>
  <c r="AD48" i="8" a="1"/>
  <c r="AD48" i="8" s="1"/>
  <c r="AC48" i="8" a="1"/>
  <c r="AC48" i="8" s="1"/>
  <c r="T48" i="8" a="1"/>
  <c r="T48" i="8" s="1"/>
  <c r="W48" i="8" a="1"/>
  <c r="W48" i="8" s="1"/>
  <c r="F48" i="8" a="1"/>
  <c r="F48" i="8" s="1"/>
  <c r="AB48" i="8" a="1"/>
  <c r="AB48" i="8" s="1"/>
  <c r="X48" i="8" a="1"/>
  <c r="X48" i="8" s="1"/>
  <c r="N48" i="8" a="1"/>
  <c r="N48" i="8" s="1"/>
  <c r="Z48" i="8" a="1"/>
  <c r="Z48" i="8" s="1"/>
  <c r="U48" i="8" a="1"/>
  <c r="U48" i="8" s="1"/>
  <c r="K48" i="8" a="1"/>
  <c r="K48" i="8" s="1"/>
  <c r="G48" i="8" a="1"/>
  <c r="G48" i="8" s="1"/>
  <c r="AJ48" i="8" a="1"/>
  <c r="AJ48" i="8" s="1"/>
  <c r="C48" i="8" a="1"/>
  <c r="C48" i="8" s="1"/>
  <c r="AO48" i="8" a="1"/>
  <c r="AO48" i="8" s="1"/>
  <c r="P48" i="8" a="1"/>
  <c r="P48" i="8" s="1"/>
  <c r="AA48" i="8" a="1"/>
  <c r="AA48" i="8" s="1"/>
  <c r="I48" i="8" a="1"/>
  <c r="I48" i="8" s="1"/>
  <c r="B48" i="8" a="1"/>
  <c r="B48" i="8" s="1"/>
  <c r="AR48" i="8" a="1"/>
  <c r="AR48" i="8" s="1"/>
  <c r="AT48" i="8" a="1"/>
  <c r="AT48" i="8" s="1"/>
  <c r="AQ48" i="8" a="1"/>
  <c r="AQ48" i="8" s="1"/>
  <c r="AU48" i="8" a="1"/>
  <c r="AU48" i="8" s="1"/>
  <c r="AS48" i="8" a="1"/>
  <c r="AS48" i="8" s="1"/>
  <c r="AV48" i="8" a="1"/>
  <c r="AV48" i="8" s="1"/>
  <c r="AW48" i="8" a="1"/>
  <c r="AW48" i="8" s="1"/>
  <c r="AY48" i="8" a="1"/>
  <c r="AY48" i="8" s="1"/>
  <c r="BA48" i="8" a="1"/>
  <c r="BA48" i="8" s="1"/>
  <c r="AX48" i="8" a="1"/>
  <c r="AX48" i="8" s="1"/>
  <c r="AZ48" i="8" a="1"/>
  <c r="AZ48" i="8" s="1"/>
  <c r="BC48" i="8" a="1"/>
  <c r="BC48" i="8" s="1"/>
  <c r="BB48" i="8" a="1"/>
  <c r="BB48" i="8" s="1"/>
  <c r="BD48" i="8" a="1"/>
  <c r="BD48" i="8" s="1"/>
  <c r="BE48" i="8" a="1"/>
  <c r="BE48" i="8" s="1"/>
  <c r="BF48" i="8" a="1"/>
  <c r="BF48" i="8" s="1"/>
  <c r="BG48" i="8" a="1"/>
  <c r="BG48" i="8" s="1"/>
  <c r="BH48" i="8" a="1"/>
  <c r="BH48" i="8" s="1"/>
  <c r="BI48" i="8" a="1"/>
  <c r="BI48" i="8" s="1"/>
  <c r="G38" i="8" a="1"/>
  <c r="G38" i="8" s="1"/>
  <c r="AN38" i="8" a="1"/>
  <c r="AN38" i="8" s="1"/>
  <c r="AK38" i="8" a="1"/>
  <c r="AK38" i="8" s="1"/>
  <c r="AL38" i="8" a="1"/>
  <c r="AL38" i="8" s="1"/>
  <c r="AM38" i="8" a="1"/>
  <c r="AM38" i="8" s="1"/>
  <c r="L38" i="8" a="1"/>
  <c r="L38" i="8" s="1"/>
  <c r="X38" i="8" a="1"/>
  <c r="X38" i="8" s="1"/>
  <c r="J38" i="8" a="1"/>
  <c r="J38" i="8" s="1"/>
  <c r="AJ38" i="8" a="1"/>
  <c r="AJ38" i="8" s="1"/>
  <c r="AF38" i="8" a="1"/>
  <c r="AF38" i="8" s="1"/>
  <c r="I38" i="8" a="1"/>
  <c r="I38" i="8" s="1"/>
  <c r="O38" i="8" a="1"/>
  <c r="O38" i="8" s="1"/>
  <c r="T38" i="8" a="1"/>
  <c r="T38" i="8" s="1"/>
  <c r="AP38" i="8" a="1"/>
  <c r="AP38" i="8" s="1"/>
  <c r="D38" i="8" a="1"/>
  <c r="D38" i="8" s="1"/>
  <c r="AH38" i="8" a="1"/>
  <c r="AH38" i="8" s="1"/>
  <c r="K38" i="8" a="1"/>
  <c r="K38" i="8" s="1"/>
  <c r="Y38" i="8" a="1"/>
  <c r="Y38" i="8" s="1"/>
  <c r="M38" i="8" a="1"/>
  <c r="M38" i="8" s="1"/>
  <c r="AG38" i="8" a="1"/>
  <c r="AG38" i="8" s="1"/>
  <c r="AB38" i="8" a="1"/>
  <c r="AB38" i="8" s="1"/>
  <c r="AE38" i="8" a="1"/>
  <c r="AE38" i="8" s="1"/>
  <c r="AA38" i="8" a="1"/>
  <c r="AA38" i="8" s="1"/>
  <c r="N38" i="8" a="1"/>
  <c r="N38" i="8" s="1"/>
  <c r="U38" i="8" a="1"/>
  <c r="U38" i="8" s="1"/>
  <c r="Q38" i="8" a="1"/>
  <c r="Q38" i="8" s="1"/>
  <c r="AD38" i="8" a="1"/>
  <c r="AD38" i="8" s="1"/>
  <c r="C38" i="8" a="1"/>
  <c r="C38" i="8" s="1"/>
  <c r="F38" i="8" a="1"/>
  <c r="F38" i="8" s="1"/>
  <c r="B38" i="8" a="1"/>
  <c r="B38" i="8" s="1"/>
  <c r="S38" i="8" a="1"/>
  <c r="S38" i="8" s="1"/>
  <c r="AI38" i="8" a="1"/>
  <c r="AI38" i="8" s="1"/>
  <c r="Z38" i="8" a="1"/>
  <c r="Z38" i="8" s="1"/>
  <c r="AO38" i="8" a="1"/>
  <c r="AO38" i="8" s="1"/>
  <c r="E38" i="8" a="1"/>
  <c r="E38" i="8" s="1"/>
  <c r="R38" i="8" a="1"/>
  <c r="R38" i="8" s="1"/>
  <c r="V38" i="8" a="1"/>
  <c r="V38" i="8" s="1"/>
  <c r="H38" i="8" a="1"/>
  <c r="H38" i="8" s="1"/>
  <c r="W38" i="8" a="1"/>
  <c r="W38" i="8" s="1"/>
  <c r="P38" i="8" a="1"/>
  <c r="P38" i="8" s="1"/>
  <c r="AQ38" i="8" a="1"/>
  <c r="AQ38" i="8" s="1"/>
  <c r="AR38" i="8" a="1"/>
  <c r="AR38" i="8" s="1"/>
  <c r="AC38" i="8" a="1"/>
  <c r="AC38" i="8" s="1"/>
  <c r="AV38" i="8" a="1"/>
  <c r="AV38" i="8" s="1"/>
  <c r="AS38" i="8" a="1"/>
  <c r="AS38" i="8" s="1"/>
  <c r="AT38" i="8" a="1"/>
  <c r="AT38" i="8" s="1"/>
  <c r="AX38" i="8" a="1"/>
  <c r="AX38" i="8" s="1"/>
  <c r="AW38" i="8" a="1"/>
  <c r="AW38" i="8" s="1"/>
  <c r="AU38" i="8" a="1"/>
  <c r="AU38" i="8" s="1"/>
  <c r="AZ38" i="8" a="1"/>
  <c r="AZ38" i="8" s="1"/>
  <c r="AY38" i="8" a="1"/>
  <c r="AY38" i="8" s="1"/>
  <c r="BB38" i="8" a="1"/>
  <c r="BB38" i="8" s="1"/>
  <c r="BC38" i="8" a="1"/>
  <c r="BC38" i="8" s="1"/>
  <c r="BD38" i="8" a="1"/>
  <c r="BD38" i="8" s="1"/>
  <c r="BA38" i="8" a="1"/>
  <c r="BA38" i="8" s="1"/>
  <c r="BG38" i="8" a="1"/>
  <c r="BG38" i="8" s="1"/>
  <c r="BE38" i="8" a="1"/>
  <c r="BE38" i="8" s="1"/>
  <c r="BF38" i="8" a="1"/>
  <c r="BF38" i="8" s="1"/>
  <c r="BH38" i="8" a="1"/>
  <c r="BH38" i="8" s="1"/>
  <c r="BI38" i="8" a="1"/>
  <c r="BI38" i="8" s="1"/>
  <c r="U18" i="4"/>
  <c r="T18" i="4"/>
  <c r="N17" i="4"/>
  <c r="BI3" i="8"/>
  <c r="K16" i="7"/>
  <c r="G39" i="8" a="1"/>
  <c r="G39" i="8" s="1"/>
  <c r="U39" i="8" a="1"/>
  <c r="U39" i="8" s="1"/>
  <c r="AJ39" i="8" a="1"/>
  <c r="AJ39" i="8" s="1"/>
  <c r="AF39" i="8" a="1"/>
  <c r="AF39" i="8" s="1"/>
  <c r="W39" i="8" a="1"/>
  <c r="W39" i="8" s="1"/>
  <c r="K39" i="8" a="1"/>
  <c r="K39" i="8" s="1"/>
  <c r="AG39" i="8" a="1"/>
  <c r="AG39" i="8" s="1"/>
  <c r="AA39" i="8" a="1"/>
  <c r="AA39" i="8" s="1"/>
  <c r="T39" i="8" a="1"/>
  <c r="T39" i="8" s="1"/>
  <c r="AH39" i="8" a="1"/>
  <c r="AH39" i="8" s="1"/>
  <c r="J39" i="8" a="1"/>
  <c r="J39" i="8" s="1"/>
  <c r="AM39" i="8" a="1"/>
  <c r="AM39" i="8" s="1"/>
  <c r="AC39" i="8" a="1"/>
  <c r="AC39" i="8" s="1"/>
  <c r="AI39" i="8" a="1"/>
  <c r="AI39" i="8" s="1"/>
  <c r="O39" i="8" a="1"/>
  <c r="O39" i="8" s="1"/>
  <c r="E39" i="8" a="1"/>
  <c r="E39" i="8" s="1"/>
  <c r="V39" i="8" a="1"/>
  <c r="V39" i="8" s="1"/>
  <c r="N39" i="8" a="1"/>
  <c r="N39" i="8" s="1"/>
  <c r="AK39" i="8" a="1"/>
  <c r="AK39" i="8" s="1"/>
  <c r="I39" i="8" a="1"/>
  <c r="I39" i="8" s="1"/>
  <c r="AE39" i="8" a="1"/>
  <c r="AE39" i="8" s="1"/>
  <c r="AQ39" i="8" a="1"/>
  <c r="AQ39" i="8" s="1"/>
  <c r="Z39" i="8" a="1"/>
  <c r="Z39" i="8" s="1"/>
  <c r="B39" i="8" a="1"/>
  <c r="B39" i="8" s="1"/>
  <c r="X39" i="8" a="1"/>
  <c r="X39" i="8" s="1"/>
  <c r="Y39" i="8" a="1"/>
  <c r="Y39" i="8" s="1"/>
  <c r="AB39" i="8" a="1"/>
  <c r="AB39" i="8" s="1"/>
  <c r="H39" i="8" a="1"/>
  <c r="H39" i="8" s="1"/>
  <c r="AL39" i="8" a="1"/>
  <c r="AL39" i="8" s="1"/>
  <c r="M39" i="8" a="1"/>
  <c r="M39" i="8" s="1"/>
  <c r="S39" i="8" a="1"/>
  <c r="S39" i="8" s="1"/>
  <c r="Q39" i="8" a="1"/>
  <c r="Q39" i="8" s="1"/>
  <c r="F39" i="8" a="1"/>
  <c r="F39" i="8" s="1"/>
  <c r="AN39" i="8" a="1"/>
  <c r="AN39" i="8" s="1"/>
  <c r="D39" i="8" a="1"/>
  <c r="D39" i="8" s="1"/>
  <c r="P39" i="8" a="1"/>
  <c r="P39" i="8" s="1"/>
  <c r="AD39" i="8" a="1"/>
  <c r="AD39" i="8" s="1"/>
  <c r="C39" i="8" a="1"/>
  <c r="C39" i="8" s="1"/>
  <c r="R39" i="8" a="1"/>
  <c r="R39" i="8" s="1"/>
  <c r="L39" i="8" a="1"/>
  <c r="L39" i="8" s="1"/>
  <c r="AP39" i="8" a="1"/>
  <c r="AP39" i="8" s="1"/>
  <c r="AO39" i="8" a="1"/>
  <c r="AO39" i="8" s="1"/>
  <c r="AR39" i="8" a="1"/>
  <c r="AR39" i="8" s="1"/>
  <c r="AT39" i="8" a="1"/>
  <c r="AT39" i="8" s="1"/>
  <c r="AU39" i="8" a="1"/>
  <c r="AU39" i="8" s="1"/>
  <c r="AS39" i="8" a="1"/>
  <c r="AS39" i="8" s="1"/>
  <c r="AV39" i="8" a="1"/>
  <c r="AV39" i="8" s="1"/>
  <c r="AY39" i="8" a="1"/>
  <c r="AY39" i="8" s="1"/>
  <c r="AZ39" i="8" a="1"/>
  <c r="AZ39" i="8" s="1"/>
  <c r="AW39" i="8" a="1"/>
  <c r="AW39" i="8" s="1"/>
  <c r="AX39" i="8" a="1"/>
  <c r="AX39" i="8" s="1"/>
  <c r="BA39" i="8" a="1"/>
  <c r="BA39" i="8" s="1"/>
  <c r="BB39" i="8" a="1"/>
  <c r="BB39" i="8" s="1"/>
  <c r="BD39" i="8" a="1"/>
  <c r="BD39" i="8" s="1"/>
  <c r="BG39" i="8" a="1"/>
  <c r="BG39" i="8" s="1"/>
  <c r="BC39" i="8" a="1"/>
  <c r="BC39" i="8" s="1"/>
  <c r="BF39" i="8" a="1"/>
  <c r="BF39" i="8" s="1"/>
  <c r="BE39" i="8" a="1"/>
  <c r="BE39" i="8" s="1"/>
  <c r="BH39" i="8" a="1"/>
  <c r="BH39" i="8" s="1"/>
  <c r="BI39" i="8" a="1"/>
  <c r="BI39" i="8" s="1"/>
  <c r="M37" i="8" a="1"/>
  <c r="M37" i="8" s="1"/>
  <c r="J37" i="8" a="1"/>
  <c r="J37" i="8" s="1"/>
  <c r="AE37" i="8" a="1"/>
  <c r="AE37" i="8" s="1"/>
  <c r="G37" i="8" a="1"/>
  <c r="G37" i="8" s="1"/>
  <c r="AB37" i="8" a="1"/>
  <c r="AB37" i="8" s="1"/>
  <c r="L37" i="8" a="1"/>
  <c r="L37" i="8" s="1"/>
  <c r="N37" i="8" a="1"/>
  <c r="N37" i="8" s="1"/>
  <c r="E37" i="8" a="1"/>
  <c r="E37" i="8" s="1"/>
  <c r="Q37" i="8" a="1"/>
  <c r="Q37" i="8" s="1"/>
  <c r="S37" i="8" a="1"/>
  <c r="S37" i="8" s="1"/>
  <c r="AI37" i="8" a="1"/>
  <c r="AI37" i="8" s="1"/>
  <c r="R37" i="8" a="1"/>
  <c r="R37" i="8" s="1"/>
  <c r="P37" i="8" a="1"/>
  <c r="P37" i="8" s="1"/>
  <c r="AC37" i="8" a="1"/>
  <c r="AC37" i="8" s="1"/>
  <c r="U37" i="8" a="1"/>
  <c r="U37" i="8" s="1"/>
  <c r="AG37" i="8" a="1"/>
  <c r="AG37" i="8" s="1"/>
  <c r="T37" i="8" a="1"/>
  <c r="T37" i="8" s="1"/>
  <c r="K37" i="8" a="1"/>
  <c r="K37" i="8" s="1"/>
  <c r="H37" i="8" a="1"/>
  <c r="H37" i="8" s="1"/>
  <c r="Z37" i="8" a="1"/>
  <c r="Z37" i="8" s="1"/>
  <c r="X37" i="8" a="1"/>
  <c r="X37" i="8" s="1"/>
  <c r="I37" i="8" a="1"/>
  <c r="I37" i="8" s="1"/>
  <c r="AM37" i="8" a="1"/>
  <c r="AM37" i="8" s="1"/>
  <c r="W37" i="8" a="1"/>
  <c r="W37" i="8" s="1"/>
  <c r="AA37" i="8" a="1"/>
  <c r="AA37" i="8" s="1"/>
  <c r="AJ37" i="8" a="1"/>
  <c r="AJ37" i="8" s="1"/>
  <c r="D37" i="8" a="1"/>
  <c r="D37" i="8" s="1"/>
  <c r="AH37" i="8" a="1"/>
  <c r="AH37" i="8" s="1"/>
  <c r="Y37" i="8" a="1"/>
  <c r="Y37" i="8" s="1"/>
  <c r="AN37" i="8" a="1"/>
  <c r="AN37" i="8" s="1"/>
  <c r="AF37" i="8" a="1"/>
  <c r="AF37" i="8" s="1"/>
  <c r="V37" i="8" a="1"/>
  <c r="V37" i="8" s="1"/>
  <c r="B37" i="8" a="1"/>
  <c r="B37" i="8" s="1"/>
  <c r="F37" i="8" a="1"/>
  <c r="F37" i="8" s="1"/>
  <c r="AD37" i="8" a="1"/>
  <c r="AD37" i="8" s="1"/>
  <c r="O37" i="8" a="1"/>
  <c r="O37" i="8" s="1"/>
  <c r="AK37" i="8" a="1"/>
  <c r="AK37" i="8" s="1"/>
  <c r="C37" i="8" a="1"/>
  <c r="C37" i="8" s="1"/>
  <c r="AL37" i="8" a="1"/>
  <c r="AL37" i="8" s="1"/>
  <c r="AP37" i="8" a="1"/>
  <c r="AP37" i="8" s="1"/>
  <c r="AQ37" i="8" a="1"/>
  <c r="AQ37" i="8" s="1"/>
  <c r="AO37" i="8" a="1"/>
  <c r="AO37" i="8" s="1"/>
  <c r="AR37" i="8" a="1"/>
  <c r="AR37" i="8" s="1"/>
  <c r="AS37" i="8" a="1"/>
  <c r="AS37" i="8" s="1"/>
  <c r="AT37" i="8" a="1"/>
  <c r="AT37" i="8" s="1"/>
  <c r="AV37" i="8" a="1"/>
  <c r="AV37" i="8" s="1"/>
  <c r="AU37" i="8" a="1"/>
  <c r="AU37" i="8" s="1"/>
  <c r="AW37" i="8" a="1"/>
  <c r="AW37" i="8" s="1"/>
  <c r="AX37" i="8" a="1"/>
  <c r="AX37" i="8" s="1"/>
  <c r="BA37" i="8" a="1"/>
  <c r="BA37" i="8" s="1"/>
  <c r="AY37" i="8" a="1"/>
  <c r="AY37" i="8" s="1"/>
  <c r="AZ37" i="8" a="1"/>
  <c r="AZ37" i="8" s="1"/>
  <c r="BB37" i="8" a="1"/>
  <c r="BB37" i="8" s="1"/>
  <c r="BD37" i="8" a="1"/>
  <c r="BD37" i="8" s="1"/>
  <c r="BC37" i="8" a="1"/>
  <c r="BC37" i="8" s="1"/>
  <c r="BF37" i="8" a="1"/>
  <c r="BF37" i="8" s="1"/>
  <c r="BE37" i="8" a="1"/>
  <c r="BE37" i="8" s="1"/>
  <c r="BI37" i="8" a="1"/>
  <c r="BI37" i="8" s="1"/>
  <c r="BG37" i="8" a="1"/>
  <c r="BG37" i="8" s="1"/>
  <c r="BH37" i="8" a="1"/>
  <c r="BH37" i="8" s="1"/>
  <c r="H36" i="8" a="1"/>
  <c r="H36" i="8" s="1"/>
  <c r="W36" i="8" a="1"/>
  <c r="W36" i="8" s="1"/>
  <c r="AM36" i="8" a="1"/>
  <c r="AM36" i="8" s="1"/>
  <c r="Z36" i="8" a="1"/>
  <c r="Z36" i="8" s="1"/>
  <c r="S36" i="8" a="1"/>
  <c r="S36" i="8" s="1"/>
  <c r="J36" i="8" a="1"/>
  <c r="J36" i="8" s="1"/>
  <c r="AQ36" i="8" a="1"/>
  <c r="AQ36" i="8" s="1"/>
  <c r="AA36" i="8" a="1"/>
  <c r="AA36" i="8" s="1"/>
  <c r="AG36" i="8" a="1"/>
  <c r="AG36" i="8" s="1"/>
  <c r="Y36" i="8" a="1"/>
  <c r="Y36" i="8" s="1"/>
  <c r="AL36" i="8" a="1"/>
  <c r="AL36" i="8" s="1"/>
  <c r="AN36" i="8" a="1"/>
  <c r="AN36" i="8" s="1"/>
  <c r="AI36" i="8" a="1"/>
  <c r="AI36" i="8" s="1"/>
  <c r="R36" i="8" a="1"/>
  <c r="R36" i="8" s="1"/>
  <c r="T36" i="8" a="1"/>
  <c r="T36" i="8" s="1"/>
  <c r="AC36" i="8" a="1"/>
  <c r="AC36" i="8" s="1"/>
  <c r="C36" i="8" a="1"/>
  <c r="C36" i="8" s="1"/>
  <c r="AJ36" i="8" a="1"/>
  <c r="AJ36" i="8" s="1"/>
  <c r="V36" i="8" a="1"/>
  <c r="V36" i="8" s="1"/>
  <c r="B36" i="8" a="1"/>
  <c r="B36" i="8" s="1"/>
  <c r="U36" i="8" a="1"/>
  <c r="U36" i="8" s="1"/>
  <c r="F36" i="8" a="1"/>
  <c r="F36" i="8" s="1"/>
  <c r="M36" i="8" a="1"/>
  <c r="M36" i="8" s="1"/>
  <c r="AO36" i="8" a="1"/>
  <c r="AO36" i="8" s="1"/>
  <c r="G36" i="8" a="1"/>
  <c r="G36" i="8" s="1"/>
  <c r="K36" i="8" a="1"/>
  <c r="K36" i="8" s="1"/>
  <c r="AF36" i="8" a="1"/>
  <c r="AF36" i="8" s="1"/>
  <c r="D36" i="8" a="1"/>
  <c r="D36" i="8" s="1"/>
  <c r="X36" i="8" a="1"/>
  <c r="X36" i="8" s="1"/>
  <c r="E36" i="8" a="1"/>
  <c r="E36" i="8" s="1"/>
  <c r="Q36" i="8" a="1"/>
  <c r="Q36" i="8" s="1"/>
  <c r="AE36" i="8" a="1"/>
  <c r="AE36" i="8" s="1"/>
  <c r="AH36" i="8" a="1"/>
  <c r="AH36" i="8" s="1"/>
  <c r="I36" i="8" a="1"/>
  <c r="I36" i="8" s="1"/>
  <c r="P36" i="8" a="1"/>
  <c r="P36" i="8" s="1"/>
  <c r="AK36" i="8" a="1"/>
  <c r="AK36" i="8" s="1"/>
  <c r="AD36" i="8" a="1"/>
  <c r="AD36" i="8" s="1"/>
  <c r="N36" i="8" a="1"/>
  <c r="N36" i="8" s="1"/>
  <c r="AB36" i="8" a="1"/>
  <c r="AB36" i="8" s="1"/>
  <c r="AP36" i="8" a="1"/>
  <c r="AP36" i="8" s="1"/>
  <c r="L36" i="8" a="1"/>
  <c r="L36" i="8" s="1"/>
  <c r="O36" i="8" a="1"/>
  <c r="O36" i="8" s="1"/>
  <c r="AR36" i="8" a="1"/>
  <c r="AR36" i="8" s="1"/>
  <c r="AS36" i="8" a="1"/>
  <c r="AS36" i="8" s="1"/>
  <c r="AT36" i="8" a="1"/>
  <c r="AT36" i="8" s="1"/>
  <c r="AW36" i="8" a="1"/>
  <c r="AW36" i="8" s="1"/>
  <c r="AU36" i="8" a="1"/>
  <c r="AU36" i="8" s="1"/>
  <c r="AV36" i="8" a="1"/>
  <c r="AV36" i="8" s="1"/>
  <c r="AX36" i="8" a="1"/>
  <c r="AX36" i="8" s="1"/>
  <c r="AY36" i="8" a="1"/>
  <c r="AY36" i="8" s="1"/>
  <c r="AZ36" i="8" a="1"/>
  <c r="AZ36" i="8" s="1"/>
  <c r="BA36" i="8" a="1"/>
  <c r="BA36" i="8" s="1"/>
  <c r="BB36" i="8" a="1"/>
  <c r="BB36" i="8" s="1"/>
  <c r="BC36" i="8" a="1"/>
  <c r="BC36" i="8" s="1"/>
  <c r="BD36" i="8" a="1"/>
  <c r="BD36" i="8" s="1"/>
  <c r="BE36" i="8" a="1"/>
  <c r="BE36" i="8" s="1"/>
  <c r="BG36" i="8" a="1"/>
  <c r="BG36" i="8" s="1"/>
  <c r="BF36" i="8" a="1"/>
  <c r="BF36" i="8" s="1"/>
  <c r="BH36" i="8" a="1"/>
  <c r="BH36" i="8" s="1"/>
  <c r="BI36" i="8" a="1"/>
  <c r="BI36" i="8" s="1"/>
  <c r="F13" i="7"/>
  <c r="G13" i="7"/>
  <c r="G14" i="7" s="1"/>
  <c r="H13" i="7"/>
  <c r="H14" i="7" s="1"/>
  <c r="J13" i="7"/>
  <c r="J14" i="7" s="1"/>
  <c r="K13" i="7"/>
  <c r="K14" i="7" s="1"/>
  <c r="I13" i="7"/>
  <c r="I14" i="7" s="1"/>
  <c r="F17" i="8" a="1"/>
  <c r="F17" i="8" s="1"/>
  <c r="AI17" i="8" a="1"/>
  <c r="AI17" i="8" s="1"/>
  <c r="C17" i="8" a="1"/>
  <c r="C17" i="8" s="1"/>
  <c r="AM17" i="8" a="1"/>
  <c r="AM17" i="8" s="1"/>
  <c r="O17" i="8" a="1"/>
  <c r="O17" i="8" s="1"/>
  <c r="D17" i="8" a="1"/>
  <c r="D17" i="8" s="1"/>
  <c r="AF17" i="8" a="1"/>
  <c r="AF17" i="8" s="1"/>
  <c r="P17" i="8" a="1"/>
  <c r="P17" i="8" s="1"/>
  <c r="Y17" i="8" a="1"/>
  <c r="Y17" i="8" s="1"/>
  <c r="AL17" i="8" a="1"/>
  <c r="AL17" i="8" s="1"/>
  <c r="AN17" i="8" a="1"/>
  <c r="AN17" i="8" s="1"/>
  <c r="Q17" i="8" a="1"/>
  <c r="Q17" i="8" s="1"/>
  <c r="X17" i="8" a="1"/>
  <c r="X17" i="8" s="1"/>
  <c r="E17" i="8" a="1"/>
  <c r="E17" i="8" s="1"/>
  <c r="AA17" i="8" a="1"/>
  <c r="AA17" i="8" s="1"/>
  <c r="R17" i="8" a="1"/>
  <c r="R17" i="8" s="1"/>
  <c r="N17" i="8" a="1"/>
  <c r="N17" i="8" s="1"/>
  <c r="L17" i="8" a="1"/>
  <c r="L17" i="8" s="1"/>
  <c r="B17" i="8" a="1"/>
  <c r="B17" i="8" s="1"/>
  <c r="AH17" i="8" a="1"/>
  <c r="AH17" i="8" s="1"/>
  <c r="AK17" i="8" a="1"/>
  <c r="AK17" i="8" s="1"/>
  <c r="M17" i="8" a="1"/>
  <c r="M17" i="8" s="1"/>
  <c r="AD17" i="8" a="1"/>
  <c r="AD17" i="8" s="1"/>
  <c r="U17" i="8" a="1"/>
  <c r="U17" i="8" s="1"/>
  <c r="T17" i="8" a="1"/>
  <c r="T17" i="8" s="1"/>
  <c r="V17" i="8" a="1"/>
  <c r="V17" i="8" s="1"/>
  <c r="K17" i="8" a="1"/>
  <c r="K17" i="8" s="1"/>
  <c r="AJ17" i="8" a="1"/>
  <c r="AJ17" i="8" s="1"/>
  <c r="H17" i="8" a="1"/>
  <c r="H17" i="8" s="1"/>
  <c r="J17" i="8" a="1"/>
  <c r="J17" i="8" s="1"/>
  <c r="G17" i="8" a="1"/>
  <c r="G17" i="8" s="1"/>
  <c r="Z17" i="8" a="1"/>
  <c r="Z17" i="8" s="1"/>
  <c r="AB17" i="8" a="1"/>
  <c r="AB17" i="8" s="1"/>
  <c r="I17" i="8" a="1"/>
  <c r="I17" i="8" s="1"/>
  <c r="W17" i="8" a="1"/>
  <c r="W17" i="8" s="1"/>
  <c r="AG17" i="8" a="1"/>
  <c r="AG17" i="8" s="1"/>
  <c r="AO17" i="8" a="1"/>
  <c r="AO17" i="8" s="1"/>
  <c r="S17" i="8" a="1"/>
  <c r="S17" i="8" s="1"/>
  <c r="AE17" i="8" a="1"/>
  <c r="AE17" i="8" s="1"/>
  <c r="AC17" i="8" a="1"/>
  <c r="AC17" i="8" s="1"/>
  <c r="AS17" i="8" a="1"/>
  <c r="AS17" i="8" s="1"/>
  <c r="AP17" i="8" a="1"/>
  <c r="AP17" i="8" s="1"/>
  <c r="AR17" i="8" a="1"/>
  <c r="AR17" i="8" s="1"/>
  <c r="AX17" i="8" a="1"/>
  <c r="AX17" i="8" s="1"/>
  <c r="AU17" i="8" a="1"/>
  <c r="AU17" i="8" s="1"/>
  <c r="AW17" i="8" a="1"/>
  <c r="AW17" i="8" s="1"/>
  <c r="AV17" i="8" a="1"/>
  <c r="AV17" i="8" s="1"/>
  <c r="AT17" i="8" a="1"/>
  <c r="AT17" i="8" s="1"/>
  <c r="AQ17" i="8" a="1"/>
  <c r="AQ17" i="8" s="1"/>
  <c r="AY17" i="8" a="1"/>
  <c r="AY17" i="8" s="1"/>
  <c r="BB17" i="8" a="1"/>
  <c r="BB17" i="8" s="1"/>
  <c r="AZ17" i="8" a="1"/>
  <c r="AZ17" i="8" s="1"/>
  <c r="BA17" i="8" a="1"/>
  <c r="BA17" i="8" s="1"/>
  <c r="BC17" i="8" a="1"/>
  <c r="BC17" i="8" s="1"/>
  <c r="BD17" i="8" a="1"/>
  <c r="BD17" i="8" s="1"/>
  <c r="BG17" i="8" a="1"/>
  <c r="BG17" i="8" s="1"/>
  <c r="BE17" i="8" a="1"/>
  <c r="BE17" i="8" s="1"/>
  <c r="BF17" i="8" a="1"/>
  <c r="BF17" i="8" s="1"/>
  <c r="BI17" i="8" a="1"/>
  <c r="BI17" i="8" s="1"/>
  <c r="BH17" i="8" a="1"/>
  <c r="BH17" i="8" s="1"/>
  <c r="BL57" i="6"/>
  <c r="AL8" i="8" a="1"/>
  <c r="AL8" i="8" s="1"/>
  <c r="AN8" i="8" a="1"/>
  <c r="AN8" i="8" s="1"/>
  <c r="AO8" i="8" a="1"/>
  <c r="AO8" i="8" s="1"/>
  <c r="AM8" i="8" a="1"/>
  <c r="AM8" i="8" s="1"/>
  <c r="AI8" i="8" a="1"/>
  <c r="AI8" i="8" s="1"/>
  <c r="AQ8" i="8" a="1"/>
  <c r="AQ8" i="8" s="1"/>
  <c r="R8" i="8" a="1"/>
  <c r="R8" i="8" s="1"/>
  <c r="AA8" i="8" a="1"/>
  <c r="AA8" i="8" s="1"/>
  <c r="AP8" i="8" a="1"/>
  <c r="AP8" i="8" s="1"/>
  <c r="W8" i="8" a="1"/>
  <c r="W8" i="8" s="1"/>
  <c r="Q8" i="8" a="1"/>
  <c r="Q8" i="8" s="1"/>
  <c r="S8" i="8" a="1"/>
  <c r="S8" i="8" s="1"/>
  <c r="AC8" i="8" a="1"/>
  <c r="AC8" i="8" s="1"/>
  <c r="AR8" i="8" a="1"/>
  <c r="AR8" i="8" s="1"/>
  <c r="AF8" i="8" a="1"/>
  <c r="AF8" i="8" s="1"/>
  <c r="AB8" i="8" a="1"/>
  <c r="AB8" i="8" s="1"/>
  <c r="L8" i="8" a="1"/>
  <c r="L8" i="8" s="1"/>
  <c r="AG8" i="8" a="1"/>
  <c r="AG8" i="8" s="1"/>
  <c r="F8" i="8" a="1"/>
  <c r="F8" i="8" s="1"/>
  <c r="AK8" i="8" a="1"/>
  <c r="AK8" i="8" s="1"/>
  <c r="T8" i="8" a="1"/>
  <c r="T8" i="8" s="1"/>
  <c r="AU8" i="8" a="1"/>
  <c r="AU8" i="8" s="1"/>
  <c r="AH8" i="8" a="1"/>
  <c r="AH8" i="8" s="1"/>
  <c r="G8" i="8" a="1"/>
  <c r="G8" i="8" s="1"/>
  <c r="I8" i="8" a="1"/>
  <c r="I8" i="8" s="1"/>
  <c r="J8" i="8" a="1"/>
  <c r="J8" i="8" s="1"/>
  <c r="K8" i="8" a="1"/>
  <c r="K8" i="8" s="1"/>
  <c r="U8" i="8" a="1"/>
  <c r="U8" i="8" s="1"/>
  <c r="B8" i="8" a="1"/>
  <c r="B8" i="8" s="1"/>
  <c r="AD8" i="8" a="1"/>
  <c r="AD8" i="8" s="1"/>
  <c r="Y8" i="8" a="1"/>
  <c r="Y8" i="8" s="1"/>
  <c r="AE8" i="8" a="1"/>
  <c r="AE8" i="8" s="1"/>
  <c r="D8" i="8" a="1"/>
  <c r="D8" i="8" s="1"/>
  <c r="O8" i="8" a="1"/>
  <c r="O8" i="8" s="1"/>
  <c r="X8" i="8" a="1"/>
  <c r="X8" i="8" s="1"/>
  <c r="M8" i="8" a="1"/>
  <c r="M8" i="8" s="1"/>
  <c r="E8" i="8" a="1"/>
  <c r="E8" i="8" s="1"/>
  <c r="AS8" i="8" a="1"/>
  <c r="AS8" i="8" s="1"/>
  <c r="C8" i="8" a="1"/>
  <c r="C8" i="8" s="1"/>
  <c r="P8" i="8" a="1"/>
  <c r="P8" i="8" s="1"/>
  <c r="H8" i="8" a="1"/>
  <c r="H8" i="8" s="1"/>
  <c r="N8" i="8" a="1"/>
  <c r="N8" i="8" s="1"/>
  <c r="AJ8" i="8" a="1"/>
  <c r="AJ8" i="8" s="1"/>
  <c r="Z8" i="8" a="1"/>
  <c r="Z8" i="8" s="1"/>
  <c r="V8" i="8" a="1"/>
  <c r="V8" i="8" s="1"/>
  <c r="AV8" i="8" a="1"/>
  <c r="AV8" i="8" s="1"/>
  <c r="AT8" i="8" a="1"/>
  <c r="AT8" i="8" s="1"/>
  <c r="AW8" i="8" a="1"/>
  <c r="AW8" i="8" s="1"/>
  <c r="AZ8" i="8" a="1"/>
  <c r="AZ8" i="8" s="1"/>
  <c r="AX8" i="8" a="1"/>
  <c r="AX8" i="8" s="1"/>
  <c r="AY8" i="8" a="1"/>
  <c r="AY8" i="8" s="1"/>
  <c r="BD8" i="8" a="1"/>
  <c r="BD8" i="8" s="1"/>
  <c r="BA8" i="8" a="1"/>
  <c r="BA8" i="8" s="1"/>
  <c r="BC8" i="8" a="1"/>
  <c r="BC8" i="8" s="1"/>
  <c r="BB8" i="8" a="1"/>
  <c r="BB8" i="8" s="1"/>
  <c r="BF8" i="8" a="1"/>
  <c r="BF8" i="8" s="1"/>
  <c r="BE8" i="8" a="1"/>
  <c r="BE8" i="8" s="1"/>
  <c r="BH8" i="8" a="1"/>
  <c r="BH8" i="8" s="1"/>
  <c r="BG8" i="8" a="1"/>
  <c r="BG8" i="8" s="1"/>
  <c r="BI8" i="8" a="1"/>
  <c r="BI8" i="8" s="1"/>
  <c r="BK44" i="6"/>
  <c r="BK88" i="6"/>
  <c r="BK87" i="6" s="1"/>
  <c r="BK66" i="6" s="1"/>
  <c r="BJ179" i="6"/>
  <c r="AF45" i="8" a="1"/>
  <c r="AF45" i="8" s="1"/>
  <c r="G45" i="8" a="1"/>
  <c r="G45" i="8" s="1"/>
  <c r="AH45" i="8" a="1"/>
  <c r="AH45" i="8" s="1"/>
  <c r="O45" i="8" a="1"/>
  <c r="O45" i="8" s="1"/>
  <c r="I45" i="8" a="1"/>
  <c r="I45" i="8" s="1"/>
  <c r="L45" i="8" a="1"/>
  <c r="L45" i="8" s="1"/>
  <c r="P45" i="8" a="1"/>
  <c r="P45" i="8" s="1"/>
  <c r="X45" i="8" a="1"/>
  <c r="X45" i="8" s="1"/>
  <c r="Z45" i="8" a="1"/>
  <c r="Z45" i="8" s="1"/>
  <c r="AA45" i="8" a="1"/>
  <c r="AA45" i="8" s="1"/>
  <c r="V45" i="8" a="1"/>
  <c r="V45" i="8" s="1"/>
  <c r="S45" i="8" a="1"/>
  <c r="S45" i="8" s="1"/>
  <c r="H45" i="8" a="1"/>
  <c r="H45" i="8" s="1"/>
  <c r="AE45" i="8" a="1"/>
  <c r="AE45" i="8" s="1"/>
  <c r="AK45" i="8" a="1"/>
  <c r="AK45" i="8" s="1"/>
  <c r="AI45" i="8" a="1"/>
  <c r="AI45" i="8" s="1"/>
  <c r="Q45" i="8" a="1"/>
  <c r="Q45" i="8" s="1"/>
  <c r="AM45" i="8" a="1"/>
  <c r="AM45" i="8" s="1"/>
  <c r="Y45" i="8" a="1"/>
  <c r="Y45" i="8" s="1"/>
  <c r="E45" i="8" a="1"/>
  <c r="E45" i="8" s="1"/>
  <c r="AP45" i="8" a="1"/>
  <c r="AP45" i="8" s="1"/>
  <c r="AJ45" i="8" a="1"/>
  <c r="AJ45" i="8" s="1"/>
  <c r="W45" i="8" a="1"/>
  <c r="W45" i="8" s="1"/>
  <c r="D45" i="8" a="1"/>
  <c r="D45" i="8" s="1"/>
  <c r="F45" i="8" a="1"/>
  <c r="F45" i="8" s="1"/>
  <c r="AD45" i="8" a="1"/>
  <c r="AD45" i="8" s="1"/>
  <c r="AL45" i="8" a="1"/>
  <c r="AL45" i="8" s="1"/>
  <c r="K45" i="8" a="1"/>
  <c r="K45" i="8" s="1"/>
  <c r="AN45" i="8" a="1"/>
  <c r="AN45" i="8" s="1"/>
  <c r="R45" i="8" a="1"/>
  <c r="R45" i="8" s="1"/>
  <c r="U45" i="8" a="1"/>
  <c r="U45" i="8" s="1"/>
  <c r="J45" i="8" a="1"/>
  <c r="J45" i="8" s="1"/>
  <c r="N45" i="8" a="1"/>
  <c r="N45" i="8" s="1"/>
  <c r="AC45" i="8" a="1"/>
  <c r="AC45" i="8" s="1"/>
  <c r="C45" i="8" a="1"/>
  <c r="C45" i="8" s="1"/>
  <c r="AO45" i="8" a="1"/>
  <c r="AO45" i="8" s="1"/>
  <c r="B45" i="8" a="1"/>
  <c r="B45" i="8" s="1"/>
  <c r="AG45" i="8" a="1"/>
  <c r="AG45" i="8" s="1"/>
  <c r="AB45" i="8" a="1"/>
  <c r="AB45" i="8" s="1"/>
  <c r="M45" i="8" a="1"/>
  <c r="M45" i="8" s="1"/>
  <c r="T45" i="8" a="1"/>
  <c r="T45" i="8" s="1"/>
  <c r="AR45" i="8" a="1"/>
  <c r="AR45" i="8" s="1"/>
  <c r="AQ45" i="8" a="1"/>
  <c r="AQ45" i="8" s="1"/>
  <c r="AT45" i="8" a="1"/>
  <c r="AT45" i="8" s="1"/>
  <c r="AS45" i="8" a="1"/>
  <c r="AS45" i="8" s="1"/>
  <c r="AU45" i="8" a="1"/>
  <c r="AU45" i="8" s="1"/>
  <c r="AV45" i="8" a="1"/>
  <c r="AV45" i="8" s="1"/>
  <c r="AW45" i="8" a="1"/>
  <c r="AW45" i="8" s="1"/>
  <c r="AX45" i="8" a="1"/>
  <c r="AX45" i="8" s="1"/>
  <c r="AY45" i="8" a="1"/>
  <c r="AY45" i="8" s="1"/>
  <c r="AZ45" i="8" a="1"/>
  <c r="AZ45" i="8" s="1"/>
  <c r="BB45" i="8" a="1"/>
  <c r="BB45" i="8" s="1"/>
  <c r="BA45" i="8" a="1"/>
  <c r="BA45" i="8" s="1"/>
  <c r="BD45" i="8" a="1"/>
  <c r="BD45" i="8" s="1"/>
  <c r="BC45" i="8" a="1"/>
  <c r="BC45" i="8" s="1"/>
  <c r="BG45" i="8" a="1"/>
  <c r="BG45" i="8" s="1"/>
  <c r="BE45" i="8" a="1"/>
  <c r="BE45" i="8" s="1"/>
  <c r="BF45" i="8" a="1"/>
  <c r="BF45" i="8" s="1"/>
  <c r="BI45" i="8" a="1"/>
  <c r="BI45" i="8" s="1"/>
  <c r="BH45" i="8" a="1"/>
  <c r="BH45" i="8" s="1"/>
  <c r="N40" i="8" a="1"/>
  <c r="N40" i="8" s="1"/>
  <c r="AR40" i="8" a="1"/>
  <c r="AR40" i="8" s="1"/>
  <c r="M40" i="8" a="1"/>
  <c r="M40" i="8" s="1"/>
  <c r="B40" i="8" a="1"/>
  <c r="B40" i="8" s="1"/>
  <c r="V40" i="8" a="1"/>
  <c r="V40" i="8" s="1"/>
  <c r="AD40" i="8" a="1"/>
  <c r="AD40" i="8" s="1"/>
  <c r="F40" i="8" a="1"/>
  <c r="F40" i="8" s="1"/>
  <c r="T40" i="8" a="1"/>
  <c r="T40" i="8" s="1"/>
  <c r="I40" i="8" a="1"/>
  <c r="I40" i="8" s="1"/>
  <c r="AJ40" i="8" a="1"/>
  <c r="AJ40" i="8" s="1"/>
  <c r="R40" i="8" a="1"/>
  <c r="R40" i="8" s="1"/>
  <c r="S40" i="8" a="1"/>
  <c r="S40" i="8" s="1"/>
  <c r="D40" i="8" a="1"/>
  <c r="D40" i="8" s="1"/>
  <c r="G40" i="8" a="1"/>
  <c r="G40" i="8" s="1"/>
  <c r="AE40" i="8" a="1"/>
  <c r="AE40" i="8" s="1"/>
  <c r="L40" i="8" a="1"/>
  <c r="L40" i="8" s="1"/>
  <c r="AF40" i="8" a="1"/>
  <c r="AF40" i="8" s="1"/>
  <c r="Q40" i="8" a="1"/>
  <c r="Q40" i="8" s="1"/>
  <c r="Y40" i="8" a="1"/>
  <c r="Y40" i="8" s="1"/>
  <c r="AK40" i="8" a="1"/>
  <c r="AK40" i="8" s="1"/>
  <c r="AM40" i="8" a="1"/>
  <c r="AM40" i="8" s="1"/>
  <c r="AB40" i="8" a="1"/>
  <c r="AB40" i="8" s="1"/>
  <c r="E40" i="8" a="1"/>
  <c r="E40" i="8" s="1"/>
  <c r="X40" i="8" a="1"/>
  <c r="X40" i="8" s="1"/>
  <c r="AA40" i="8" a="1"/>
  <c r="AA40" i="8" s="1"/>
  <c r="C40" i="8" a="1"/>
  <c r="C40" i="8" s="1"/>
  <c r="W40" i="8" a="1"/>
  <c r="W40" i="8" s="1"/>
  <c r="U40" i="8" a="1"/>
  <c r="U40" i="8" s="1"/>
  <c r="AI40" i="8" a="1"/>
  <c r="AI40" i="8" s="1"/>
  <c r="AG40" i="8" a="1"/>
  <c r="AG40" i="8" s="1"/>
  <c r="P40" i="8" a="1"/>
  <c r="P40" i="8" s="1"/>
  <c r="AL40" i="8" a="1"/>
  <c r="AL40" i="8" s="1"/>
  <c r="AC40" i="8" a="1"/>
  <c r="AC40" i="8" s="1"/>
  <c r="O40" i="8" a="1"/>
  <c r="O40" i="8" s="1"/>
  <c r="AH40" i="8" a="1"/>
  <c r="AH40" i="8" s="1"/>
  <c r="AQ40" i="8" a="1"/>
  <c r="AQ40" i="8" s="1"/>
  <c r="AN40" i="8" a="1"/>
  <c r="AN40" i="8" s="1"/>
  <c r="AP40" i="8" a="1"/>
  <c r="AP40" i="8" s="1"/>
  <c r="Z40" i="8" a="1"/>
  <c r="Z40" i="8" s="1"/>
  <c r="K40" i="8" a="1"/>
  <c r="K40" i="8" s="1"/>
  <c r="H40" i="8" a="1"/>
  <c r="H40" i="8" s="1"/>
  <c r="J40" i="8" a="1"/>
  <c r="J40" i="8" s="1"/>
  <c r="AO40" i="8" a="1"/>
  <c r="AO40" i="8" s="1"/>
  <c r="AS40" i="8" a="1"/>
  <c r="AS40" i="8" s="1"/>
  <c r="AT40" i="8" a="1"/>
  <c r="AT40" i="8" s="1"/>
  <c r="AV40" i="8" a="1"/>
  <c r="AV40" i="8" s="1"/>
  <c r="AU40" i="8" a="1"/>
  <c r="AU40" i="8" s="1"/>
  <c r="AW40" i="8" a="1"/>
  <c r="AW40" i="8" s="1"/>
  <c r="AY40" i="8" a="1"/>
  <c r="AY40" i="8" s="1"/>
  <c r="AX40" i="8" a="1"/>
  <c r="AX40" i="8" s="1"/>
  <c r="BA40" i="8" a="1"/>
  <c r="BA40" i="8" s="1"/>
  <c r="BC40" i="8" a="1"/>
  <c r="BC40" i="8" s="1"/>
  <c r="AZ40" i="8" a="1"/>
  <c r="AZ40" i="8" s="1"/>
  <c r="BE40" i="8" a="1"/>
  <c r="BE40" i="8" s="1"/>
  <c r="BG40" i="8" a="1"/>
  <c r="BG40" i="8" s="1"/>
  <c r="BB40" i="8" a="1"/>
  <c r="BB40" i="8" s="1"/>
  <c r="BD40" i="8" a="1"/>
  <c r="BD40" i="8" s="1"/>
  <c r="BI40" i="8" a="1"/>
  <c r="BI40" i="8" s="1"/>
  <c r="BF40" i="8" a="1"/>
  <c r="BF40" i="8" s="1"/>
  <c r="BH40" i="8" a="1"/>
  <c r="BH40" i="8" s="1"/>
  <c r="BJ181" i="6"/>
  <c r="BL42" i="6"/>
  <c r="BL45" i="6" s="1"/>
  <c r="C35" i="8" a="1"/>
  <c r="C35" i="8" s="1"/>
  <c r="D35" i="8" a="1"/>
  <c r="D35" i="8" s="1"/>
  <c r="AF35" i="8" a="1"/>
  <c r="AF35" i="8" s="1"/>
  <c r="AK35" i="8" a="1"/>
  <c r="AK35" i="8" s="1"/>
  <c r="W35" i="8" a="1"/>
  <c r="W35" i="8" s="1"/>
  <c r="AD35" i="8" a="1"/>
  <c r="AD35" i="8" s="1"/>
  <c r="X35" i="8" a="1"/>
  <c r="X35" i="8" s="1"/>
  <c r="K35" i="8" a="1"/>
  <c r="K35" i="8" s="1"/>
  <c r="I35" i="8" a="1"/>
  <c r="I35" i="8" s="1"/>
  <c r="E35" i="8" a="1"/>
  <c r="E35" i="8" s="1"/>
  <c r="AA35" i="8" a="1"/>
  <c r="AA35" i="8" s="1"/>
  <c r="R35" i="8" a="1"/>
  <c r="R35" i="8" s="1"/>
  <c r="AL35" i="8" a="1"/>
  <c r="AL35" i="8" s="1"/>
  <c r="T35" i="8" a="1"/>
  <c r="T35" i="8" s="1"/>
  <c r="AI35" i="8" a="1"/>
  <c r="AI35" i="8" s="1"/>
  <c r="B35" i="8" a="1"/>
  <c r="B35" i="8" s="1"/>
  <c r="AM35" i="8" a="1"/>
  <c r="AM35" i="8" s="1"/>
  <c r="V35" i="8" a="1"/>
  <c r="V35" i="8" s="1"/>
  <c r="Q35" i="8" a="1"/>
  <c r="Q35" i="8" s="1"/>
  <c r="G35" i="8" a="1"/>
  <c r="G35" i="8" s="1"/>
  <c r="AJ35" i="8" a="1"/>
  <c r="AJ35" i="8" s="1"/>
  <c r="N35" i="8" a="1"/>
  <c r="N35" i="8" s="1"/>
  <c r="AN35" i="8" a="1"/>
  <c r="AN35" i="8" s="1"/>
  <c r="AE35" i="8" a="1"/>
  <c r="AE35" i="8" s="1"/>
  <c r="P35" i="8" a="1"/>
  <c r="P35" i="8" s="1"/>
  <c r="S35" i="8" a="1"/>
  <c r="S35" i="8" s="1"/>
  <c r="F35" i="8" a="1"/>
  <c r="F35" i="8" s="1"/>
  <c r="Z35" i="8" a="1"/>
  <c r="Z35" i="8" s="1"/>
  <c r="U35" i="8" a="1"/>
  <c r="U35" i="8" s="1"/>
  <c r="L35" i="8" a="1"/>
  <c r="L35" i="8" s="1"/>
  <c r="AH35" i="8" a="1"/>
  <c r="AH35" i="8" s="1"/>
  <c r="AC35" i="8" a="1"/>
  <c r="AC35" i="8" s="1"/>
  <c r="M35" i="8" a="1"/>
  <c r="M35" i="8" s="1"/>
  <c r="Y35" i="8" a="1"/>
  <c r="Y35" i="8" s="1"/>
  <c r="AQ35" i="8" a="1"/>
  <c r="AQ35" i="8" s="1"/>
  <c r="O35" i="8" a="1"/>
  <c r="O35" i="8" s="1"/>
  <c r="AO35" i="8" a="1"/>
  <c r="AO35" i="8" s="1"/>
  <c r="AR35" i="8" a="1"/>
  <c r="AR35" i="8" s="1"/>
  <c r="H35" i="8" a="1"/>
  <c r="H35" i="8" s="1"/>
  <c r="J35" i="8" a="1"/>
  <c r="J35" i="8" s="1"/>
  <c r="AB35" i="8" a="1"/>
  <c r="AB35" i="8" s="1"/>
  <c r="AG35" i="8" a="1"/>
  <c r="AG35" i="8" s="1"/>
  <c r="AP35" i="8" a="1"/>
  <c r="AP35" i="8" s="1"/>
  <c r="AU35" i="8" a="1"/>
  <c r="AU35" i="8" s="1"/>
  <c r="AT35" i="8" a="1"/>
  <c r="AT35" i="8" s="1"/>
  <c r="AV35" i="8" a="1"/>
  <c r="AV35" i="8" s="1"/>
  <c r="AS35" i="8" a="1"/>
  <c r="AS35" i="8" s="1"/>
  <c r="AY35" i="8" a="1"/>
  <c r="AY35" i="8" s="1"/>
  <c r="AW35" i="8" a="1"/>
  <c r="AW35" i="8" s="1"/>
  <c r="AZ35" i="8" a="1"/>
  <c r="AZ35" i="8" s="1"/>
  <c r="AX35" i="8" a="1"/>
  <c r="AX35" i="8" s="1"/>
  <c r="BA35" i="8" a="1"/>
  <c r="BA35" i="8" s="1"/>
  <c r="BB35" i="8" a="1"/>
  <c r="BB35" i="8" s="1"/>
  <c r="BC35" i="8" a="1"/>
  <c r="BC35" i="8" s="1"/>
  <c r="BF35" i="8" a="1"/>
  <c r="BF35" i="8" s="1"/>
  <c r="BD35" i="8" a="1"/>
  <c r="BD35" i="8" s="1"/>
  <c r="BE35" i="8" a="1"/>
  <c r="BE35" i="8" s="1"/>
  <c r="BG35" i="8" a="1"/>
  <c r="BG35" i="8" s="1"/>
  <c r="BH35" i="8" a="1"/>
  <c r="BH35" i="8" s="1"/>
  <c r="BI35" i="8" a="1"/>
  <c r="BI35" i="8" s="1"/>
  <c r="AL30" i="8" a="1"/>
  <c r="AL30" i="8" s="1"/>
  <c r="AM30" i="8" a="1"/>
  <c r="AM30" i="8" s="1"/>
  <c r="AI30" i="8" a="1"/>
  <c r="AI30" i="8" s="1"/>
  <c r="AN30" i="8" a="1"/>
  <c r="AN30" i="8" s="1"/>
  <c r="AB30" i="8" a="1"/>
  <c r="AB30" i="8" s="1"/>
  <c r="AJ30" i="8" a="1"/>
  <c r="AJ30" i="8" s="1"/>
  <c r="AD30" i="8" a="1"/>
  <c r="AD30" i="8" s="1"/>
  <c r="X30" i="8" a="1"/>
  <c r="X30" i="8" s="1"/>
  <c r="C30" i="8" a="1"/>
  <c r="C30" i="8" s="1"/>
  <c r="AH30" i="8" a="1"/>
  <c r="AH30" i="8" s="1"/>
  <c r="E30" i="8" a="1"/>
  <c r="E30" i="8" s="1"/>
  <c r="T30" i="8" a="1"/>
  <c r="T30" i="8" s="1"/>
  <c r="B30" i="8" a="1"/>
  <c r="B30" i="8" s="1"/>
  <c r="Z30" i="8" a="1"/>
  <c r="Z30" i="8" s="1"/>
  <c r="J30" i="8" a="1"/>
  <c r="J30" i="8" s="1"/>
  <c r="AO30" i="8" a="1"/>
  <c r="AO30" i="8" s="1"/>
  <c r="L30" i="8" a="1"/>
  <c r="L30" i="8" s="1"/>
  <c r="V30" i="8" a="1"/>
  <c r="V30" i="8" s="1"/>
  <c r="W30" i="8" a="1"/>
  <c r="W30" i="8" s="1"/>
  <c r="AP30" i="8" a="1"/>
  <c r="AP30" i="8" s="1"/>
  <c r="U30" i="8" a="1"/>
  <c r="U30" i="8" s="1"/>
  <c r="H30" i="8" a="1"/>
  <c r="H30" i="8" s="1"/>
  <c r="R30" i="8" a="1"/>
  <c r="R30" i="8" s="1"/>
  <c r="K30" i="8" a="1"/>
  <c r="K30" i="8" s="1"/>
  <c r="AC30" i="8" a="1"/>
  <c r="AC30" i="8" s="1"/>
  <c r="O30" i="8" a="1"/>
  <c r="O30" i="8" s="1"/>
  <c r="N30" i="8" a="1"/>
  <c r="N30" i="8" s="1"/>
  <c r="Y30" i="8" a="1"/>
  <c r="Y30" i="8" s="1"/>
  <c r="I30" i="8" a="1"/>
  <c r="I30" i="8" s="1"/>
  <c r="AF30" i="8" a="1"/>
  <c r="AF30" i="8" s="1"/>
  <c r="P30" i="8" a="1"/>
  <c r="P30" i="8" s="1"/>
  <c r="AK30" i="8" a="1"/>
  <c r="AK30" i="8" s="1"/>
  <c r="AE30" i="8" a="1"/>
  <c r="AE30" i="8" s="1"/>
  <c r="M30" i="8" a="1"/>
  <c r="M30" i="8" s="1"/>
  <c r="AQ30" i="8" a="1"/>
  <c r="AQ30" i="8" s="1"/>
  <c r="G30" i="8" a="1"/>
  <c r="G30" i="8" s="1"/>
  <c r="F30" i="8" a="1"/>
  <c r="F30" i="8" s="1"/>
  <c r="S30" i="8" a="1"/>
  <c r="S30" i="8" s="1"/>
  <c r="Q30" i="8" a="1"/>
  <c r="Q30" i="8" s="1"/>
  <c r="D30" i="8" a="1"/>
  <c r="D30" i="8" s="1"/>
  <c r="AR30" i="8" a="1"/>
  <c r="AR30" i="8" s="1"/>
  <c r="AG30" i="8" a="1"/>
  <c r="AG30" i="8" s="1"/>
  <c r="AA30" i="8" a="1"/>
  <c r="AA30" i="8" s="1"/>
  <c r="AU30" i="8" a="1"/>
  <c r="AU30" i="8" s="1"/>
  <c r="AS30" i="8" a="1"/>
  <c r="AS30" i="8" s="1"/>
  <c r="AY30" i="8" a="1"/>
  <c r="AY30" i="8" s="1"/>
  <c r="AT30" i="8" a="1"/>
  <c r="AT30" i="8" s="1"/>
  <c r="AW30" i="8" a="1"/>
  <c r="AW30" i="8" s="1"/>
  <c r="AV30" i="8" a="1"/>
  <c r="AV30" i="8" s="1"/>
  <c r="AX30" i="8" a="1"/>
  <c r="AX30" i="8" s="1"/>
  <c r="AZ30" i="8" a="1"/>
  <c r="AZ30" i="8" s="1"/>
  <c r="BB30" i="8" a="1"/>
  <c r="BB30" i="8" s="1"/>
  <c r="BC30" i="8" a="1"/>
  <c r="BC30" i="8" s="1"/>
  <c r="BA30" i="8" a="1"/>
  <c r="BA30" i="8" s="1"/>
  <c r="BD30" i="8" a="1"/>
  <c r="BD30" i="8" s="1"/>
  <c r="BE30" i="8" a="1"/>
  <c r="BE30" i="8" s="1"/>
  <c r="BI30" i="8" a="1"/>
  <c r="BI30" i="8" s="1"/>
  <c r="BG30" i="8" a="1"/>
  <c r="BG30" i="8" s="1"/>
  <c r="BF30" i="8" a="1"/>
  <c r="BF30" i="8" s="1"/>
  <c r="BH30" i="8" a="1"/>
  <c r="BH30" i="8" s="1"/>
  <c r="BL70" i="6"/>
  <c r="BL55" i="6"/>
  <c r="AL12" i="8" a="1"/>
  <c r="AL12" i="8" s="1"/>
  <c r="AM12" i="8" a="1"/>
  <c r="AM12" i="8" s="1"/>
  <c r="AB12" i="8" a="1"/>
  <c r="AB12" i="8" s="1"/>
  <c r="AN12" i="8" a="1"/>
  <c r="AN12" i="8" s="1"/>
  <c r="L12" i="8" a="1"/>
  <c r="L12" i="8" s="1"/>
  <c r="D12" i="8" a="1"/>
  <c r="D12" i="8" s="1"/>
  <c r="I12" i="8" a="1"/>
  <c r="I12" i="8" s="1"/>
  <c r="AI12" i="8" a="1"/>
  <c r="AI12" i="8" s="1"/>
  <c r="AE12" i="8" a="1"/>
  <c r="AE12" i="8" s="1"/>
  <c r="AJ12" i="8" a="1"/>
  <c r="AJ12" i="8" s="1"/>
  <c r="AG12" i="8" a="1"/>
  <c r="AG12" i="8" s="1"/>
  <c r="AH12" i="8" a="1"/>
  <c r="AH12" i="8" s="1"/>
  <c r="M12" i="8" a="1"/>
  <c r="M12" i="8" s="1"/>
  <c r="K12" i="8" a="1"/>
  <c r="K12" i="8" s="1"/>
  <c r="T12" i="8" a="1"/>
  <c r="T12" i="8" s="1"/>
  <c r="AK12" i="8" a="1"/>
  <c r="AK12" i="8" s="1"/>
  <c r="Y12" i="8" a="1"/>
  <c r="Y12" i="8" s="1"/>
  <c r="V12" i="8" a="1"/>
  <c r="V12" i="8" s="1"/>
  <c r="Q12" i="8" a="1"/>
  <c r="Q12" i="8" s="1"/>
  <c r="H12" i="8" a="1"/>
  <c r="H12" i="8" s="1"/>
  <c r="AA12" i="8" a="1"/>
  <c r="AA12" i="8" s="1"/>
  <c r="J12" i="8" a="1"/>
  <c r="J12" i="8" s="1"/>
  <c r="R12" i="8" a="1"/>
  <c r="R12" i="8" s="1"/>
  <c r="AD12" i="8" a="1"/>
  <c r="AD12" i="8" s="1"/>
  <c r="P12" i="8" a="1"/>
  <c r="P12" i="8" s="1"/>
  <c r="N12" i="8" a="1"/>
  <c r="N12" i="8" s="1"/>
  <c r="AF12" i="8" a="1"/>
  <c r="AF12" i="8" s="1"/>
  <c r="X12" i="8" a="1"/>
  <c r="X12" i="8" s="1"/>
  <c r="C12" i="8" a="1"/>
  <c r="C12" i="8" s="1"/>
  <c r="W12" i="8" a="1"/>
  <c r="W12" i="8" s="1"/>
  <c r="O12" i="8" a="1"/>
  <c r="O12" i="8" s="1"/>
  <c r="U12" i="8" a="1"/>
  <c r="U12" i="8" s="1"/>
  <c r="AO12" i="8" a="1"/>
  <c r="AO12" i="8" s="1"/>
  <c r="F12" i="8" a="1"/>
  <c r="F12" i="8" s="1"/>
  <c r="B12" i="8" a="1"/>
  <c r="B12" i="8" s="1"/>
  <c r="Z12" i="8" a="1"/>
  <c r="Z12" i="8" s="1"/>
  <c r="AC12" i="8" a="1"/>
  <c r="AC12" i="8" s="1"/>
  <c r="E12" i="8" a="1"/>
  <c r="E12" i="8" s="1"/>
  <c r="S12" i="8" a="1"/>
  <c r="S12" i="8" s="1"/>
  <c r="G12" i="8" a="1"/>
  <c r="G12" i="8" s="1"/>
  <c r="AR12" i="8" a="1"/>
  <c r="AR12" i="8" s="1"/>
  <c r="AS12" i="8" a="1"/>
  <c r="AS12" i="8" s="1"/>
  <c r="AQ12" i="8" a="1"/>
  <c r="AQ12" i="8" s="1"/>
  <c r="AP12" i="8" a="1"/>
  <c r="AP12" i="8" s="1"/>
  <c r="AT12" i="8" a="1"/>
  <c r="AT12" i="8" s="1"/>
  <c r="AY12" i="8" a="1"/>
  <c r="AY12" i="8" s="1"/>
  <c r="AX12" i="8" a="1"/>
  <c r="AX12" i="8" s="1"/>
  <c r="AV12" i="8" a="1"/>
  <c r="AV12" i="8" s="1"/>
  <c r="AU12" i="8" a="1"/>
  <c r="AU12" i="8" s="1"/>
  <c r="AW12" i="8" a="1"/>
  <c r="AW12" i="8" s="1"/>
  <c r="BB12" i="8" a="1"/>
  <c r="BB12" i="8" s="1"/>
  <c r="AZ12" i="8" a="1"/>
  <c r="AZ12" i="8" s="1"/>
  <c r="BA12" i="8" a="1"/>
  <c r="BA12" i="8" s="1"/>
  <c r="BC12" i="8" a="1"/>
  <c r="BC12" i="8" s="1"/>
  <c r="BD12" i="8" a="1"/>
  <c r="BD12" i="8" s="1"/>
  <c r="BF12" i="8" a="1"/>
  <c r="BF12" i="8" s="1"/>
  <c r="BE12" i="8" a="1"/>
  <c r="BE12" i="8" s="1"/>
  <c r="BH12" i="8" a="1"/>
  <c r="BH12" i="8" s="1"/>
  <c r="BI12" i="8" a="1"/>
  <c r="BI12" i="8" s="1"/>
  <c r="BG12" i="8" a="1"/>
  <c r="BG12" i="8" s="1"/>
  <c r="U20" i="4"/>
  <c r="T20" i="4"/>
  <c r="AK41" i="8" a="1"/>
  <c r="AK41" i="8" s="1"/>
  <c r="T41" i="8" a="1"/>
  <c r="T41" i="8" s="1"/>
  <c r="H41" i="8" a="1"/>
  <c r="H41" i="8" s="1"/>
  <c r="AO41" i="8" a="1"/>
  <c r="AO41" i="8" s="1"/>
  <c r="K41" i="8" a="1"/>
  <c r="K41" i="8" s="1"/>
  <c r="G41" i="8" a="1"/>
  <c r="G41" i="8" s="1"/>
  <c r="N41" i="8" a="1"/>
  <c r="N41" i="8" s="1"/>
  <c r="Z41" i="8" a="1"/>
  <c r="Z41" i="8" s="1"/>
  <c r="J41" i="8" a="1"/>
  <c r="J41" i="8" s="1"/>
  <c r="AN41" i="8" a="1"/>
  <c r="AN41" i="8" s="1"/>
  <c r="U41" i="8" a="1"/>
  <c r="U41" i="8" s="1"/>
  <c r="Q41" i="8" a="1"/>
  <c r="Q41" i="8" s="1"/>
  <c r="AB41" i="8" a="1"/>
  <c r="AB41" i="8" s="1"/>
  <c r="F41" i="8" a="1"/>
  <c r="F41" i="8" s="1"/>
  <c r="X41" i="8" a="1"/>
  <c r="X41" i="8" s="1"/>
  <c r="V41" i="8" a="1"/>
  <c r="V41" i="8" s="1"/>
  <c r="AC41" i="8" a="1"/>
  <c r="AC41" i="8" s="1"/>
  <c r="C41" i="8" a="1"/>
  <c r="C41" i="8" s="1"/>
  <c r="M41" i="8" a="1"/>
  <c r="M41" i="8" s="1"/>
  <c r="Y41" i="8" a="1"/>
  <c r="Y41" i="8" s="1"/>
  <c r="AI41" i="8" a="1"/>
  <c r="AI41" i="8" s="1"/>
  <c r="AG41" i="8" a="1"/>
  <c r="AG41" i="8" s="1"/>
  <c r="AM41" i="8" a="1"/>
  <c r="AM41" i="8" s="1"/>
  <c r="O41" i="8" a="1"/>
  <c r="O41" i="8" s="1"/>
  <c r="P41" i="8" a="1"/>
  <c r="P41" i="8" s="1"/>
  <c r="R41" i="8" a="1"/>
  <c r="R41" i="8" s="1"/>
  <c r="B41" i="8" a="1"/>
  <c r="B41" i="8" s="1"/>
  <c r="AD41" i="8" a="1"/>
  <c r="AD41" i="8" s="1"/>
  <c r="AF41" i="8" a="1"/>
  <c r="AF41" i="8" s="1"/>
  <c r="AE41" i="8" a="1"/>
  <c r="AE41" i="8" s="1"/>
  <c r="AH41" i="8" a="1"/>
  <c r="AH41" i="8" s="1"/>
  <c r="AJ41" i="8" a="1"/>
  <c r="AJ41" i="8" s="1"/>
  <c r="I41" i="8" a="1"/>
  <c r="I41" i="8" s="1"/>
  <c r="AL41" i="8" a="1"/>
  <c r="AL41" i="8" s="1"/>
  <c r="L41" i="8" a="1"/>
  <c r="L41" i="8" s="1"/>
  <c r="AA41" i="8" a="1"/>
  <c r="AA41" i="8" s="1"/>
  <c r="D41" i="8" a="1"/>
  <c r="D41" i="8" s="1"/>
  <c r="E41" i="8" a="1"/>
  <c r="E41" i="8" s="1"/>
  <c r="W41" i="8" a="1"/>
  <c r="W41" i="8" s="1"/>
  <c r="S41" i="8" a="1"/>
  <c r="S41" i="8" s="1"/>
  <c r="AP41" i="8" a="1"/>
  <c r="AP41" i="8" s="1"/>
  <c r="AR41" i="8" a="1"/>
  <c r="AR41" i="8" s="1"/>
  <c r="AS41" i="8" a="1"/>
  <c r="AS41" i="8" s="1"/>
  <c r="AQ41" i="8" a="1"/>
  <c r="AQ41" i="8" s="1"/>
  <c r="AV41" i="8" a="1"/>
  <c r="AV41" i="8" s="1"/>
  <c r="AT41" i="8" a="1"/>
  <c r="AT41" i="8" s="1"/>
  <c r="AU41" i="8" a="1"/>
  <c r="AU41" i="8" s="1"/>
  <c r="AW41" i="8" a="1"/>
  <c r="AW41" i="8" s="1"/>
  <c r="AZ41" i="8" a="1"/>
  <c r="AZ41" i="8" s="1"/>
  <c r="AY41" i="8" a="1"/>
  <c r="AY41" i="8" s="1"/>
  <c r="BC41" i="8" a="1"/>
  <c r="BC41" i="8" s="1"/>
  <c r="AX41" i="8" a="1"/>
  <c r="AX41" i="8" s="1"/>
  <c r="BA41" i="8" a="1"/>
  <c r="BA41" i="8" s="1"/>
  <c r="BB41" i="8" a="1"/>
  <c r="BB41" i="8" s="1"/>
  <c r="BD41" i="8" a="1"/>
  <c r="BD41" i="8" s="1"/>
  <c r="BG41" i="8" a="1"/>
  <c r="BG41" i="8" s="1"/>
  <c r="BE41" i="8" a="1"/>
  <c r="BE41" i="8" s="1"/>
  <c r="BF41" i="8" a="1"/>
  <c r="BF41" i="8" s="1"/>
  <c r="BH41" i="8" a="1"/>
  <c r="BH41" i="8" s="1"/>
  <c r="BI41" i="8" a="1"/>
  <c r="BI41" i="8" s="1"/>
  <c r="V42" i="8" a="1"/>
  <c r="V42" i="8" s="1"/>
  <c r="AI42" i="8" a="1"/>
  <c r="AI42" i="8" s="1"/>
  <c r="U42" i="8" a="1"/>
  <c r="U42" i="8" s="1"/>
  <c r="L42" i="8" a="1"/>
  <c r="L42" i="8" s="1"/>
  <c r="AG42" i="8" a="1"/>
  <c r="AG42" i="8" s="1"/>
  <c r="AL42" i="8" a="1"/>
  <c r="AL42" i="8" s="1"/>
  <c r="AH42" i="8" a="1"/>
  <c r="AH42" i="8" s="1"/>
  <c r="O42" i="8" a="1"/>
  <c r="O42" i="8" s="1"/>
  <c r="AK42" i="8" a="1"/>
  <c r="AK42" i="8" s="1"/>
  <c r="AJ42" i="8" a="1"/>
  <c r="AJ42" i="8" s="1"/>
  <c r="Z42" i="8" a="1"/>
  <c r="Z42" i="8" s="1"/>
  <c r="W42" i="8" a="1"/>
  <c r="W42" i="8" s="1"/>
  <c r="AN42" i="8" a="1"/>
  <c r="AN42" i="8" s="1"/>
  <c r="AE42" i="8" a="1"/>
  <c r="AE42" i="8" s="1"/>
  <c r="I42" i="8" a="1"/>
  <c r="I42" i="8" s="1"/>
  <c r="B42" i="8" a="1"/>
  <c r="B42" i="8" s="1"/>
  <c r="R42" i="8" a="1"/>
  <c r="R42" i="8" s="1"/>
  <c r="K42" i="8" a="1"/>
  <c r="K42" i="8" s="1"/>
  <c r="F42" i="8" a="1"/>
  <c r="F42" i="8" s="1"/>
  <c r="X42" i="8" a="1"/>
  <c r="X42" i="8" s="1"/>
  <c r="AB42" i="8" a="1"/>
  <c r="AB42" i="8" s="1"/>
  <c r="S42" i="8" a="1"/>
  <c r="S42" i="8" s="1"/>
  <c r="D42" i="8" a="1"/>
  <c r="D42" i="8" s="1"/>
  <c r="G42" i="8" a="1"/>
  <c r="G42" i="8" s="1"/>
  <c r="Q42" i="8" a="1"/>
  <c r="Q42" i="8" s="1"/>
  <c r="N42" i="8" a="1"/>
  <c r="N42" i="8" s="1"/>
  <c r="AF42" i="8" a="1"/>
  <c r="AF42" i="8" s="1"/>
  <c r="AD42" i="8" a="1"/>
  <c r="AD42" i="8" s="1"/>
  <c r="J42" i="8" a="1"/>
  <c r="J42" i="8" s="1"/>
  <c r="C42" i="8" a="1"/>
  <c r="C42" i="8" s="1"/>
  <c r="AM42" i="8" a="1"/>
  <c r="AM42" i="8" s="1"/>
  <c r="Y42" i="8" a="1"/>
  <c r="Y42" i="8" s="1"/>
  <c r="E42" i="8" a="1"/>
  <c r="E42" i="8" s="1"/>
  <c r="T42" i="8" a="1"/>
  <c r="T42" i="8" s="1"/>
  <c r="AA42" i="8" a="1"/>
  <c r="AA42" i="8" s="1"/>
  <c r="P42" i="8" a="1"/>
  <c r="P42" i="8" s="1"/>
  <c r="AO42" i="8" a="1"/>
  <c r="AO42" i="8" s="1"/>
  <c r="AP42" i="8" a="1"/>
  <c r="AP42" i="8" s="1"/>
  <c r="H42" i="8" a="1"/>
  <c r="H42" i="8" s="1"/>
  <c r="M42" i="8" a="1"/>
  <c r="M42" i="8" s="1"/>
  <c r="AC42" i="8" a="1"/>
  <c r="AC42" i="8" s="1"/>
  <c r="AV42" i="8" a="1"/>
  <c r="AV42" i="8" s="1"/>
  <c r="AQ42" i="8" a="1"/>
  <c r="AQ42" i="8" s="1"/>
  <c r="AT42" i="8" a="1"/>
  <c r="AT42" i="8" s="1"/>
  <c r="AS42" i="8" a="1"/>
  <c r="AS42" i="8" s="1"/>
  <c r="AR42" i="8" a="1"/>
  <c r="AR42" i="8" s="1"/>
  <c r="AU42" i="8" a="1"/>
  <c r="AU42" i="8" s="1"/>
  <c r="AY42" i="8" a="1"/>
  <c r="AY42" i="8" s="1"/>
  <c r="AW42" i="8" a="1"/>
  <c r="AW42" i="8" s="1"/>
  <c r="AX42" i="8" a="1"/>
  <c r="AX42" i="8" s="1"/>
  <c r="BA42" i="8" a="1"/>
  <c r="BA42" i="8" s="1"/>
  <c r="AZ42" i="8" a="1"/>
  <c r="AZ42" i="8" s="1"/>
  <c r="BB42" i="8" a="1"/>
  <c r="BB42" i="8" s="1"/>
  <c r="BC42" i="8" a="1"/>
  <c r="BC42" i="8" s="1"/>
  <c r="BF42" i="8" a="1"/>
  <c r="BF42" i="8" s="1"/>
  <c r="BD42" i="8" a="1"/>
  <c r="BD42" i="8" s="1"/>
  <c r="BG42" i="8" a="1"/>
  <c r="BG42" i="8" s="1"/>
  <c r="BH42" i="8" a="1"/>
  <c r="BH42" i="8" s="1"/>
  <c r="BE42" i="8" a="1"/>
  <c r="BE42" i="8" s="1"/>
  <c r="BI42" i="8" a="1"/>
  <c r="BI42" i="8" s="1"/>
  <c r="AC28" i="8" a="1"/>
  <c r="AC28" i="8" s="1"/>
  <c r="AG28" i="8" a="1"/>
  <c r="AG28" i="8" s="1"/>
  <c r="Y28" i="8" a="1"/>
  <c r="Y28" i="8" s="1"/>
  <c r="E28" i="8" a="1"/>
  <c r="E28" i="8" s="1"/>
  <c r="Q28" i="8" a="1"/>
  <c r="Q28" i="8" s="1"/>
  <c r="AJ28" i="8" a="1"/>
  <c r="AJ28" i="8" s="1"/>
  <c r="V28" i="8" a="1"/>
  <c r="V28" i="8" s="1"/>
  <c r="M28" i="8" a="1"/>
  <c r="M28" i="8" s="1"/>
  <c r="AI28" i="8" a="1"/>
  <c r="AI28" i="8" s="1"/>
  <c r="G28" i="8" a="1"/>
  <c r="G28" i="8" s="1"/>
  <c r="H28" i="8" a="1"/>
  <c r="H28" i="8" s="1"/>
  <c r="K28" i="8" a="1"/>
  <c r="K28" i="8" s="1"/>
  <c r="AH28" i="8" a="1"/>
  <c r="AH28" i="8" s="1"/>
  <c r="AA28" i="8" a="1"/>
  <c r="AA28" i="8" s="1"/>
  <c r="D28" i="8" a="1"/>
  <c r="D28" i="8" s="1"/>
  <c r="J28" i="8" a="1"/>
  <c r="J28" i="8" s="1"/>
  <c r="T28" i="8" a="1"/>
  <c r="T28" i="8" s="1"/>
  <c r="AL28" i="8" a="1"/>
  <c r="AL28" i="8" s="1"/>
  <c r="F28" i="8" a="1"/>
  <c r="F28" i="8" s="1"/>
  <c r="C28" i="8" a="1"/>
  <c r="C28" i="8" s="1"/>
  <c r="AF28" i="8" a="1"/>
  <c r="AF28" i="8" s="1"/>
  <c r="AD28" i="8" a="1"/>
  <c r="AD28" i="8" s="1"/>
  <c r="AN28" i="8" a="1"/>
  <c r="AN28" i="8" s="1"/>
  <c r="U28" i="8" a="1"/>
  <c r="U28" i="8" s="1"/>
  <c r="I28" i="8" a="1"/>
  <c r="I28" i="8" s="1"/>
  <c r="R28" i="8" a="1"/>
  <c r="R28" i="8" s="1"/>
  <c r="AB28" i="8" a="1"/>
  <c r="AB28" i="8" s="1"/>
  <c r="X28" i="8" a="1"/>
  <c r="X28" i="8" s="1"/>
  <c r="AE28" i="8" a="1"/>
  <c r="AE28" i="8" s="1"/>
  <c r="O28" i="8" a="1"/>
  <c r="O28" i="8" s="1"/>
  <c r="Z28" i="8" a="1"/>
  <c r="Z28" i="8" s="1"/>
  <c r="N28" i="8" a="1"/>
  <c r="N28" i="8" s="1"/>
  <c r="AP28" i="8" a="1"/>
  <c r="AP28" i="8" s="1"/>
  <c r="W28" i="8" a="1"/>
  <c r="W28" i="8" s="1"/>
  <c r="B28" i="8" a="1"/>
  <c r="B28" i="8" s="1"/>
  <c r="S28" i="8" a="1"/>
  <c r="S28" i="8" s="1"/>
  <c r="L28" i="8" a="1"/>
  <c r="L28" i="8" s="1"/>
  <c r="P28" i="8" a="1"/>
  <c r="P28" i="8" s="1"/>
  <c r="AK28" i="8" a="1"/>
  <c r="AK28" i="8" s="1"/>
  <c r="AO28" i="8" a="1"/>
  <c r="AO28" i="8" s="1"/>
  <c r="AM28" i="8" a="1"/>
  <c r="AM28" i="8" s="1"/>
  <c r="AR28" i="8" a="1"/>
  <c r="AR28" i="8" s="1"/>
  <c r="AQ28" i="8" a="1"/>
  <c r="AQ28" i="8" s="1"/>
  <c r="AV28" i="8" a="1"/>
  <c r="AV28" i="8" s="1"/>
  <c r="AT28" i="8" a="1"/>
  <c r="AT28" i="8" s="1"/>
  <c r="AS28" i="8" a="1"/>
  <c r="AS28" i="8" s="1"/>
  <c r="AZ28" i="8" a="1"/>
  <c r="AZ28" i="8" s="1"/>
  <c r="AY28" i="8" a="1"/>
  <c r="AY28" i="8" s="1"/>
  <c r="AW28" i="8" a="1"/>
  <c r="AW28" i="8" s="1"/>
  <c r="AU28" i="8" a="1"/>
  <c r="AU28" i="8" s="1"/>
  <c r="AX28" i="8" a="1"/>
  <c r="AX28" i="8" s="1"/>
  <c r="BA28" i="8" a="1"/>
  <c r="BA28" i="8" s="1"/>
  <c r="BB28" i="8" a="1"/>
  <c r="BB28" i="8" s="1"/>
  <c r="BD28" i="8" a="1"/>
  <c r="BD28" i="8" s="1"/>
  <c r="BC28" i="8" a="1"/>
  <c r="BC28" i="8" s="1"/>
  <c r="BF28" i="8" a="1"/>
  <c r="BF28" i="8" s="1"/>
  <c r="BE28" i="8" a="1"/>
  <c r="BE28" i="8" s="1"/>
  <c r="BG28" i="8" a="1"/>
  <c r="BG28" i="8" s="1"/>
  <c r="BH28" i="8" a="1"/>
  <c r="BH28" i="8" s="1"/>
  <c r="BI28" i="8" a="1"/>
  <c r="BI28" i="8" s="1"/>
  <c r="BK45" i="6"/>
  <c r="BK180" i="6" l="1"/>
  <c r="BK179" i="6"/>
  <c r="BK181" i="6"/>
  <c r="E17" i="7"/>
  <c r="F17" i="7"/>
  <c r="BL53" i="6"/>
  <c r="AP11" i="8" a="1"/>
  <c r="AP11" i="8" s="1"/>
  <c r="AN11" i="8" a="1"/>
  <c r="AN11" i="8" s="1"/>
  <c r="AQ11" i="8" a="1"/>
  <c r="AQ11" i="8" s="1"/>
  <c r="AM11" i="8" a="1"/>
  <c r="AM11" i="8" s="1"/>
  <c r="AF11" i="8" a="1"/>
  <c r="AF11" i="8" s="1"/>
  <c r="AL11" i="8" a="1"/>
  <c r="AL11" i="8" s="1"/>
  <c r="AO11" i="8" a="1"/>
  <c r="AO11" i="8" s="1"/>
  <c r="I20" i="7" s="1"/>
  <c r="P11" i="8" a="1"/>
  <c r="P11" i="8" s="1"/>
  <c r="G20" i="7" s="1"/>
  <c r="AK11" i="8" a="1"/>
  <c r="AK11" i="8" s="1"/>
  <c r="J11" i="8" a="1"/>
  <c r="J11" i="8" s="1"/>
  <c r="E11" i="8" a="1"/>
  <c r="E11" i="8" s="1"/>
  <c r="N11" i="8" a="1"/>
  <c r="N11" i="8" s="1"/>
  <c r="C11" i="8" a="1"/>
  <c r="C11" i="8" s="1"/>
  <c r="M11" i="8" a="1"/>
  <c r="M11" i="8" s="1"/>
  <c r="AC11" i="8" a="1"/>
  <c r="AC11" i="8" s="1"/>
  <c r="F11" i="8" a="1"/>
  <c r="F11" i="8" s="1"/>
  <c r="AS11" i="8" a="1"/>
  <c r="AS11" i="8" s="1"/>
  <c r="W11" i="8" a="1"/>
  <c r="W11" i="8" s="1"/>
  <c r="AR11" i="8" a="1"/>
  <c r="AR11" i="8" s="1"/>
  <c r="L11" i="8" a="1"/>
  <c r="L11" i="8" s="1"/>
  <c r="K11" i="8" a="1"/>
  <c r="K11" i="8" s="1"/>
  <c r="AJ11" i="8" a="1"/>
  <c r="AJ11" i="8" s="1"/>
  <c r="AA11" i="8" a="1"/>
  <c r="AA11" i="8" s="1"/>
  <c r="H20" i="7" s="1"/>
  <c r="D11" i="8" a="1"/>
  <c r="D11" i="8" s="1"/>
  <c r="I11" i="8" a="1"/>
  <c r="I11" i="8" s="1"/>
  <c r="AT11" i="8" a="1"/>
  <c r="AT11" i="8" s="1"/>
  <c r="V11" i="8" a="1"/>
  <c r="V11" i="8" s="1"/>
  <c r="G11" i="8" a="1"/>
  <c r="G11" i="8" s="1"/>
  <c r="AE11" i="8" a="1"/>
  <c r="AE11" i="8" s="1"/>
  <c r="Y11" i="8" a="1"/>
  <c r="Y11" i="8" s="1"/>
  <c r="T11" i="8" a="1"/>
  <c r="T11" i="8" s="1"/>
  <c r="U11" i="8" a="1"/>
  <c r="U11" i="8" s="1"/>
  <c r="R11" i="8" a="1"/>
  <c r="R11" i="8" s="1"/>
  <c r="AD11" i="8" a="1"/>
  <c r="AD11" i="8" s="1"/>
  <c r="S11" i="8" a="1"/>
  <c r="S11" i="8" s="1"/>
  <c r="O11" i="8" a="1"/>
  <c r="O11" i="8" s="1"/>
  <c r="B11" i="8" a="1"/>
  <c r="B11" i="8" s="1"/>
  <c r="Z11" i="8" a="1"/>
  <c r="Z11" i="8" s="1"/>
  <c r="AG11" i="8" a="1"/>
  <c r="AG11" i="8" s="1"/>
  <c r="AI11" i="8" a="1"/>
  <c r="AI11" i="8" s="1"/>
  <c r="AB11" i="8" a="1"/>
  <c r="AB11" i="8" s="1"/>
  <c r="H11" i="8" a="1"/>
  <c r="H11" i="8" s="1"/>
  <c r="Q11" i="8" a="1"/>
  <c r="Q11" i="8" s="1"/>
  <c r="AH11" i="8" a="1"/>
  <c r="AH11" i="8" s="1"/>
  <c r="X11" i="8" a="1"/>
  <c r="X11" i="8" s="1"/>
  <c r="AU11" i="8" a="1"/>
  <c r="AU11" i="8" s="1"/>
  <c r="AV11" i="8" a="1"/>
  <c r="AV11" i="8" s="1"/>
  <c r="AW11" i="8" a="1"/>
  <c r="AW11" i="8" s="1"/>
  <c r="AY11" i="8" a="1"/>
  <c r="AY11" i="8" s="1"/>
  <c r="J20" i="7" s="1"/>
  <c r="AX11" i="8" a="1"/>
  <c r="AX11" i="8" s="1"/>
  <c r="BC11" i="8" a="1"/>
  <c r="BC11" i="8" s="1"/>
  <c r="BA11" i="8" a="1"/>
  <c r="BA11" i="8" s="1"/>
  <c r="AZ11" i="8" a="1"/>
  <c r="AZ11" i="8" s="1"/>
  <c r="BB11" i="8" a="1"/>
  <c r="BB11" i="8" s="1"/>
  <c r="BD11" i="8" a="1"/>
  <c r="BD11" i="8" s="1"/>
  <c r="BE11" i="8" a="1"/>
  <c r="BE11" i="8" s="1"/>
  <c r="BG11" i="8" a="1"/>
  <c r="BG11" i="8" s="1"/>
  <c r="BF11" i="8" a="1"/>
  <c r="BF11" i="8" s="1"/>
  <c r="BI11" i="8" a="1"/>
  <c r="BI11" i="8" s="1"/>
  <c r="BH11" i="8" a="1"/>
  <c r="BH11" i="8" s="1"/>
  <c r="F21" i="7"/>
  <c r="F27" i="7"/>
  <c r="H21" i="7"/>
  <c r="G27" i="7"/>
  <c r="H23" i="7"/>
  <c r="G17" i="7"/>
  <c r="G21" i="7"/>
  <c r="G29" i="7"/>
  <c r="G22" i="7"/>
  <c r="G25" i="7"/>
  <c r="J25" i="7"/>
  <c r="I17" i="7"/>
  <c r="F25" i="7"/>
  <c r="G23" i="7"/>
  <c r="H27" i="7"/>
  <c r="I27" i="7"/>
  <c r="J29" i="7"/>
  <c r="I22" i="7"/>
  <c r="H22" i="7"/>
  <c r="H25" i="7"/>
  <c r="I23" i="7"/>
  <c r="I25" i="7"/>
  <c r="I29" i="7"/>
  <c r="K29" i="7"/>
  <c r="J23" i="7"/>
  <c r="K26" i="7"/>
  <c r="I21" i="7"/>
  <c r="K31" i="7"/>
  <c r="H17" i="7"/>
  <c r="K30" i="7"/>
  <c r="K20" i="7"/>
  <c r="J21" i="7"/>
  <c r="K24" i="7"/>
  <c r="J17" i="7"/>
  <c r="K19" i="7"/>
  <c r="K32" i="7" s="1"/>
  <c r="J22" i="7"/>
  <c r="K28" i="7"/>
  <c r="K21" i="7"/>
  <c r="H29" i="7"/>
  <c r="K27" i="7"/>
  <c r="K25" i="7"/>
  <c r="J27" i="7"/>
  <c r="K22" i="7"/>
  <c r="K17" i="7"/>
  <c r="K23" i="7"/>
  <c r="BL69" i="6"/>
  <c r="F23" i="7"/>
  <c r="AQ29" i="8" a="1"/>
  <c r="AQ29" i="8" s="1"/>
  <c r="AP29" i="8" a="1"/>
  <c r="AP29" i="8" s="1"/>
  <c r="AL29" i="8" a="1"/>
  <c r="AL29" i="8" s="1"/>
  <c r="I30" i="7" s="1"/>
  <c r="M29" i="8" a="1"/>
  <c r="M29" i="8" s="1"/>
  <c r="AM29" i="8" a="1"/>
  <c r="AM29" i="8" s="1"/>
  <c r="AD29" i="8" a="1"/>
  <c r="AD29" i="8" s="1"/>
  <c r="AR29" i="8" a="1"/>
  <c r="AR29" i="8" s="1"/>
  <c r="F29" i="8" a="1"/>
  <c r="F29" i="8" s="1"/>
  <c r="AN29" i="8" a="1"/>
  <c r="AN29" i="8" s="1"/>
  <c r="AJ29" i="8" a="1"/>
  <c r="AJ29" i="8" s="1"/>
  <c r="H30" i="7" s="1"/>
  <c r="P29" i="8" a="1"/>
  <c r="P29" i="8" s="1"/>
  <c r="Y29" i="8" a="1"/>
  <c r="Y29" i="8" s="1"/>
  <c r="B29" i="8" a="1"/>
  <c r="B29" i="8" s="1"/>
  <c r="D29" i="8" a="1"/>
  <c r="D29" i="8" s="1"/>
  <c r="AK29" i="8" a="1"/>
  <c r="AK29" i="8" s="1"/>
  <c r="AE29" i="8" a="1"/>
  <c r="AE29" i="8" s="1"/>
  <c r="X29" i="8" a="1"/>
  <c r="X29" i="8" s="1"/>
  <c r="S29" i="8" a="1"/>
  <c r="S29" i="8" s="1"/>
  <c r="N29" i="8" a="1"/>
  <c r="N29" i="8" s="1"/>
  <c r="G30" i="7" s="1"/>
  <c r="AF29" i="8" a="1"/>
  <c r="AF29" i="8" s="1"/>
  <c r="AH29" i="8" a="1"/>
  <c r="AH29" i="8" s="1"/>
  <c r="V29" i="8" a="1"/>
  <c r="V29" i="8" s="1"/>
  <c r="L29" i="8" a="1"/>
  <c r="L29" i="8" s="1"/>
  <c r="J29" i="8" a="1"/>
  <c r="J29" i="8" s="1"/>
  <c r="E29" i="8" a="1"/>
  <c r="E29" i="8" s="1"/>
  <c r="H29" i="8" a="1"/>
  <c r="H29" i="8" s="1"/>
  <c r="AO29" i="8" a="1"/>
  <c r="AO29" i="8" s="1"/>
  <c r="I29" i="8" a="1"/>
  <c r="I29" i="8" s="1"/>
  <c r="AB29" i="8" a="1"/>
  <c r="AB29" i="8" s="1"/>
  <c r="AG29" i="8" a="1"/>
  <c r="AG29" i="8" s="1"/>
  <c r="Q29" i="8" a="1"/>
  <c r="Q29" i="8" s="1"/>
  <c r="Z29" i="8" a="1"/>
  <c r="Z29" i="8" s="1"/>
  <c r="R29" i="8" a="1"/>
  <c r="R29" i="8" s="1"/>
  <c r="T29" i="8" a="1"/>
  <c r="T29" i="8" s="1"/>
  <c r="K29" i="8" a="1"/>
  <c r="K29" i="8" s="1"/>
  <c r="G29" i="8" a="1"/>
  <c r="G29" i="8" s="1"/>
  <c r="AA29" i="8" a="1"/>
  <c r="AA29" i="8" s="1"/>
  <c r="C29" i="8" a="1"/>
  <c r="C29" i="8" s="1"/>
  <c r="AI29" i="8" a="1"/>
  <c r="AI29" i="8" s="1"/>
  <c r="O29" i="8" a="1"/>
  <c r="O29" i="8" s="1"/>
  <c r="W29" i="8" a="1"/>
  <c r="W29" i="8" s="1"/>
  <c r="U29" i="8" a="1"/>
  <c r="U29" i="8" s="1"/>
  <c r="AC29" i="8" a="1"/>
  <c r="AC29" i="8" s="1"/>
  <c r="AS29" i="8" a="1"/>
  <c r="AS29" i="8" s="1"/>
  <c r="AT29" i="8" a="1"/>
  <c r="AT29" i="8" s="1"/>
  <c r="AU29" i="8" a="1"/>
  <c r="AU29" i="8" s="1"/>
  <c r="AV29" i="8" a="1"/>
  <c r="AV29" i="8" s="1"/>
  <c r="AY29" i="8" a="1"/>
  <c r="AY29" i="8" s="1"/>
  <c r="AW29" i="8" a="1"/>
  <c r="AW29" i="8" s="1"/>
  <c r="AX29" i="8" a="1"/>
  <c r="AX29" i="8" s="1"/>
  <c r="J30" i="7" s="1"/>
  <c r="BB29" i="8" a="1"/>
  <c r="BB29" i="8" s="1"/>
  <c r="AZ29" i="8" a="1"/>
  <c r="AZ29" i="8" s="1"/>
  <c r="BA29" i="8" a="1"/>
  <c r="BA29" i="8" s="1"/>
  <c r="BD29" i="8" a="1"/>
  <c r="BD29" i="8" s="1"/>
  <c r="BC29" i="8" a="1"/>
  <c r="BC29" i="8" s="1"/>
  <c r="BE29" i="8" a="1"/>
  <c r="BE29" i="8" s="1"/>
  <c r="BG29" i="8" a="1"/>
  <c r="BG29" i="8" s="1"/>
  <c r="BF29" i="8" a="1"/>
  <c r="BF29" i="8" s="1"/>
  <c r="BI29" i="8" a="1"/>
  <c r="BI29" i="8" s="1"/>
  <c r="BH29" i="8" a="1"/>
  <c r="BH29" i="8" s="1"/>
  <c r="BL71" i="6"/>
  <c r="AO13" i="8" a="1"/>
  <c r="AO13" i="8" s="1"/>
  <c r="AN13" i="8" a="1"/>
  <c r="AN13" i="8" s="1"/>
  <c r="AM13" i="8" a="1"/>
  <c r="AM13" i="8" s="1"/>
  <c r="AU13" i="8" a="1"/>
  <c r="AU13" i="8" s="1"/>
  <c r="AA13" i="8" a="1"/>
  <c r="AA13" i="8" s="1"/>
  <c r="G13" i="8" a="1"/>
  <c r="G13" i="8" s="1"/>
  <c r="T13" i="8" a="1"/>
  <c r="T13" i="8" s="1"/>
  <c r="AB13" i="8" a="1"/>
  <c r="AB13" i="8" s="1"/>
  <c r="Q13" i="8" a="1"/>
  <c r="Q13" i="8" s="1"/>
  <c r="H13" i="8" a="1"/>
  <c r="H13" i="8" s="1"/>
  <c r="N13" i="8" a="1"/>
  <c r="N13" i="8" s="1"/>
  <c r="Y13" i="8" a="1"/>
  <c r="Y13" i="8" s="1"/>
  <c r="R13" i="8" a="1"/>
  <c r="R13" i="8" s="1"/>
  <c r="AL13" i="8" a="1"/>
  <c r="AL13" i="8" s="1"/>
  <c r="AP13" i="8" a="1"/>
  <c r="AP13" i="8" s="1"/>
  <c r="Z13" i="8" a="1"/>
  <c r="Z13" i="8" s="1"/>
  <c r="M13" i="8" a="1"/>
  <c r="M13" i="8" s="1"/>
  <c r="F13" i="8" a="1"/>
  <c r="F13" i="8" s="1"/>
  <c r="X13" i="8" a="1"/>
  <c r="X13" i="8" s="1"/>
  <c r="D13" i="8" a="1"/>
  <c r="D13" i="8" s="1"/>
  <c r="J13" i="8" a="1"/>
  <c r="J13" i="8" s="1"/>
  <c r="L13" i="8" a="1"/>
  <c r="L13" i="8" s="1"/>
  <c r="O13" i="8" a="1"/>
  <c r="O13" i="8" s="1"/>
  <c r="I13" i="8" a="1"/>
  <c r="I13" i="8" s="1"/>
  <c r="AI13" i="8" a="1"/>
  <c r="AI13" i="8" s="1"/>
  <c r="E13" i="8" a="1"/>
  <c r="E13" i="8" s="1"/>
  <c r="AF13" i="8" a="1"/>
  <c r="AF13" i="8" s="1"/>
  <c r="S13" i="8" a="1"/>
  <c r="S13" i="8" s="1"/>
  <c r="AR13" i="8" a="1"/>
  <c r="AR13" i="8" s="1"/>
  <c r="AG13" i="8" a="1"/>
  <c r="AG13" i="8" s="1"/>
  <c r="K13" i="8" a="1"/>
  <c r="K13" i="8" s="1"/>
  <c r="AH13" i="8" a="1"/>
  <c r="AH13" i="8" s="1"/>
  <c r="P13" i="8" a="1"/>
  <c r="P13" i="8" s="1"/>
  <c r="V13" i="8" a="1"/>
  <c r="V13" i="8" s="1"/>
  <c r="AT13" i="8" a="1"/>
  <c r="AT13" i="8" s="1"/>
  <c r="AJ13" i="8" a="1"/>
  <c r="AJ13" i="8" s="1"/>
  <c r="AD13" i="8" a="1"/>
  <c r="AD13" i="8" s="1"/>
  <c r="AC13" i="8" a="1"/>
  <c r="AC13" i="8" s="1"/>
  <c r="B13" i="8" a="1"/>
  <c r="B13" i="8" s="1"/>
  <c r="AK13" i="8" a="1"/>
  <c r="AK13" i="8" s="1"/>
  <c r="AS13" i="8" a="1"/>
  <c r="AS13" i="8" s="1"/>
  <c r="AE13" i="8" a="1"/>
  <c r="AE13" i="8" s="1"/>
  <c r="U13" i="8" a="1"/>
  <c r="U13" i="8" s="1"/>
  <c r="C13" i="8" a="1"/>
  <c r="C13" i="8" s="1"/>
  <c r="W13" i="8" a="1"/>
  <c r="W13" i="8" s="1"/>
  <c r="AQ13" i="8" a="1"/>
  <c r="AQ13" i="8" s="1"/>
  <c r="AW13" i="8" a="1"/>
  <c r="AW13" i="8" s="1"/>
  <c r="AV13" i="8" a="1"/>
  <c r="AV13" i="8" s="1"/>
  <c r="AX13" i="8" a="1"/>
  <c r="AX13" i="8" s="1"/>
  <c r="AY13" i="8" a="1"/>
  <c r="AY13" i="8" s="1"/>
  <c r="AZ13" i="8" a="1"/>
  <c r="AZ13" i="8" s="1"/>
  <c r="BB13" i="8" a="1"/>
  <c r="BB13" i="8" s="1"/>
  <c r="BA13" i="8" a="1"/>
  <c r="BA13" i="8" s="1"/>
  <c r="BE13" i="8" a="1"/>
  <c r="BE13" i="8" s="1"/>
  <c r="BC13" i="8" a="1"/>
  <c r="BC13" i="8" s="1"/>
  <c r="BD13" i="8" a="1"/>
  <c r="BD13" i="8" s="1"/>
  <c r="BF13" i="8" a="1"/>
  <c r="BF13" i="8" s="1"/>
  <c r="BH13" i="8" a="1"/>
  <c r="BH13" i="8" s="1"/>
  <c r="BI13" i="8" a="1"/>
  <c r="BI13" i="8" s="1"/>
  <c r="BG13" i="8" a="1"/>
  <c r="BG13" i="8" s="1"/>
  <c r="U17" i="4"/>
  <c r="T17" i="4"/>
  <c r="N22" i="4"/>
  <c r="F29" i="7"/>
  <c r="BL44" i="6"/>
  <c r="AI7" i="8" a="1"/>
  <c r="AI7" i="8" s="1"/>
  <c r="AI50" i="8" s="1"/>
  <c r="J7" i="8" a="1"/>
  <c r="J7" i="8" s="1"/>
  <c r="J50" i="8" s="1"/>
  <c r="AN7" i="8" a="1"/>
  <c r="AN7" i="8" s="1"/>
  <c r="AN50" i="8" s="1"/>
  <c r="AL7" i="8" a="1"/>
  <c r="AL7" i="8" s="1"/>
  <c r="AL50" i="8" s="1"/>
  <c r="Y7" i="8" a="1"/>
  <c r="Y7" i="8" s="1"/>
  <c r="M7" i="8" a="1"/>
  <c r="M7" i="8" s="1"/>
  <c r="O7" i="8" a="1"/>
  <c r="O7" i="8" s="1"/>
  <c r="O50" i="8" s="1"/>
  <c r="AO7" i="8" a="1"/>
  <c r="AO7" i="8" s="1"/>
  <c r="AO50" i="8" s="1"/>
  <c r="F7" i="8" a="1"/>
  <c r="F7" i="8" s="1"/>
  <c r="F50" i="8" s="1"/>
  <c r="AD7" i="8" a="1"/>
  <c r="AD7" i="8" s="1"/>
  <c r="AD50" i="8" s="1"/>
  <c r="W7" i="8" a="1"/>
  <c r="W7" i="8" s="1"/>
  <c r="W50" i="8" s="1"/>
  <c r="AP7" i="8" a="1"/>
  <c r="AP7" i="8" s="1"/>
  <c r="AP50" i="8" s="1"/>
  <c r="T7" i="8" a="1"/>
  <c r="T7" i="8" s="1"/>
  <c r="T50" i="8" s="1"/>
  <c r="AE7" i="8" a="1"/>
  <c r="AE7" i="8" s="1"/>
  <c r="AE50" i="8" s="1"/>
  <c r="C7" i="8" a="1"/>
  <c r="C7" i="8" s="1"/>
  <c r="C50" i="8" s="1"/>
  <c r="S7" i="8" a="1"/>
  <c r="S7" i="8" s="1"/>
  <c r="S50" i="8" s="1"/>
  <c r="B7" i="8" a="1"/>
  <c r="B7" i="8" s="1"/>
  <c r="B50" i="8" s="1"/>
  <c r="AM7" i="8" a="1"/>
  <c r="AM7" i="8" s="1"/>
  <c r="AM50" i="8" s="1"/>
  <c r="AJ7" i="8" a="1"/>
  <c r="AJ7" i="8" s="1"/>
  <c r="AJ50" i="8" s="1"/>
  <c r="G7" i="8" a="1"/>
  <c r="G7" i="8" s="1"/>
  <c r="G50" i="8" s="1"/>
  <c r="AA7" i="8" a="1"/>
  <c r="AA7" i="8" s="1"/>
  <c r="AA50" i="8" s="1"/>
  <c r="U7" i="8" a="1"/>
  <c r="U7" i="8" s="1"/>
  <c r="U50" i="8" s="1"/>
  <c r="AF7" i="8" a="1"/>
  <c r="AF7" i="8" s="1"/>
  <c r="AF50" i="8" s="1"/>
  <c r="AB7" i="8" a="1"/>
  <c r="AB7" i="8" s="1"/>
  <c r="AB50" i="8" s="1"/>
  <c r="I7" i="8" a="1"/>
  <c r="I7" i="8" s="1"/>
  <c r="I50" i="8" s="1"/>
  <c r="N7" i="8" a="1"/>
  <c r="N7" i="8" s="1"/>
  <c r="N50" i="8" s="1"/>
  <c r="R7" i="8" a="1"/>
  <c r="R7" i="8" s="1"/>
  <c r="R50" i="8" s="1"/>
  <c r="AC7" i="8" a="1"/>
  <c r="AC7" i="8" s="1"/>
  <c r="AC50" i="8" s="1"/>
  <c r="AK7" i="8" a="1"/>
  <c r="AK7" i="8" s="1"/>
  <c r="E7" i="8" a="1"/>
  <c r="E7" i="8" s="1"/>
  <c r="E50" i="8" s="1"/>
  <c r="V7" i="8" a="1"/>
  <c r="V7" i="8" s="1"/>
  <c r="V50" i="8" s="1"/>
  <c r="D7" i="8" a="1"/>
  <c r="D7" i="8" s="1"/>
  <c r="D50" i="8" s="1"/>
  <c r="P7" i="8" a="1"/>
  <c r="P7" i="8" s="1"/>
  <c r="P50" i="8" s="1"/>
  <c r="H7" i="8" a="1"/>
  <c r="H7" i="8" s="1"/>
  <c r="H50" i="8" s="1"/>
  <c r="K7" i="8" a="1"/>
  <c r="K7" i="8" s="1"/>
  <c r="K50" i="8" s="1"/>
  <c r="X7" i="8" a="1"/>
  <c r="X7" i="8" s="1"/>
  <c r="X50" i="8" s="1"/>
  <c r="L7" i="8" a="1"/>
  <c r="L7" i="8" s="1"/>
  <c r="L50" i="8" s="1"/>
  <c r="AQ7" i="8" a="1"/>
  <c r="AQ7" i="8" s="1"/>
  <c r="AQ50" i="8" s="1"/>
  <c r="AR7" i="8" a="1"/>
  <c r="AR7" i="8" s="1"/>
  <c r="AR50" i="8" s="1"/>
  <c r="Q7" i="8" a="1"/>
  <c r="Q7" i="8" s="1"/>
  <c r="Q50" i="8" s="1"/>
  <c r="AH7" i="8" a="1"/>
  <c r="AH7" i="8" s="1"/>
  <c r="AH50" i="8" s="1"/>
  <c r="AS7" i="8" a="1"/>
  <c r="AS7" i="8" s="1"/>
  <c r="AS50" i="8" s="1"/>
  <c r="AT7" i="8" a="1"/>
  <c r="AT7" i="8" s="1"/>
  <c r="AT50" i="8" s="1"/>
  <c r="AG7" i="8" a="1"/>
  <c r="AG7" i="8" s="1"/>
  <c r="AG50" i="8" s="1"/>
  <c r="Z7" i="8" a="1"/>
  <c r="Z7" i="8" s="1"/>
  <c r="Z50" i="8" s="1"/>
  <c r="AU7" i="8" a="1"/>
  <c r="AU7" i="8" s="1"/>
  <c r="AU50" i="8" s="1"/>
  <c r="AY7" i="8" a="1"/>
  <c r="AY7" i="8" s="1"/>
  <c r="AY50" i="8" s="1"/>
  <c r="AV7" i="8" a="1"/>
  <c r="AV7" i="8" s="1"/>
  <c r="AV50" i="8" s="1"/>
  <c r="AW7" i="8" a="1"/>
  <c r="AW7" i="8" s="1"/>
  <c r="AX7" i="8" a="1"/>
  <c r="AX7" i="8" s="1"/>
  <c r="AX50" i="8" s="1"/>
  <c r="BA7" i="8" a="1"/>
  <c r="BA7" i="8" s="1"/>
  <c r="BA50" i="8" s="1"/>
  <c r="AZ7" i="8" a="1"/>
  <c r="AZ7" i="8" s="1"/>
  <c r="AZ50" i="8" s="1"/>
  <c r="BC7" i="8" a="1"/>
  <c r="BC7" i="8" s="1"/>
  <c r="BC50" i="8" s="1"/>
  <c r="BB7" i="8" a="1"/>
  <c r="BB7" i="8" s="1"/>
  <c r="BB50" i="8" s="1"/>
  <c r="BD7" i="8" a="1"/>
  <c r="BD7" i="8" s="1"/>
  <c r="BD50" i="8" s="1"/>
  <c r="BG7" i="8" a="1"/>
  <c r="BG7" i="8" s="1"/>
  <c r="BG50" i="8" s="1"/>
  <c r="BE7" i="8" a="1"/>
  <c r="BE7" i="8" s="1"/>
  <c r="BE50" i="8" s="1"/>
  <c r="BF7" i="8" a="1"/>
  <c r="BF7" i="8" s="1"/>
  <c r="BF50" i="8" s="1"/>
  <c r="BI7" i="8" a="1"/>
  <c r="BI7" i="8" s="1"/>
  <c r="BH7" i="8" a="1"/>
  <c r="BH7" i="8" s="1"/>
  <c r="BH50" i="8" s="1"/>
  <c r="BL88" i="6"/>
  <c r="BL87" i="6" s="1"/>
  <c r="F22" i="7"/>
  <c r="F14" i="7"/>
  <c r="E13" i="7"/>
  <c r="AK27" i="8" l="1" a="1"/>
  <c r="AK27" i="8" s="1"/>
  <c r="AN27" i="8" a="1"/>
  <c r="AN27" i="8" s="1"/>
  <c r="U27" i="8" a="1"/>
  <c r="U27" i="8" s="1"/>
  <c r="I27" i="8" a="1"/>
  <c r="I27" i="8" s="1"/>
  <c r="AI27" i="8" a="1"/>
  <c r="AI27" i="8" s="1"/>
  <c r="N27" i="8" a="1"/>
  <c r="N27" i="8" s="1"/>
  <c r="G27" i="8" a="1"/>
  <c r="G27" i="8" s="1"/>
  <c r="Q27" i="8" a="1"/>
  <c r="Q27" i="8" s="1"/>
  <c r="L27" i="8" a="1"/>
  <c r="L27" i="8" s="1"/>
  <c r="AP27" i="8" a="1"/>
  <c r="AP27" i="8" s="1"/>
  <c r="AC27" i="8" a="1"/>
  <c r="AC27" i="8" s="1"/>
  <c r="J27" i="8" a="1"/>
  <c r="J27" i="8" s="1"/>
  <c r="E27" i="8" a="1"/>
  <c r="E27" i="8" s="1"/>
  <c r="AR27" i="8" a="1"/>
  <c r="AR27" i="8" s="1"/>
  <c r="Z27" i="8" a="1"/>
  <c r="Z27" i="8" s="1"/>
  <c r="AB27" i="8" a="1"/>
  <c r="AB27" i="8" s="1"/>
  <c r="AL27" i="8" a="1"/>
  <c r="AL27" i="8" s="1"/>
  <c r="D27" i="8" a="1"/>
  <c r="D27" i="8" s="1"/>
  <c r="F27" i="8" a="1"/>
  <c r="F27" i="8" s="1"/>
  <c r="R27" i="8" a="1"/>
  <c r="R27" i="8" s="1"/>
  <c r="AE27" i="8" a="1"/>
  <c r="AE27" i="8" s="1"/>
  <c r="AM27" i="8" a="1"/>
  <c r="AM27" i="8" s="1"/>
  <c r="B27" i="8" a="1"/>
  <c r="B27" i="8" s="1"/>
  <c r="H27" i="8" a="1"/>
  <c r="H27" i="8" s="1"/>
  <c r="AH27" i="8" a="1"/>
  <c r="AH27" i="8" s="1"/>
  <c r="K27" i="8" a="1"/>
  <c r="K27" i="8" s="1"/>
  <c r="AA27" i="8" a="1"/>
  <c r="AA27" i="8" s="1"/>
  <c r="W27" i="8" a="1"/>
  <c r="W27" i="8" s="1"/>
  <c r="S27" i="8" a="1"/>
  <c r="S27" i="8" s="1"/>
  <c r="Y27" i="8" a="1"/>
  <c r="Y27" i="8" s="1"/>
  <c r="C27" i="8" a="1"/>
  <c r="C27" i="8" s="1"/>
  <c r="V27" i="8" a="1"/>
  <c r="V27" i="8" s="1"/>
  <c r="AD27" i="8" a="1"/>
  <c r="AD27" i="8" s="1"/>
  <c r="AG27" i="8" a="1"/>
  <c r="AG27" i="8" s="1"/>
  <c r="P27" i="8" a="1"/>
  <c r="P27" i="8" s="1"/>
  <c r="AF27" i="8" a="1"/>
  <c r="AF27" i="8" s="1"/>
  <c r="AJ27" i="8" a="1"/>
  <c r="AJ27" i="8" s="1"/>
  <c r="T27" i="8" a="1"/>
  <c r="T27" i="8" s="1"/>
  <c r="X27" i="8" a="1"/>
  <c r="X27" i="8" s="1"/>
  <c r="AQ27" i="8" a="1"/>
  <c r="AQ27" i="8" s="1"/>
  <c r="M27" i="8" a="1"/>
  <c r="M27" i="8" s="1"/>
  <c r="O27" i="8" a="1"/>
  <c r="O27" i="8" s="1"/>
  <c r="AO27" i="8" a="1"/>
  <c r="AO27" i="8" s="1"/>
  <c r="AS27" i="8" a="1"/>
  <c r="AS27" i="8" s="1"/>
  <c r="AV27" i="8" a="1"/>
  <c r="AV27" i="8" s="1"/>
  <c r="AT27" i="8" a="1"/>
  <c r="AT27" i="8" s="1"/>
  <c r="AU27" i="8" a="1"/>
  <c r="AU27" i="8" s="1"/>
  <c r="AW27" i="8" a="1"/>
  <c r="AW27" i="8" s="1"/>
  <c r="AX27" i="8" a="1"/>
  <c r="AX27" i="8" s="1"/>
  <c r="AY27" i="8" a="1"/>
  <c r="AY27" i="8" s="1"/>
  <c r="AZ27" i="8" a="1"/>
  <c r="AZ27" i="8" s="1"/>
  <c r="BC27" i="8" a="1"/>
  <c r="BC27" i="8" s="1"/>
  <c r="BB27" i="8" a="1"/>
  <c r="BB27" i="8" s="1"/>
  <c r="BG27" i="8" a="1"/>
  <c r="BG27" i="8" s="1"/>
  <c r="BA27" i="8" a="1"/>
  <c r="BA27" i="8" s="1"/>
  <c r="BE27" i="8" a="1"/>
  <c r="BE27" i="8" s="1"/>
  <c r="BD27" i="8" a="1"/>
  <c r="BD27" i="8" s="1"/>
  <c r="BF27" i="8" a="1"/>
  <c r="BF27" i="8" s="1"/>
  <c r="BI27" i="8" a="1"/>
  <c r="BI27" i="8" s="1"/>
  <c r="BH27" i="8" a="1"/>
  <c r="BH27" i="8" s="1"/>
  <c r="AK50" i="8"/>
  <c r="H16" i="7"/>
  <c r="Y50" i="8"/>
  <c r="G16" i="7"/>
  <c r="AN9" i="8" a="1"/>
  <c r="AN9" i="8" s="1"/>
  <c r="AR9" i="8" a="1"/>
  <c r="AR9" i="8" s="1"/>
  <c r="AP9" i="8" a="1"/>
  <c r="AP9" i="8" s="1"/>
  <c r="AO9" i="8" a="1"/>
  <c r="AO9" i="8" s="1"/>
  <c r="AE9" i="8" a="1"/>
  <c r="AE9" i="8" s="1"/>
  <c r="Z9" i="8" a="1"/>
  <c r="Z9" i="8" s="1"/>
  <c r="E9" i="8" a="1"/>
  <c r="E9" i="8" s="1"/>
  <c r="AM9" i="8" a="1"/>
  <c r="AM9" i="8" s="1"/>
  <c r="Q9" i="8" a="1"/>
  <c r="Q9" i="8" s="1"/>
  <c r="M9" i="8" a="1"/>
  <c r="M9" i="8" s="1"/>
  <c r="AQ9" i="8" a="1"/>
  <c r="AQ9" i="8" s="1"/>
  <c r="AF9" i="8" a="1"/>
  <c r="AF9" i="8" s="1"/>
  <c r="AS9" i="8" a="1"/>
  <c r="AS9" i="8" s="1"/>
  <c r="AJ9" i="8" a="1"/>
  <c r="AJ9" i="8" s="1"/>
  <c r="I9" i="8" a="1"/>
  <c r="I9" i="8" s="1"/>
  <c r="X9" i="8" a="1"/>
  <c r="X9" i="8" s="1"/>
  <c r="B9" i="8" a="1"/>
  <c r="B9" i="8" s="1"/>
  <c r="AL9" i="8" a="1"/>
  <c r="AL9" i="8" s="1"/>
  <c r="H9" i="8" a="1"/>
  <c r="H9" i="8" s="1"/>
  <c r="V9" i="8" a="1"/>
  <c r="V9" i="8" s="1"/>
  <c r="AD9" i="8" a="1"/>
  <c r="AD9" i="8" s="1"/>
  <c r="AH9" i="8" a="1"/>
  <c r="AH9" i="8" s="1"/>
  <c r="C9" i="8" a="1"/>
  <c r="C9" i="8" s="1"/>
  <c r="U9" i="8" a="1"/>
  <c r="U9" i="8" s="1"/>
  <c r="F9" i="8" a="1"/>
  <c r="F9" i="8" s="1"/>
  <c r="AI9" i="8" a="1"/>
  <c r="AI9" i="8" s="1"/>
  <c r="AV9" i="8" a="1"/>
  <c r="AV9" i="8" s="1"/>
  <c r="L9" i="8" a="1"/>
  <c r="L9" i="8" s="1"/>
  <c r="O9" i="8" a="1"/>
  <c r="O9" i="8" s="1"/>
  <c r="AU9" i="8" a="1"/>
  <c r="AU9" i="8" s="1"/>
  <c r="AA9" i="8" a="1"/>
  <c r="AA9" i="8" s="1"/>
  <c r="AT9" i="8" a="1"/>
  <c r="AT9" i="8" s="1"/>
  <c r="Y9" i="8" a="1"/>
  <c r="Y9" i="8" s="1"/>
  <c r="AG9" i="8" a="1"/>
  <c r="AG9" i="8" s="1"/>
  <c r="P9" i="8" a="1"/>
  <c r="P9" i="8" s="1"/>
  <c r="AC9" i="8" a="1"/>
  <c r="AC9" i="8" s="1"/>
  <c r="W9" i="8" a="1"/>
  <c r="W9" i="8" s="1"/>
  <c r="AB9" i="8" a="1"/>
  <c r="AB9" i="8" s="1"/>
  <c r="J9" i="8" a="1"/>
  <c r="J9" i="8" s="1"/>
  <c r="G9" i="8" a="1"/>
  <c r="G9" i="8" s="1"/>
  <c r="K9" i="8" a="1"/>
  <c r="K9" i="8" s="1"/>
  <c r="AK9" i="8" a="1"/>
  <c r="AK9" i="8" s="1"/>
  <c r="D9" i="8" a="1"/>
  <c r="D9" i="8" s="1"/>
  <c r="N9" i="8" a="1"/>
  <c r="N9" i="8" s="1"/>
  <c r="T9" i="8" a="1"/>
  <c r="T9" i="8" s="1"/>
  <c r="R9" i="8" a="1"/>
  <c r="R9" i="8" s="1"/>
  <c r="S9" i="8" a="1"/>
  <c r="S9" i="8" s="1"/>
  <c r="AW9" i="8" a="1"/>
  <c r="AW9" i="8" s="1"/>
  <c r="AX9" i="8" a="1"/>
  <c r="AX9" i="8" s="1"/>
  <c r="AY9" i="8" a="1"/>
  <c r="AY9" i="8" s="1"/>
  <c r="BA9" i="8" a="1"/>
  <c r="BA9" i="8" s="1"/>
  <c r="AZ9" i="8" a="1"/>
  <c r="AZ9" i="8" s="1"/>
  <c r="BD9" i="8" a="1"/>
  <c r="BD9" i="8" s="1"/>
  <c r="BF9" i="8" a="1"/>
  <c r="BF9" i="8" s="1"/>
  <c r="BB9" i="8" a="1"/>
  <c r="BB9" i="8" s="1"/>
  <c r="BI9" i="8" a="1"/>
  <c r="BI9" i="8" s="1"/>
  <c r="BC9" i="8" a="1"/>
  <c r="BC9" i="8" s="1"/>
  <c r="BE9" i="8" a="1"/>
  <c r="BE9" i="8" s="1"/>
  <c r="BG9" i="8" a="1"/>
  <c r="BG9" i="8" s="1"/>
  <c r="BH9" i="8" a="1"/>
  <c r="BH9" i="8" s="1"/>
  <c r="E25" i="7"/>
  <c r="E27" i="7"/>
  <c r="E23" i="7"/>
  <c r="AW50" i="8"/>
  <c r="I16" i="7"/>
  <c r="E21" i="7"/>
  <c r="F20" i="7"/>
  <c r="E20" i="7" s="1"/>
  <c r="BI50" i="8"/>
  <c r="J16" i="7"/>
  <c r="BL67" i="6"/>
  <c r="BL66" i="6" s="1"/>
  <c r="BL180" i="6" s="1"/>
  <c r="AL21" i="8" a="1"/>
  <c r="AL21" i="8" s="1"/>
  <c r="AM21" i="8" a="1"/>
  <c r="AM21" i="8" s="1"/>
  <c r="AM19" i="8" s="1"/>
  <c r="AM18" i="8" s="1"/>
  <c r="AO21" i="8" a="1"/>
  <c r="AO21" i="8" s="1"/>
  <c r="AO19" i="8" s="1"/>
  <c r="AO18" i="8" s="1"/>
  <c r="AP21" i="8" a="1"/>
  <c r="AP21" i="8" s="1"/>
  <c r="AP19" i="8" s="1"/>
  <c r="AP18" i="8" s="1"/>
  <c r="AR21" i="8" a="1"/>
  <c r="AR21" i="8" s="1"/>
  <c r="AR19" i="8" s="1"/>
  <c r="AR18" i="8" s="1"/>
  <c r="AQ21" i="8" a="1"/>
  <c r="AQ21" i="8" s="1"/>
  <c r="AQ19" i="8" s="1"/>
  <c r="AQ18" i="8" s="1"/>
  <c r="AN21" i="8" a="1"/>
  <c r="AN21" i="8" s="1"/>
  <c r="AN19" i="8" s="1"/>
  <c r="AN18" i="8" s="1"/>
  <c r="W21" i="8" a="1"/>
  <c r="W21" i="8" s="1"/>
  <c r="W19" i="8" s="1"/>
  <c r="W18" i="8" s="1"/>
  <c r="AK21" i="8" a="1"/>
  <c r="AK21" i="8" s="1"/>
  <c r="AK19" i="8" s="1"/>
  <c r="AK18" i="8" s="1"/>
  <c r="D21" i="8" a="1"/>
  <c r="D21" i="8" s="1"/>
  <c r="D19" i="8" s="1"/>
  <c r="D18" i="8" s="1"/>
  <c r="T21" i="8" a="1"/>
  <c r="T21" i="8" s="1"/>
  <c r="T19" i="8" s="1"/>
  <c r="T18" i="8" s="1"/>
  <c r="AJ21" i="8" a="1"/>
  <c r="AJ21" i="8" s="1"/>
  <c r="AJ19" i="8" s="1"/>
  <c r="AJ18" i="8" s="1"/>
  <c r="AF21" i="8" a="1"/>
  <c r="AF21" i="8" s="1"/>
  <c r="AF19" i="8" s="1"/>
  <c r="AF18" i="8" s="1"/>
  <c r="AC21" i="8" a="1"/>
  <c r="AC21" i="8" s="1"/>
  <c r="AC19" i="8" s="1"/>
  <c r="AC18" i="8" s="1"/>
  <c r="V21" i="8" a="1"/>
  <c r="V21" i="8" s="1"/>
  <c r="V19" i="8" s="1"/>
  <c r="V18" i="8" s="1"/>
  <c r="J21" i="8" a="1"/>
  <c r="J21" i="8" s="1"/>
  <c r="J19" i="8" s="1"/>
  <c r="J18" i="8" s="1"/>
  <c r="R21" i="8" a="1"/>
  <c r="R21" i="8" s="1"/>
  <c r="R19" i="8" s="1"/>
  <c r="R18" i="8" s="1"/>
  <c r="P21" i="8" a="1"/>
  <c r="P21" i="8" s="1"/>
  <c r="P19" i="8" s="1"/>
  <c r="P18" i="8" s="1"/>
  <c r="S21" i="8" a="1"/>
  <c r="S21" i="8" s="1"/>
  <c r="S19" i="8" s="1"/>
  <c r="S18" i="8" s="1"/>
  <c r="E21" i="8" a="1"/>
  <c r="E21" i="8" s="1"/>
  <c r="E19" i="8" s="1"/>
  <c r="E18" i="8" s="1"/>
  <c r="N21" i="8" a="1"/>
  <c r="N21" i="8" s="1"/>
  <c r="K21" i="8" a="1"/>
  <c r="K21" i="8" s="1"/>
  <c r="K19" i="8" s="1"/>
  <c r="K18" i="8" s="1"/>
  <c r="Y21" i="8" a="1"/>
  <c r="Y21" i="8" s="1"/>
  <c r="Y19" i="8" s="1"/>
  <c r="Y18" i="8" s="1"/>
  <c r="O21" i="8" a="1"/>
  <c r="O21" i="8" s="1"/>
  <c r="O19" i="8" s="1"/>
  <c r="O18" i="8" s="1"/>
  <c r="AH21" i="8" a="1"/>
  <c r="AH21" i="8" s="1"/>
  <c r="AH19" i="8" s="1"/>
  <c r="AH18" i="8" s="1"/>
  <c r="M21" i="8" a="1"/>
  <c r="M21" i="8" s="1"/>
  <c r="M19" i="8" s="1"/>
  <c r="M18" i="8" s="1"/>
  <c r="AI21" i="8" a="1"/>
  <c r="AI21" i="8" s="1"/>
  <c r="AI19" i="8" s="1"/>
  <c r="AI18" i="8" s="1"/>
  <c r="B21" i="8" a="1"/>
  <c r="B21" i="8" s="1"/>
  <c r="C21" i="8" a="1"/>
  <c r="C21" i="8" s="1"/>
  <c r="C19" i="8" s="1"/>
  <c r="C18" i="8" s="1"/>
  <c r="H21" i="8" a="1"/>
  <c r="H21" i="8" s="1"/>
  <c r="H19" i="8" s="1"/>
  <c r="H18" i="8" s="1"/>
  <c r="AS21" i="8" a="1"/>
  <c r="AS21" i="8" s="1"/>
  <c r="AS19" i="8" s="1"/>
  <c r="AS18" i="8" s="1"/>
  <c r="AE21" i="8" a="1"/>
  <c r="AE21" i="8" s="1"/>
  <c r="AE19" i="8" s="1"/>
  <c r="AE18" i="8" s="1"/>
  <c r="AG21" i="8" a="1"/>
  <c r="AG21" i="8" s="1"/>
  <c r="AG19" i="8" s="1"/>
  <c r="AG18" i="8" s="1"/>
  <c r="AB21" i="8" a="1"/>
  <c r="AB21" i="8" s="1"/>
  <c r="AB19" i="8" s="1"/>
  <c r="AB18" i="8" s="1"/>
  <c r="U21" i="8" a="1"/>
  <c r="U21" i="8" s="1"/>
  <c r="U19" i="8" s="1"/>
  <c r="U18" i="8" s="1"/>
  <c r="F21" i="8" a="1"/>
  <c r="F21" i="8" s="1"/>
  <c r="F19" i="8" s="1"/>
  <c r="F18" i="8" s="1"/>
  <c r="I21" i="8" a="1"/>
  <c r="I21" i="8" s="1"/>
  <c r="I19" i="8" s="1"/>
  <c r="I18" i="8" s="1"/>
  <c r="AD21" i="8" a="1"/>
  <c r="AD21" i="8" s="1"/>
  <c r="AD19" i="8" s="1"/>
  <c r="AD18" i="8" s="1"/>
  <c r="Z21" i="8" a="1"/>
  <c r="Z21" i="8" s="1"/>
  <c r="G21" i="8" a="1"/>
  <c r="G21" i="8" s="1"/>
  <c r="G19" i="8" s="1"/>
  <c r="G18" i="8" s="1"/>
  <c r="X21" i="8" a="1"/>
  <c r="X21" i="8" s="1"/>
  <c r="X19" i="8" s="1"/>
  <c r="Q21" i="8" a="1"/>
  <c r="Q21" i="8" s="1"/>
  <c r="Q19" i="8" s="1"/>
  <c r="Q18" i="8" s="1"/>
  <c r="L21" i="8" a="1"/>
  <c r="L21" i="8" s="1"/>
  <c r="L19" i="8" s="1"/>
  <c r="L18" i="8" s="1"/>
  <c r="AT21" i="8" a="1"/>
  <c r="AT21" i="8" s="1"/>
  <c r="AT19" i="8" s="1"/>
  <c r="AT18" i="8" s="1"/>
  <c r="AA21" i="8" a="1"/>
  <c r="AA21" i="8" s="1"/>
  <c r="AA19" i="8" s="1"/>
  <c r="AA18" i="8" s="1"/>
  <c r="AU21" i="8" a="1"/>
  <c r="AU21" i="8" s="1"/>
  <c r="AU19" i="8" s="1"/>
  <c r="AU18" i="8" s="1"/>
  <c r="AV21" i="8" a="1"/>
  <c r="AV21" i="8" s="1"/>
  <c r="AV19" i="8" s="1"/>
  <c r="AV18" i="8" s="1"/>
  <c r="AW21" i="8" a="1"/>
  <c r="AW21" i="8" s="1"/>
  <c r="AW19" i="8" s="1"/>
  <c r="AW18" i="8" s="1"/>
  <c r="AX21" i="8" a="1"/>
  <c r="AX21" i="8" s="1"/>
  <c r="AY21" i="8" a="1"/>
  <c r="AY21" i="8" s="1"/>
  <c r="AY19" i="8" s="1"/>
  <c r="AY18" i="8" s="1"/>
  <c r="AZ21" i="8" a="1"/>
  <c r="AZ21" i="8" s="1"/>
  <c r="AZ19" i="8" s="1"/>
  <c r="AZ18" i="8" s="1"/>
  <c r="BA21" i="8" a="1"/>
  <c r="BA21" i="8" s="1"/>
  <c r="BA19" i="8" s="1"/>
  <c r="BA18" i="8" s="1"/>
  <c r="BB21" i="8" a="1"/>
  <c r="BB21" i="8" s="1"/>
  <c r="BB19" i="8" s="1"/>
  <c r="BB18" i="8" s="1"/>
  <c r="BC21" i="8" a="1"/>
  <c r="BC21" i="8" s="1"/>
  <c r="BC19" i="8" s="1"/>
  <c r="BC18" i="8" s="1"/>
  <c r="BD21" i="8" a="1"/>
  <c r="BD21" i="8" s="1"/>
  <c r="BD19" i="8" s="1"/>
  <c r="BD18" i="8" s="1"/>
  <c r="BF21" i="8" a="1"/>
  <c r="BF21" i="8" s="1"/>
  <c r="BF19" i="8" s="1"/>
  <c r="BF18" i="8" s="1"/>
  <c r="BE21" i="8" a="1"/>
  <c r="BE21" i="8" s="1"/>
  <c r="BE19" i="8" s="1"/>
  <c r="BE18" i="8" s="1"/>
  <c r="BG21" i="8" a="1"/>
  <c r="BG21" i="8" s="1"/>
  <c r="BG19" i="8" s="1"/>
  <c r="BH21" i="8" a="1"/>
  <c r="BH21" i="8" s="1"/>
  <c r="BH19" i="8" s="1"/>
  <c r="BH18" i="8" s="1"/>
  <c r="BI21" i="8" a="1"/>
  <c r="BI21" i="8" s="1"/>
  <c r="BI19" i="8" s="1"/>
  <c r="BI18" i="8" s="1"/>
  <c r="E29" i="7"/>
  <c r="F30" i="7"/>
  <c r="E30" i="7" s="1"/>
  <c r="E22" i="7"/>
  <c r="M50" i="8"/>
  <c r="F16" i="7"/>
  <c r="N23" i="4"/>
  <c r="U22" i="4"/>
  <c r="T22" i="4"/>
  <c r="BD10" i="8" l="1"/>
  <c r="T10" i="8"/>
  <c r="W10" i="8"/>
  <c r="O10" i="8"/>
  <c r="AD10" i="8"/>
  <c r="AS10" i="8"/>
  <c r="AE10" i="8"/>
  <c r="AF10" i="8"/>
  <c r="AO10" i="8"/>
  <c r="F28" i="7"/>
  <c r="H28" i="7"/>
  <c r="H10" i="8"/>
  <c r="AQ10" i="8"/>
  <c r="AP10" i="8"/>
  <c r="G28" i="7"/>
  <c r="L10" i="8"/>
  <c r="AK10" i="8"/>
  <c r="AL10" i="8"/>
  <c r="I19" i="7"/>
  <c r="M10" i="8"/>
  <c r="AR10" i="8"/>
  <c r="AC10" i="8"/>
  <c r="N19" i="8"/>
  <c r="N18" i="8" s="1"/>
  <c r="G26" i="7"/>
  <c r="BA10" i="8"/>
  <c r="F26" i="7"/>
  <c r="B19" i="8"/>
  <c r="B18" i="8" s="1"/>
  <c r="F24" i="7" s="1"/>
  <c r="BE10" i="8"/>
  <c r="AG10" i="8"/>
  <c r="BC10" i="8"/>
  <c r="AX10" i="8"/>
  <c r="J19" i="7"/>
  <c r="J32" i="7" s="1"/>
  <c r="K10" i="8"/>
  <c r="Y10" i="8"/>
  <c r="F10" i="8"/>
  <c r="B10" i="8"/>
  <c r="F19" i="7"/>
  <c r="Q10" i="8"/>
  <c r="AN10" i="8"/>
  <c r="Z19" i="8"/>
  <c r="Z18" i="8" s="1"/>
  <c r="H24" i="7" s="1"/>
  <c r="H26" i="7"/>
  <c r="AZ10" i="8"/>
  <c r="BG10" i="8"/>
  <c r="P10" i="8"/>
  <c r="AI10" i="8"/>
  <c r="U23" i="4"/>
  <c r="T23" i="4"/>
  <c r="BG18" i="8"/>
  <c r="BI10" i="8"/>
  <c r="AW10" i="8"/>
  <c r="G10" i="8"/>
  <c r="AT10" i="8"/>
  <c r="U10" i="8"/>
  <c r="X10" i="8"/>
  <c r="AM10" i="8"/>
  <c r="BL179" i="6"/>
  <c r="N10" i="8"/>
  <c r="G19" i="7"/>
  <c r="G32" i="7" s="1"/>
  <c r="AV10" i="8"/>
  <c r="AL19" i="8"/>
  <c r="AL18" i="8" s="1"/>
  <c r="I24" i="7" s="1"/>
  <c r="I26" i="7"/>
  <c r="S10" i="8"/>
  <c r="J10" i="8"/>
  <c r="C10" i="8"/>
  <c r="I10" i="8"/>
  <c r="E10" i="8"/>
  <c r="BL181" i="6"/>
  <c r="BH10" i="8"/>
  <c r="V10" i="8"/>
  <c r="D10" i="8"/>
  <c r="AY10" i="8"/>
  <c r="AX19" i="8"/>
  <c r="AX18" i="8" s="1"/>
  <c r="J24" i="7" s="1"/>
  <c r="J26" i="7"/>
  <c r="X18" i="8"/>
  <c r="BB10" i="8"/>
  <c r="AA10" i="8"/>
  <c r="BF10" i="8"/>
  <c r="R10" i="8"/>
  <c r="AB10" i="8"/>
  <c r="AU10" i="8"/>
  <c r="AH10" i="8"/>
  <c r="AJ10" i="8"/>
  <c r="Z10" i="8"/>
  <c r="H19" i="7"/>
  <c r="J28" i="7"/>
  <c r="I28" i="7"/>
  <c r="H32" i="7" l="1"/>
  <c r="E19" i="7"/>
  <c r="F32" i="7"/>
  <c r="E28" i="7"/>
  <c r="AS31" i="8" a="1"/>
  <c r="AS31" i="8" s="1"/>
  <c r="AS32" i="8" s="1"/>
  <c r="AR31" i="8" a="1"/>
  <c r="AR31" i="8" s="1"/>
  <c r="AR32" i="8" s="1"/>
  <c r="AQ31" i="8" a="1"/>
  <c r="AQ31" i="8" s="1"/>
  <c r="AQ32" i="8" s="1"/>
  <c r="AP31" i="8" a="1"/>
  <c r="AP31" i="8" s="1"/>
  <c r="AP32" i="8" s="1"/>
  <c r="AL31" i="8" a="1"/>
  <c r="AL31" i="8" s="1"/>
  <c r="I31" i="7" s="1"/>
  <c r="AM31" i="8" a="1"/>
  <c r="AM31" i="8" s="1"/>
  <c r="AM32" i="8" s="1"/>
  <c r="AO31" i="8" a="1"/>
  <c r="AO31" i="8" s="1"/>
  <c r="AO32" i="8" s="1"/>
  <c r="AN31" i="8" a="1"/>
  <c r="AN31" i="8" s="1"/>
  <c r="AN32" i="8" s="1"/>
  <c r="I31" i="8" a="1"/>
  <c r="I31" i="8" s="1"/>
  <c r="I32" i="8" s="1"/>
  <c r="B31" i="8" a="1"/>
  <c r="B31" i="8" s="1"/>
  <c r="W31" i="8" a="1"/>
  <c r="W31" i="8" s="1"/>
  <c r="W32" i="8" s="1"/>
  <c r="E31" i="8" a="1"/>
  <c r="E31" i="8" s="1"/>
  <c r="E32" i="8" s="1"/>
  <c r="U31" i="8" a="1"/>
  <c r="U31" i="8" s="1"/>
  <c r="U32" i="8" s="1"/>
  <c r="G31" i="8" a="1"/>
  <c r="G31" i="8" s="1"/>
  <c r="G32" i="8" s="1"/>
  <c r="C31" i="8" a="1"/>
  <c r="C31" i="8" s="1"/>
  <c r="C32" i="8" s="1"/>
  <c r="X31" i="8" a="1"/>
  <c r="X31" i="8" s="1"/>
  <c r="X32" i="8" s="1"/>
  <c r="P31" i="8" a="1"/>
  <c r="P31" i="8" s="1"/>
  <c r="P32" i="8" s="1"/>
  <c r="AT31" i="8" a="1"/>
  <c r="AT31" i="8" s="1"/>
  <c r="AT32" i="8" s="1"/>
  <c r="D31" i="8" a="1"/>
  <c r="D31" i="8" s="1"/>
  <c r="D32" i="8" s="1"/>
  <c r="K31" i="8" a="1"/>
  <c r="K31" i="8" s="1"/>
  <c r="K32" i="8" s="1"/>
  <c r="AD31" i="8" a="1"/>
  <c r="AD31" i="8" s="1"/>
  <c r="AD32" i="8" s="1"/>
  <c r="O31" i="8" a="1"/>
  <c r="O31" i="8" s="1"/>
  <c r="O32" i="8" s="1"/>
  <c r="AU31" i="8" a="1"/>
  <c r="AU31" i="8" s="1"/>
  <c r="AU32" i="8" s="1"/>
  <c r="AK31" i="8" a="1"/>
  <c r="AK31" i="8" s="1"/>
  <c r="AK32" i="8" s="1"/>
  <c r="J31" i="8" a="1"/>
  <c r="J31" i="8" s="1"/>
  <c r="J32" i="8" s="1"/>
  <c r="AV31" i="8" a="1"/>
  <c r="AV31" i="8" s="1"/>
  <c r="AV32" i="8" s="1"/>
  <c r="AJ31" i="8" a="1"/>
  <c r="AJ31" i="8" s="1"/>
  <c r="AJ32" i="8" s="1"/>
  <c r="AB31" i="8" a="1"/>
  <c r="AB31" i="8" s="1"/>
  <c r="AB32" i="8" s="1"/>
  <c r="L31" i="8" a="1"/>
  <c r="L31" i="8" s="1"/>
  <c r="L32" i="8" s="1"/>
  <c r="V31" i="8" a="1"/>
  <c r="V31" i="8" s="1"/>
  <c r="V32" i="8" s="1"/>
  <c r="S31" i="8" a="1"/>
  <c r="S31" i="8" s="1"/>
  <c r="S32" i="8" s="1"/>
  <c r="AF31" i="8" a="1"/>
  <c r="AF31" i="8" s="1"/>
  <c r="AF32" i="8" s="1"/>
  <c r="H31" i="8" a="1"/>
  <c r="H31" i="8" s="1"/>
  <c r="H32" i="8" s="1"/>
  <c r="Q31" i="8" a="1"/>
  <c r="Q31" i="8" s="1"/>
  <c r="Q32" i="8" s="1"/>
  <c r="AI31" i="8" a="1"/>
  <c r="AI31" i="8" s="1"/>
  <c r="AI32" i="8" s="1"/>
  <c r="M31" i="8" a="1"/>
  <c r="M31" i="8" s="1"/>
  <c r="M32" i="8" s="1"/>
  <c r="AG31" i="8" a="1"/>
  <c r="AG31" i="8" s="1"/>
  <c r="AG32" i="8" s="1"/>
  <c r="Y31" i="8" a="1"/>
  <c r="Y31" i="8" s="1"/>
  <c r="Y32" i="8" s="1"/>
  <c r="Z31" i="8" a="1"/>
  <c r="Z31" i="8" s="1"/>
  <c r="AA31" i="8" a="1"/>
  <c r="AA31" i="8" s="1"/>
  <c r="AA32" i="8" s="1"/>
  <c r="AE31" i="8" a="1"/>
  <c r="AE31" i="8" s="1"/>
  <c r="AE32" i="8" s="1"/>
  <c r="AC31" i="8" a="1"/>
  <c r="AC31" i="8" s="1"/>
  <c r="AC32" i="8" s="1"/>
  <c r="F31" i="8" a="1"/>
  <c r="F31" i="8" s="1"/>
  <c r="F32" i="8" s="1"/>
  <c r="N31" i="8" a="1"/>
  <c r="N31" i="8" s="1"/>
  <c r="AW31" i="8" a="1"/>
  <c r="AW31" i="8" s="1"/>
  <c r="AW32" i="8" s="1"/>
  <c r="AX31" i="8" a="1"/>
  <c r="AX31" i="8" s="1"/>
  <c r="R31" i="8" a="1"/>
  <c r="R31" i="8" s="1"/>
  <c r="R32" i="8" s="1"/>
  <c r="AH31" i="8" a="1"/>
  <c r="AH31" i="8" s="1"/>
  <c r="AH32" i="8" s="1"/>
  <c r="T31" i="8" a="1"/>
  <c r="T31" i="8" s="1"/>
  <c r="T32" i="8" s="1"/>
  <c r="AY31" i="8" a="1"/>
  <c r="AY31" i="8" s="1"/>
  <c r="AY32" i="8" s="1"/>
  <c r="AZ31" i="8" a="1"/>
  <c r="AZ31" i="8" s="1"/>
  <c r="AZ32" i="8" s="1"/>
  <c r="BA31" i="8" a="1"/>
  <c r="BA31" i="8" s="1"/>
  <c r="BA32" i="8" s="1"/>
  <c r="BB31" i="8" a="1"/>
  <c r="BB31" i="8" s="1"/>
  <c r="BB32" i="8" s="1"/>
  <c r="BC31" i="8" a="1"/>
  <c r="BC31" i="8" s="1"/>
  <c r="BC32" i="8" s="1"/>
  <c r="BD31" i="8" a="1"/>
  <c r="BD31" i="8" s="1"/>
  <c r="BD32" i="8" s="1"/>
  <c r="BG31" i="8" a="1"/>
  <c r="BG31" i="8" s="1"/>
  <c r="BG32" i="8" s="1"/>
  <c r="BE31" i="8" a="1"/>
  <c r="BE31" i="8" s="1"/>
  <c r="BE32" i="8" s="1"/>
  <c r="BF31" i="8" a="1"/>
  <c r="BF31" i="8" s="1"/>
  <c r="BF32" i="8" s="1"/>
  <c r="BI31" i="8" a="1"/>
  <c r="BI31" i="8" s="1"/>
  <c r="BI32" i="8" s="1"/>
  <c r="BH31" i="8" a="1"/>
  <c r="BH31" i="8" s="1"/>
  <c r="BH32" i="8" s="1"/>
  <c r="I32" i="7"/>
  <c r="E26" i="7"/>
  <c r="G24" i="7"/>
  <c r="E24" i="7" s="1"/>
  <c r="J31" i="7" l="1"/>
  <c r="AX32" i="8"/>
  <c r="AL32" i="8"/>
  <c r="E32" i="7"/>
  <c r="G31" i="7"/>
  <c r="N32" i="8"/>
  <c r="H31" i="7"/>
  <c r="Z32" i="8"/>
  <c r="F31" i="7"/>
  <c r="B32" i="8"/>
  <c r="E31"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<sst xmlns="http://schemas.openxmlformats.org/spreadsheetml/2006/main" count="1310" uniqueCount="470">
  <si>
    <t>Nhom</t>
  </si>
  <si>
    <t>SP</t>
  </si>
  <si>
    <t>pl</t>
  </si>
  <si>
    <t>Sum of BALANCE</t>
  </si>
  <si>
    <t>Sum of Lai DCV</t>
  </si>
  <si>
    <t>Month</t>
  </si>
  <si>
    <t>Day</t>
  </si>
  <si>
    <t>UPL</t>
  </si>
  <si>
    <t>cl</t>
  </si>
  <si>
    <t>BE CASHLOAN</t>
  </si>
  <si>
    <t>CAKE CASHLOAN</t>
  </si>
  <si>
    <t>OD</t>
  </si>
  <si>
    <t>CAKE OVERDRAFT</t>
  </si>
  <si>
    <t>PD</t>
  </si>
  <si>
    <t>CAKE PAYDAY</t>
  </si>
  <si>
    <t>MWG CASHLOAN</t>
  </si>
  <si>
    <t>NGS CASHLOAN</t>
  </si>
  <si>
    <t>VIETTEL CASHLOAN</t>
  </si>
  <si>
    <t>VIETTEL PAYDAY</t>
  </si>
  <si>
    <t>VIETTEL PAYDAYPAYROLL</t>
  </si>
  <si>
    <t>VIETTEL PAYROLL CASHLOAN</t>
  </si>
  <si>
    <t>VNPAY CASHLOAN</t>
  </si>
  <si>
    <t>VNPOST CASHLOAN</t>
  </si>
  <si>
    <t>Zalopay CASHLOAN</t>
  </si>
  <si>
    <t>SAP MODEL - PAYDAY</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</si>
  <si>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</si>
  <si>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</si>
  <si>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</si>
  <si>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</si>
  <si>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</si>
  <si>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</si>
  <si>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</si>
  <si>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</si>
  <si>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Payday tính hiệu quả của khoản vay giải ngân và thời hạn tối thiểu là 1 tháng với sử dụng phương pháp dự phòng IFRS hoặc VAS</t>
  </si>
  <si>
    <t>- Lưu ý rằng trường hợp dùng model để tính toán cho các khoản vay &lt; 1 tháng hoặc các khoản vay lẻ ngày thì cần tự quy đổi về hệ quy chiếu 1 tháng để tính</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</si>
  <si>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</si>
  <si>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</si>
  <si>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</si>
  <si>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</si>
  <si>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</si>
  <si>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</si>
  <si>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</si>
  <si>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</si>
  <si>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</si>
  <si>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</si>
  <si>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</si>
  <si>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</si>
  <si>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</si>
  <si>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</si>
  <si>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</si>
  <si>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</si>
  <si>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</si>
  <si>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Amount &amp; Tenor</t>
  </si>
  <si>
    <t>Loan amount</t>
  </si>
  <si>
    <t>Số tiền vay giải ngân</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</si>
  <si>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</si>
  <si>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</si>
  <si>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</si>
  <si>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</si>
  <si>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</si>
  <si>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</si>
  <si>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</si>
  <si>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</si>
  <si>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</si>
  <si>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</si>
  <si>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</si>
  <si>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</si>
  <si>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</si>
  <si>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</si>
  <si>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</si>
  <si>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</si>
  <si>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</si>
  <si>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</si>
  <si>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</si>
  <si>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</si>
  <si>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</si>
  <si>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</si>
  <si>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</si>
  <si>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</si>
  <si>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</si>
  <si>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</si>
  <si>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</si>
  <si>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</si>
  <si>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</si>
  <si>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</si>
  <si>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</si>
  <si>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</si>
  <si>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</si>
  <si>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</si>
  <si>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</si>
  <si>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</si>
  <si>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</si>
  <si>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</si>
  <si>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</si>
  <si>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</si>
  <si>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</si>
  <si>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</si>
  <si>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</si>
  <si>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</si>
  <si>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</si>
  <si>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</si>
  <si>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Diễn giải</t>
  </si>
  <si>
    <t>Chú thích</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</si>
  <si>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</si>
  <si>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</si>
  <si>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</si>
  <si>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</si>
  <si>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</si>
  <si>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</si>
  <si>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</si>
  <si>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</si>
  <si>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</si>
  <si>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</si>
  <si>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</si>
  <si>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</si>
  <si>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</si>
  <si>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</si>
  <si>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</si>
  <si>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</si>
  <si>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</si>
  <si>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</si>
  <si>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</si>
  <si>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</si>
  <si>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</si>
  <si>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</si>
  <si>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</si>
  <si>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</si>
  <si>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</si>
  <si>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</si>
  <si>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</si>
  <si>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</si>
  <si>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</si>
  <si>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</si>
  <si>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</si>
  <si>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</si>
  <si>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</si>
  <si>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</si>
  <si>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</si>
  <si>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</si>
  <si>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</si>
  <si>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</si>
  <si>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</si>
  <si>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</si>
  <si>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</si>
  <si>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</si>
  <si>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</si>
  <si>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</si>
  <si>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</si>
  <si>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</si>
  <si>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</si>
  <si>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</si>
  <si>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</si>
  <si>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</si>
  <si>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</si>
  <si>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</si>
  <si>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</si>
  <si>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</si>
  <si>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</si>
  <si>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</si>
  <si>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</si>
  <si>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</si>
  <si>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</si>
  <si>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</si>
  <si>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</si>
  <si>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</si>
  <si>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</si>
  <si>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</si>
  <si>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</si>
  <si>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Collected after WO</t>
  </si>
  <si>
    <t>Fee and Penalty</t>
  </si>
  <si>
    <t>Tỉ lệ thu được phí lãi</t>
  </si>
  <si>
    <t>Write-off mode</t>
  </si>
  <si>
    <t>Provision mode</t>
  </si>
  <si>
    <t>DPD360+</t>
  </si>
  <si>
    <t>IFRS</t>
  </si>
  <si>
    <t>DPD180+</t>
  </si>
  <si>
    <t>VAS</t>
  </si>
  <si>
    <t>SAP PAYDAY MODEL</t>
  </si>
  <si>
    <t>HKN</t>
  </si>
  <si>
    <t>NOTE</t>
  </si>
  <si>
    <t>Please read carefully about before using model</t>
  </si>
  <si>
    <t>Product</t>
  </si>
  <si>
    <t>Unsecured loan</t>
  </si>
  <si>
    <t>Risk input</t>
  </si>
  <si>
    <t>Disclaimer</t>
  </si>
  <si>
    <t>Sub-Product</t>
  </si>
  <si>
    <t>Payday</t>
  </si>
  <si>
    <t>ALL</t>
  </si>
  <si>
    <t>Write off</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</si>
  <si>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</si>
  <si>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</si>
  <si>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</si>
  <si>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</si>
  <si>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</si>
  <si>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</si>
  <si>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</si>
  <si>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</si>
  <si>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</si>
  <si>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</si>
  <si>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</si>
  <si>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</si>
  <si>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</si>
  <si>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</si>
  <si>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</si>
  <si>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</si>
  <si>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</si>
  <si>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</si>
  <si>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</si>
  <si>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</si>
  <si>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</si>
  <si>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</si>
  <si>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</si>
  <si>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</si>
  <si>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</si>
  <si>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</si>
  <si>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</si>
  <si>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</si>
  <si>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</si>
  <si>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</si>
  <si>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</si>
  <si>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</si>
  <si>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</si>
  <si>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</si>
  <si>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</si>
  <si>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</si>
  <si>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</si>
  <si>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</si>
  <si>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</si>
  <si>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</si>
  <si>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</si>
  <si>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</si>
  <si>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</si>
  <si>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</si>
  <si>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</si>
  <si>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</si>
  <si>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</si>
  <si>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Underwriting</t>
  </si>
  <si>
    <t>Disbursement</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</si>
  <si>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</si>
  <si>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</si>
  <si>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</si>
  <si>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</si>
  <si>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</si>
  <si>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</si>
  <si>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</si>
  <si>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</si>
  <si>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</si>
  <si>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</si>
  <si>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</si>
  <si>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</si>
  <si>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</si>
  <si>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</si>
  <si>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</si>
  <si>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</si>
  <si>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</si>
  <si>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</si>
  <si>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</si>
  <si>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</si>
  <si>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</si>
  <si>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</si>
  <si>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</si>
  <si>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B0 - B1</t>
  </si>
  <si>
    <t>B1 - B2</t>
  </si>
  <si>
    <t>B2 - B3</t>
  </si>
  <si>
    <t>B3 - B4</t>
  </si>
  <si>
    <t>B4 - B5</t>
  </si>
  <si>
    <t>B5 - B6</t>
  </si>
  <si>
    <t>B6 - B7</t>
  </si>
  <si>
    <t>B7 - B8</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</si>
  <si>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</si>
  <si>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</si>
  <si>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</si>
  <si>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</si>
  <si>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</si>
  <si>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</si>
  <si>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</si>
  <si>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</si>
  <si>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</si>
  <si>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</si>
  <si>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</si>
  <si>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</si>
  <si>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</si>
  <si>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</si>
  <si>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</si>
  <si>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</si>
  <si>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per principle</t>
  </si>
  <si>
    <t>1. Income</t>
  </si>
  <si>
    <t>Disburse date</t>
  </si>
  <si>
    <t># Disburse</t>
  </si>
  <si>
    <t>Disburse amount (VND)</t>
  </si>
  <si>
    <t>Ticket size (VND)</t>
  </si>
  <si>
    <t>Avg tenor (Day)</t>
  </si>
  <si>
    <t>Avg IR (%)</t>
  </si>
  <si>
    <t>Insurance fee (VND)</t>
  </si>
  <si>
    <t>Insurance penetration by date (%)</t>
  </si>
  <si>
    <t>Average</t>
  </si>
  <si>
    <t>2. Cost</t>
  </si>
  <si>
    <t>Application</t>
  </si>
  <si>
    <t>Approval</t>
  </si>
  <si>
    <t>Disburse</t>
  </si>
  <si>
    <t>%Approval rate</t>
  </si>
  <si>
    <t>%Disburse</t>
  </si>
  <si>
    <t>3. Risk</t>
  </si>
  <si>
    <t>Sum of principal balance</t>
  </si>
  <si>
    <t>Column Labels</t>
  </si>
  <si>
    <t>bucket</t>
  </si>
  <si>
    <t>report_month</t>
  </si>
  <si>
    <t>principal balance</t>
  </si>
  <si>
    <t>Row Labels</t>
  </si>
  <si>
    <t>Grand Total</t>
  </si>
  <si>
    <t>B00</t>
  </si>
  <si>
    <t>B01</t>
  </si>
  <si>
    <t>B02</t>
  </si>
  <si>
    <t>B03</t>
  </si>
  <si>
    <t>B04</t>
  </si>
  <si>
    <t>B05</t>
  </si>
  <si>
    <t>B06</t>
  </si>
  <si>
    <t>B07</t>
  </si>
  <si>
    <t>B08</t>
  </si>
  <si>
    <t>B09</t>
  </si>
  <si>
    <t>B10</t>
  </si>
  <si>
    <t>B11</t>
  </si>
  <si>
    <t>B12</t>
  </si>
  <si>
    <t>B13</t>
  </si>
  <si>
    <t>B14</t>
  </si>
  <si>
    <t>B15</t>
  </si>
  <si>
    <t>B16</t>
  </si>
  <si>
    <t>B17</t>
  </si>
  <si>
    <t>B18</t>
  </si>
  <si>
    <t>B19</t>
  </si>
  <si>
    <t>B20</t>
  </si>
  <si>
    <t>B21</t>
  </si>
  <si>
    <t>B22</t>
  </si>
  <si>
    <t>B23</t>
  </si>
  <si>
    <t>B24</t>
  </si>
  <si>
    <t>B25</t>
  </si>
  <si>
    <t>B26</t>
  </si>
  <si>
    <t>B27</t>
  </si>
  <si>
    <t>B28</t>
  </si>
  <si>
    <t>B29</t>
  </si>
  <si>
    <t>4. UW, collection, MKT</t>
  </si>
  <si>
    <t>New</t>
  </si>
  <si>
    <t>MKT</t>
  </si>
  <si>
    <t>UW</t>
  </si>
  <si>
    <t>Subproduct</t>
  </si>
  <si>
    <t>Chanel</t>
  </si>
  <si>
    <t>Catergory</t>
  </si>
  <si>
    <t>Sharing TOI</t>
  </si>
  <si>
    <t>Leadgen</t>
  </si>
  <si>
    <t>payday</t>
  </si>
  <si>
    <t>VDS</t>
  </si>
  <si>
    <t>disburse/spend</t>
  </si>
  <si>
    <t>payroll</t>
  </si>
  <si>
    <t>CAKE</t>
  </si>
  <si>
    <t>VNPAY</t>
  </si>
  <si>
    <t>Partner Sharing</t>
  </si>
  <si>
    <t>SAP Speadsheet</t>
  </si>
  <si>
    <t>Method</t>
  </si>
  <si>
    <t>Oustanding tenor</t>
  </si>
  <si>
    <t>Last month on book</t>
  </si>
  <si>
    <t>Balance</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</si>
  <si>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</si>
  <si>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</si>
  <si>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</si>
  <si>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</si>
  <si>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</si>
  <si>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</si>
  <si>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</si>
  <si>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</si>
  <si>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</si>
  <si>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</si>
  <si>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</si>
  <si>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</si>
  <si>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</si>
  <si>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</si>
  <si>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</si>
  <si>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</si>
  <si>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</si>
  <si>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</si>
  <si>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</si>
  <si>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</si>
  <si>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</si>
  <si>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</si>
  <si>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</si>
  <si>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</si>
  <si>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</si>
  <si>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</si>
  <si>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G5</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</si>
  <si>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</si>
  <si>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</si>
  <si>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</si>
  <si>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</si>
  <si>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</si>
  <si>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</si>
  <si>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</si>
  <si>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</si>
  <si>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</si>
  <si>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</si>
  <si>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</si>
  <si>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</si>
  <si>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</si>
  <si>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</si>
  <si>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</si>
  <si>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</si>
  <si>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</si>
  <si>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</si>
  <si>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</si>
  <si>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</si>
  <si>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</si>
  <si>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</si>
  <si>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</si>
  <si>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</si>
  <si>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</si>
  <si>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</si>
  <si>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</si>
  <si>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</si>
  <si>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</si>
  <si>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</si>
  <si>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</si>
  <si>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</si>
  <si>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</si>
  <si>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</si>
  <si>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</si>
  <si>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</si>
  <si>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</si>
  <si>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</si>
  <si>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</si>
  <si>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</si>
  <si>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</si>
  <si>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</si>
  <si>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</si>
  <si>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</si>
  <si>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</si>
  <si>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</si>
  <si>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</si>
  <si>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</si>
  <si>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</si>
  <si>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</si>
  <si>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</si>
  <si>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</si>
  <si>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</si>
  <si>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</si>
  <si>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</si>
  <si>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</si>
  <si>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</si>
  <si>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</si>
  <si>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</si>
  <si>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</si>
  <si>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</si>
  <si>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</si>
  <si>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</si>
  <si>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</si>
  <si>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</si>
  <si>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</si>
  <si>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</si>
  <si>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</si>
  <si>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</si>
  <si>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</si>
  <si>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</si>
  <si>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</si>
  <si>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</si>
  <si>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</si>
  <si>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</si>
  <si>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Insurance fee</t>
  </si>
  <si>
    <t>Sale incentive&amp;mkt</t>
  </si>
  <si>
    <t>DOP</t>
  </si>
  <si>
    <t>Collection</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</si>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</sst>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_(* #,##0.0000_);_(* \(#,##0.0000\);_(* &quot;-&quot;??_);_(@_)"/>
    <numFmt numFmtId="166" formatCode="_-* #,##0.00\ _₫_-;\-* #,##0.00\ _₫_-;_-* &quot;-&quot;??\ _₫_-;_-@_-"/>
    <numFmt numFmtId="167" formatCode="_-* #,##0\ _₫_-;\-* #,##0\ _₫_-;_-* &quot;-&quot;??\ _₫_-;_-@_-"/>
    <numFmt numFmtId="168" formatCode="_(* #,##0.0_);_(* \(#,##0.0\);_(* &quot;-&quot;??_);_(@_)"/>
    <numFmt numFmtId="169" formatCode="0.0%"/>
    <numFmt numFmtId="170" formatCode="_(* #,##0.000_);_(* \(#,##0.000\);_(* &quot;-&quot;??_);_(@_)"/>
    <numFmt numFmtId="171" formatCode="_(* #,##0.0000_);_(* \(#,##0.0000\);_(* &quot;-&quot;????_);_(@_)"/>
    <numFmt numFmtId="172" formatCode="[$-409]mmm\-yy;@"/>
    <numFmt numFmtId="173" formatCode="#,##0.0"/>
    <numFmt numFmtId="174" formatCode="[$-409]dd\-mmm\-yy;@"/>
  </numFmts>
  <fonts count="84" x14ac:knownFonts="1">
    <font>
      <sz val="12"/>
      <color theme="1"/>
      <name val="Aptos Narrow"/>
      <family val="2"/>
      <scheme val="minor"/>
    </font>
    <font>
      <b/>
      <sz val="15"/>
      <color theme="3"/>
      <name val="Aptos Narrow"/>
      <family val="2"/>
      <scheme val="minor"/>
    </font>
    <font>
      <sz val="11"/>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b/>
      <sz val="10"/>
      <name val="Arial"/>
      <family val="2"/>
    </font>
    <font>
      <sz val="10"/>
      <color rgb="FFFF0000"/>
      <name val="Arial"/>
      <family val="2"/>
    </font>
    <font>
      <b/>
      <sz val="10"/>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color theme="1" tint="0.14999847407452621"/>
      <name val="Arial"/>
      <family val="2"/>
    </font>
    <font>
      <i/>
      <sz val="10"/>
      <color theme="1" tint="0.14999847407452621"/>
      <name val="Arial"/>
      <family val="2"/>
    </font>
    <font>
      <sz val="8"/>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i/>
      <sz val="10"/>
      <color rgb="FF00B050"/>
      <name val="Aptos Narrow"/>
      <family val="2"/>
      <scheme val="minor"/>
    </font>
    <font>
      <b/>
      <sz val="11"/>
      <color theme="0"/>
      <name val="Aptos Narrow"/>
      <family val="2"/>
      <scheme val="minor"/>
    </font>
    <font>
      <i/>
      <sz val="10"/>
      <color rgb="FF00B050"/>
      <name val="Aptos Narrow"/>
      <family val="2"/>
      <scheme val="minor"/>
    </font>
    <font>
      <sz val="10"/>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2">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rgb="FF00206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6">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3" fillId="0" borderId="0"/>
    <xf numFmtId="0" fontId="2" fillId="0" borderId="0"/>
    <xf numFmtId="0" fontId="2" fillId="0" borderId="0"/>
    <xf numFmtId="0" fontId="29"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3" fillId="0" borderId="0" applyFont="0" applyFill="0" applyBorder="0" applyAlignment="0" applyProtection="0"/>
    <xf numFmtId="0" fontId="60" fillId="2" borderId="2" applyNumberFormat="0" applyAlignment="0" applyProtection="0"/>
    <xf numFmtId="0" fontId="1" fillId="0" borderId="1" applyNumberFormat="0" applyFill="0" applyAlignment="0" applyProtection="0"/>
  </cellStyleXfs>
  <cellXfs count="358">
    <xf numFmtId="0" fontId="0" fillId="0" borderId="0" xfId="0"/>
    <xf numFmtId="0" fontId="2" fillId="0" borderId="0" xfId="1"/>
    <xf numFmtId="164" fontId="0" fillId="0" borderId="0" xfId="2" applyNumberFormat="1" applyFont="1"/>
    <xf numFmtId="10" fontId="0" fillId="0" borderId="0" xfId="3" applyNumberFormat="1" applyFont="1"/>
    <xf numFmtId="165" fontId="0" fillId="0" borderId="0" xfId="2" applyNumberFormat="1" applyFont="1"/>
    <xf numFmtId="0" fontId="2" fillId="0" borderId="0" xfId="1" applyAlignment="1">
      <alignment horizontal="left"/>
    </xf>
    <xf numFmtId="164" fontId="2" fillId="0" borderId="0" xfId="1" applyNumberFormat="1" applyAlignment="1">
      <alignment horizontal="left"/>
    </xf>
    <xf numFmtId="0" fontId="4" fillId="0" borderId="0" xfId="4" applyFont="1"/>
    <xf numFmtId="0" fontId="5" fillId="0" borderId="0" xfId="4" applyFont="1"/>
    <xf numFmtId="0" fontId="6" fillId="0" borderId="0" xfId="4" applyFont="1"/>
    <xf numFmtId="0" fontId="7" fillId="0" borderId="0" xfId="4" applyFont="1" applyAlignment="1">
      <alignment vertical="center"/>
    </xf>
    <xf numFmtId="0" fontId="8" fillId="0" borderId="0" xfId="4" applyFont="1"/>
    <xf numFmtId="0" fontId="9" fillId="0" borderId="0" xfId="4" applyFont="1" applyAlignment="1">
      <alignment vertical="center"/>
    </xf>
    <xf numFmtId="0" fontId="5" fillId="0" borderId="0" xfId="5" quotePrefix="1" applyFont="1" applyAlignment="1">
      <alignment vertical="center"/>
    </xf>
    <xf numFmtId="0" fontId="5" fillId="0" borderId="0" xfId="5" applyFont="1"/>
    <xf numFmtId="0" fontId="11" fillId="0" borderId="0" xfId="4" applyFont="1"/>
    <xf numFmtId="0" fontId="11" fillId="0" borderId="0" xfId="5" quotePrefix="1" applyFont="1" applyAlignment="1">
      <alignment vertical="center"/>
    </xf>
    <xf numFmtId="0" fontId="5" fillId="3" borderId="0" xfId="5" quotePrefix="1" applyFont="1" applyFill="1" applyAlignment="1">
      <alignment vertical="center"/>
    </xf>
    <xf numFmtId="0" fontId="5" fillId="3" borderId="0" xfId="4" applyFont="1" applyFill="1"/>
    <xf numFmtId="0" fontId="5" fillId="0" borderId="0" xfId="5" quotePrefix="1" applyFont="1"/>
    <xf numFmtId="0" fontId="5" fillId="0" borderId="0" xfId="4" quotePrefix="1" applyFont="1"/>
    <xf numFmtId="0" fontId="12" fillId="0" borderId="3" xfId="6" applyFont="1" applyBorder="1"/>
    <xf numFmtId="0" fontId="13" fillId="0" borderId="3" xfId="6" applyFont="1" applyBorder="1"/>
    <xf numFmtId="0" fontId="14" fillId="0" borderId="3" xfId="6" applyFont="1" applyBorder="1"/>
    <xf numFmtId="0" fontId="15" fillId="0" borderId="3" xfId="6" applyFont="1" applyBorder="1"/>
    <xf numFmtId="0" fontId="12" fillId="0" borderId="0" xfId="6" applyFont="1"/>
    <xf numFmtId="0" fontId="16" fillId="0" borderId="0" xfId="4" applyFont="1" applyAlignment="1">
      <alignment vertical="center"/>
    </xf>
    <xf numFmtId="0" fontId="10" fillId="0" borderId="0" xfId="4" applyFont="1"/>
    <xf numFmtId="0" fontId="10" fillId="0" borderId="0" xfId="5" applyFont="1"/>
    <xf numFmtId="0" fontId="17" fillId="0" borderId="0" xfId="6" applyFont="1"/>
    <xf numFmtId="0" fontId="18" fillId="0" borderId="0" xfId="4" applyFont="1"/>
    <xf numFmtId="0" fontId="18" fillId="0" borderId="0" xfId="5" applyFont="1"/>
    <xf numFmtId="0" fontId="19" fillId="0" borderId="0" xfId="4" applyFont="1"/>
    <xf numFmtId="0" fontId="20" fillId="0" borderId="0" xfId="6" applyFont="1"/>
    <xf numFmtId="0" fontId="21" fillId="0" borderId="0" xfId="5" applyFont="1"/>
    <xf numFmtId="0" fontId="21" fillId="0" borderId="0" xfId="4" applyFont="1"/>
    <xf numFmtId="0" fontId="22" fillId="0" borderId="0" xfId="4" applyFont="1"/>
    <xf numFmtId="0" fontId="23" fillId="0" borderId="0" xfId="4" applyFont="1"/>
    <xf numFmtId="0" fontId="23" fillId="0" borderId="0" xfId="4" quotePrefix="1" applyFont="1"/>
    <xf numFmtId="0" fontId="21" fillId="0" borderId="0" xfId="5" quotePrefix="1" applyFont="1" applyAlignment="1">
      <alignment vertical="center"/>
    </xf>
    <xf numFmtId="0" fontId="24" fillId="0" borderId="0" xfId="6" applyFont="1"/>
    <xf numFmtId="0" fontId="25" fillId="0" borderId="0" xfId="6" applyFont="1"/>
    <xf numFmtId="0" fontId="26" fillId="0" borderId="0" xfId="6" applyFont="1"/>
    <xf numFmtId="0" fontId="16" fillId="0" borderId="0" xfId="4" applyFont="1"/>
    <xf numFmtId="0" fontId="27" fillId="0" borderId="0" xfId="4" applyFont="1"/>
    <xf numFmtId="0" fontId="28" fillId="0" borderId="0" xfId="6" applyFont="1"/>
    <xf numFmtId="0" fontId="29" fillId="0" borderId="0" xfId="7" quotePrefix="1"/>
    <xf numFmtId="0" fontId="30" fillId="0" borderId="0" xfId="4" quotePrefix="1" applyFont="1"/>
    <xf numFmtId="0" fontId="5" fillId="0" borderId="0" xfId="5" applyFont="1" applyAlignment="1">
      <alignment vertical="center"/>
    </xf>
    <xf numFmtId="0" fontId="31" fillId="0" borderId="3" xfId="6" applyFont="1" applyBorder="1"/>
    <xf numFmtId="0" fontId="24" fillId="0" borderId="3" xfId="6" applyFont="1" applyBorder="1"/>
    <xf numFmtId="0" fontId="32" fillId="0" borderId="3" xfId="6" applyFont="1" applyBorder="1"/>
    <xf numFmtId="0" fontId="24" fillId="0" borderId="0" xfId="6" applyFont="1" applyAlignment="1">
      <alignment horizontal="left" vertical="center"/>
    </xf>
    <xf numFmtId="0" fontId="33" fillId="0" borderId="0" xfId="1" applyFont="1"/>
    <xf numFmtId="0" fontId="34" fillId="0" borderId="0" xfId="1" applyFont="1"/>
    <xf numFmtId="0" fontId="35" fillId="0" borderId="0" xfId="6"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43" fontId="38" fillId="0" borderId="0" xfId="8" applyFont="1" applyFill="1" applyBorder="1"/>
    <xf numFmtId="0" fontId="41" fillId="0" borderId="0" xfId="6" applyFont="1"/>
    <xf numFmtId="0" fontId="42" fillId="0" borderId="0" xfId="6" applyFont="1"/>
    <xf numFmtId="1" fontId="42" fillId="0" borderId="0" xfId="6" applyNumberFormat="1" applyFont="1"/>
    <xf numFmtId="10" fontId="42" fillId="0" borderId="0" xfId="9" applyNumberFormat="1" applyFont="1" applyFill="1" applyBorder="1"/>
    <xf numFmtId="0" fontId="19" fillId="0" borderId="0" xfId="1" applyFont="1"/>
    <xf numFmtId="43" fontId="42" fillId="0" borderId="0" xfId="8" applyFont="1" applyFill="1" applyBorder="1"/>
    <xf numFmtId="0" fontId="43" fillId="0" borderId="0" xfId="6" applyFont="1"/>
    <xf numFmtId="0" fontId="18" fillId="0" borderId="0" xfId="6" applyFont="1"/>
    <xf numFmtId="10" fontId="44" fillId="0" borderId="0" xfId="9" applyNumberFormat="1" applyFont="1" applyFill="1" applyBorder="1"/>
    <xf numFmtId="0" fontId="45" fillId="0" borderId="0" xfId="1" applyFont="1"/>
    <xf numFmtId="0" fontId="21" fillId="0" borderId="0" xfId="1" applyFont="1"/>
    <xf numFmtId="0" fontId="32" fillId="0" borderId="0" xfId="6" applyFont="1"/>
    <xf numFmtId="0" fontId="24" fillId="0" borderId="4" xfId="6" applyFont="1" applyBorder="1"/>
    <xf numFmtId="0" fontId="46" fillId="0" borderId="0" xfId="6" applyFont="1"/>
    <xf numFmtId="0" fontId="24" fillId="0" borderId="4" xfId="6" applyFont="1" applyBorder="1" applyAlignment="1">
      <alignment horizontal="right"/>
    </xf>
    <xf numFmtId="1" fontId="46" fillId="0" borderId="0" xfId="6" applyNumberFormat="1" applyFont="1"/>
    <xf numFmtId="0" fontId="29" fillId="0" borderId="0" xfId="7" applyAlignment="1" applyProtection="1"/>
    <xf numFmtId="0" fontId="24" fillId="0" borderId="5" xfId="6" applyFont="1" applyBorder="1"/>
    <xf numFmtId="0" fontId="31" fillId="0" borderId="0" xfId="6" applyFont="1"/>
    <xf numFmtId="0" fontId="24" fillId="0" borderId="5" xfId="6" applyFont="1" applyBorder="1" applyAlignment="1">
      <alignment horizontal="right"/>
    </xf>
    <xf numFmtId="0" fontId="47" fillId="0" borderId="0" xfId="6" applyFont="1" applyAlignment="1">
      <alignment horizontal="left"/>
    </xf>
    <xf numFmtId="166" fontId="17" fillId="0" borderId="0" xfId="10" applyFont="1" applyFill="1" applyBorder="1" applyAlignment="1">
      <alignment horizontal="left"/>
    </xf>
    <xf numFmtId="43" fontId="17" fillId="0" borderId="0" xfId="10" applyNumberFormat="1" applyFont="1" applyBorder="1" applyAlignment="1">
      <alignment horizontal="right"/>
    </xf>
    <xf numFmtId="43" fontId="31" fillId="0" borderId="0" xfId="8" applyFont="1" applyFill="1" applyBorder="1"/>
    <xf numFmtId="167" fontId="48" fillId="0" borderId="0" xfId="10" applyNumberFormat="1" applyFont="1" applyBorder="1" applyAlignment="1">
      <alignment horizontal="right"/>
    </xf>
    <xf numFmtId="0" fontId="26" fillId="0" borderId="3" xfId="6" applyFont="1" applyBorder="1"/>
    <xf numFmtId="0" fontId="44" fillId="0" borderId="3" xfId="6" applyFont="1" applyBorder="1"/>
    <xf numFmtId="0" fontId="44" fillId="0" borderId="0" xfId="6" applyFont="1"/>
    <xf numFmtId="0" fontId="24" fillId="0" borderId="6" xfId="6" applyFont="1" applyBorder="1"/>
    <xf numFmtId="0" fontId="26" fillId="0" borderId="6" xfId="6" applyFont="1" applyBorder="1"/>
    <xf numFmtId="43" fontId="26" fillId="0" borderId="0" xfId="6" applyNumberFormat="1" applyFont="1"/>
    <xf numFmtId="43" fontId="44" fillId="0" borderId="0" xfId="8" applyFont="1" applyFill="1" applyBorder="1"/>
    <xf numFmtId="168" fontId="26" fillId="3" borderId="7" xfId="8" applyNumberFormat="1" applyFont="1" applyFill="1" applyBorder="1" applyAlignment="1">
      <alignment horizontal="right" wrapText="1"/>
    </xf>
    <xf numFmtId="164" fontId="26" fillId="0" borderId="0" xfId="8" applyNumberFormat="1" applyFont="1" applyFill="1"/>
    <xf numFmtId="0" fontId="47" fillId="0" borderId="0" xfId="6" applyFont="1"/>
    <xf numFmtId="0" fontId="35" fillId="0" borderId="0" xfId="6" applyFont="1" applyAlignment="1">
      <alignment horizontal="center" vertical="center"/>
    </xf>
    <xf numFmtId="0" fontId="35" fillId="0" borderId="0" xfId="6" applyFont="1" applyAlignment="1">
      <alignment horizontal="right"/>
    </xf>
    <xf numFmtId="43" fontId="49" fillId="0" borderId="0" xfId="8" applyFont="1" applyFill="1" applyBorder="1"/>
    <xf numFmtId="164" fontId="35" fillId="3" borderId="7" xfId="8" applyNumberFormat="1" applyFont="1" applyFill="1" applyBorder="1" applyAlignment="1">
      <alignment horizontal="right"/>
    </xf>
    <xf numFmtId="43" fontId="35" fillId="0" borderId="8" xfId="8" applyFont="1" applyFill="1" applyBorder="1"/>
    <xf numFmtId="10" fontId="35" fillId="0" borderId="8" xfId="6" applyNumberFormat="1" applyFont="1" applyBorder="1"/>
    <xf numFmtId="169" fontId="35" fillId="0" borderId="8" xfId="9" applyNumberFormat="1" applyFont="1" applyFill="1" applyBorder="1"/>
    <xf numFmtId="0" fontId="26" fillId="3" borderId="7" xfId="6" applyFont="1" applyFill="1" applyBorder="1" applyAlignment="1">
      <alignment horizontal="right"/>
    </xf>
    <xf numFmtId="43" fontId="26" fillId="0" borderId="0" xfId="8" applyFont="1" applyFill="1"/>
    <xf numFmtId="43" fontId="44" fillId="0" borderId="0" xfId="9" applyNumberFormat="1" applyFont="1" applyFill="1"/>
    <xf numFmtId="0" fontId="26" fillId="0" borderId="0" xfId="6" applyFont="1" applyAlignment="1">
      <alignment wrapText="1"/>
    </xf>
    <xf numFmtId="10" fontId="35" fillId="0" borderId="8" xfId="9" applyNumberFormat="1" applyFont="1" applyFill="1" applyBorder="1"/>
    <xf numFmtId="164" fontId="26" fillId="3" borderId="7" xfId="8" applyNumberFormat="1" applyFont="1" applyFill="1" applyBorder="1" applyAlignment="1">
      <alignment horizontal="right"/>
    </xf>
    <xf numFmtId="10" fontId="44" fillId="0" borderId="0" xfId="6" applyNumberFormat="1" applyFont="1"/>
    <xf numFmtId="0" fontId="26" fillId="0" borderId="0" xfId="6" applyFont="1" applyAlignment="1">
      <alignment horizontal="left" indent="1"/>
    </xf>
    <xf numFmtId="43" fontId="26" fillId="0" borderId="8" xfId="8" applyFont="1" applyFill="1" applyBorder="1"/>
    <xf numFmtId="10" fontId="26" fillId="0" borderId="8" xfId="9" applyNumberFormat="1" applyFont="1" applyFill="1" applyBorder="1"/>
    <xf numFmtId="169" fontId="26" fillId="0" borderId="8" xfId="9" applyNumberFormat="1" applyFont="1" applyFill="1" applyBorder="1"/>
    <xf numFmtId="164" fontId="26" fillId="0" borderId="7" xfId="8" applyNumberFormat="1" applyFont="1" applyFill="1" applyBorder="1" applyAlignment="1">
      <alignment horizontal="right"/>
    </xf>
    <xf numFmtId="1" fontId="26" fillId="0" borderId="0" xfId="6" applyNumberFormat="1" applyFont="1"/>
    <xf numFmtId="0" fontId="50" fillId="0" borderId="9" xfId="6" applyFont="1" applyBorder="1"/>
    <xf numFmtId="0" fontId="50" fillId="0" borderId="0" xfId="6" applyFont="1"/>
    <xf numFmtId="0" fontId="35" fillId="0" borderId="10" xfId="6" applyFont="1" applyBorder="1" applyAlignment="1">
      <alignment horizontal="right"/>
    </xf>
    <xf numFmtId="0" fontId="49" fillId="0" borderId="10" xfId="6" applyFont="1" applyBorder="1" applyAlignment="1">
      <alignment horizontal="right"/>
    </xf>
    <xf numFmtId="0" fontId="44" fillId="0" borderId="0" xfId="6" applyFont="1" applyAlignment="1">
      <alignment horizontal="left" vertical="center" indent="1"/>
    </xf>
    <xf numFmtId="164" fontId="26" fillId="3" borderId="10" xfId="8" applyNumberFormat="1" applyFont="1" applyFill="1" applyBorder="1" applyAlignment="1">
      <alignment horizontal="right"/>
    </xf>
    <xf numFmtId="164" fontId="44" fillId="3" borderId="10" xfId="8" applyNumberFormat="1" applyFont="1" applyFill="1" applyBorder="1" applyAlignment="1">
      <alignment horizontal="right"/>
    </xf>
    <xf numFmtId="10" fontId="44" fillId="3" borderId="10" xfId="9" applyNumberFormat="1" applyFont="1" applyFill="1" applyBorder="1" applyAlignment="1">
      <alignment horizontal="right"/>
    </xf>
    <xf numFmtId="10" fontId="26" fillId="3" borderId="10" xfId="9" applyNumberFormat="1" applyFont="1" applyFill="1" applyBorder="1" applyAlignment="1">
      <alignment horizontal="right"/>
    </xf>
    <xf numFmtId="43" fontId="26" fillId="0" borderId="8" xfId="6" applyNumberFormat="1" applyFont="1" applyBorder="1"/>
    <xf numFmtId="0" fontId="36" fillId="0" borderId="0" xfId="6" applyFont="1" applyAlignment="1">
      <alignment vertical="center"/>
    </xf>
    <xf numFmtId="0" fontId="26" fillId="0" borderId="0" xfId="6" applyFont="1" applyAlignment="1">
      <alignment vertical="center"/>
    </xf>
    <xf numFmtId="10" fontId="44" fillId="0" borderId="0" xfId="6" applyNumberFormat="1" applyFont="1" applyAlignment="1">
      <alignment vertical="center"/>
    </xf>
    <xf numFmtId="43" fontId="44" fillId="0" borderId="0" xfId="9" applyNumberFormat="1" applyFont="1" applyFill="1" applyAlignment="1">
      <alignment vertical="center"/>
    </xf>
    <xf numFmtId="0" fontId="26" fillId="0" borderId="0" xfId="6" applyFont="1" applyAlignment="1">
      <alignment horizontal="left" vertical="center"/>
    </xf>
    <xf numFmtId="43" fontId="26" fillId="0" borderId="8" xfId="6" applyNumberFormat="1" applyFont="1" applyBorder="1" applyAlignment="1">
      <alignment vertical="center"/>
    </xf>
    <xf numFmtId="10" fontId="26" fillId="0" borderId="8" xfId="9" applyNumberFormat="1" applyFont="1" applyFill="1" applyBorder="1" applyAlignment="1">
      <alignment vertical="center"/>
    </xf>
    <xf numFmtId="169" fontId="26" fillId="0" borderId="8" xfId="9" applyNumberFormat="1" applyFont="1" applyFill="1" applyBorder="1" applyAlignment="1">
      <alignment vertical="center"/>
    </xf>
    <xf numFmtId="0" fontId="35" fillId="0" borderId="0" xfId="6" applyFont="1" applyAlignment="1">
      <alignment vertical="center"/>
    </xf>
    <xf numFmtId="0" fontId="51" fillId="0" borderId="0" xfId="6" applyFont="1" applyAlignment="1">
      <alignment vertical="center"/>
    </xf>
    <xf numFmtId="169" fontId="26" fillId="3" borderId="7" xfId="8" applyNumberFormat="1" applyFont="1" applyFill="1" applyBorder="1" applyAlignment="1">
      <alignment vertical="center"/>
    </xf>
    <xf numFmtId="10" fontId="52" fillId="0" borderId="0" xfId="9" applyNumberFormat="1" applyFont="1" applyFill="1" applyAlignment="1">
      <alignment vertical="center"/>
    </xf>
    <xf numFmtId="0" fontId="24" fillId="0" borderId="0" xfId="6" applyFont="1" applyAlignment="1">
      <alignment vertical="center"/>
    </xf>
    <xf numFmtId="0" fontId="26" fillId="0" borderId="0" xfId="6" applyFont="1" applyAlignment="1">
      <alignment vertical="center" wrapText="1"/>
    </xf>
    <xf numFmtId="0" fontId="44" fillId="0" borderId="0" xfId="6" applyFont="1" applyAlignment="1">
      <alignment vertical="center"/>
    </xf>
    <xf numFmtId="43" fontId="26" fillId="0" borderId="8" xfId="8" applyFont="1" applyFill="1" applyBorder="1" applyAlignment="1">
      <alignment vertical="center"/>
    </xf>
    <xf numFmtId="43" fontId="35" fillId="0" borderId="8" xfId="8" applyFont="1" applyFill="1" applyBorder="1" applyAlignment="1">
      <alignment vertical="center"/>
    </xf>
    <xf numFmtId="10" fontId="35" fillId="0" borderId="8" xfId="9" applyNumberFormat="1" applyFont="1" applyFill="1" applyBorder="1" applyAlignment="1">
      <alignment vertical="center"/>
    </xf>
    <xf numFmtId="169" fontId="35" fillId="0" borderId="8" xfId="9" applyNumberFormat="1" applyFont="1" applyFill="1" applyBorder="1" applyAlignment="1">
      <alignment vertical="center"/>
    </xf>
    <xf numFmtId="0" fontId="53" fillId="0" borderId="0" xfId="6" applyFont="1" applyAlignment="1">
      <alignment vertical="center"/>
    </xf>
    <xf numFmtId="43" fontId="44" fillId="0" borderId="0" xfId="8" applyFont="1" applyFill="1" applyBorder="1" applyAlignment="1">
      <alignment vertical="center"/>
    </xf>
    <xf numFmtId="10" fontId="44" fillId="0" borderId="0" xfId="9" applyNumberFormat="1" applyFont="1" applyFill="1" applyBorder="1" applyAlignment="1">
      <alignment vertical="center"/>
    </xf>
    <xf numFmtId="10" fontId="52" fillId="0" borderId="0" xfId="9" applyNumberFormat="1" applyFont="1" applyFill="1" applyBorder="1" applyAlignment="1">
      <alignment vertical="center"/>
    </xf>
    <xf numFmtId="43" fontId="44" fillId="0" borderId="0" xfId="6" applyNumberFormat="1" applyFont="1" applyAlignment="1">
      <alignment vertical="center"/>
    </xf>
    <xf numFmtId="164" fontId="26" fillId="0" borderId="0" xfId="6" applyNumberFormat="1" applyFont="1" applyAlignment="1">
      <alignment vertical="center"/>
    </xf>
    <xf numFmtId="43" fontId="26" fillId="3" borderId="7" xfId="8" applyFont="1" applyFill="1" applyBorder="1"/>
    <xf numFmtId="10" fontId="52" fillId="0" borderId="0" xfId="9" applyNumberFormat="1" applyFont="1" applyFill="1"/>
    <xf numFmtId="0" fontId="54" fillId="0" borderId="0" xfId="6" applyFont="1"/>
    <xf numFmtId="0" fontId="44" fillId="0" borderId="0" xfId="6" applyFont="1" applyAlignment="1">
      <alignment wrapText="1"/>
    </xf>
    <xf numFmtId="43" fontId="44" fillId="0" borderId="0" xfId="6" applyNumberFormat="1" applyFont="1"/>
    <xf numFmtId="164" fontId="26" fillId="0" borderId="0" xfId="6" applyNumberFormat="1" applyFont="1"/>
    <xf numFmtId="0" fontId="36" fillId="0" borderId="0" xfId="6" applyFont="1" applyAlignment="1">
      <alignment wrapText="1"/>
    </xf>
    <xf numFmtId="169" fontId="26" fillId="3" borderId="7" xfId="8" applyNumberFormat="1" applyFont="1" applyFill="1" applyBorder="1"/>
    <xf numFmtId="0" fontId="35" fillId="0" borderId="0" xfId="6" applyFont="1" applyAlignment="1">
      <alignment horizontal="center" wrapText="1"/>
    </xf>
    <xf numFmtId="43" fontId="44" fillId="0" borderId="0" xfId="8" applyFont="1" applyFill="1"/>
    <xf numFmtId="43" fontId="49" fillId="0" borderId="0" xfId="8" applyFont="1" applyFill="1" applyBorder="1" applyAlignment="1">
      <alignment horizontal="center" vertical="center"/>
    </xf>
    <xf numFmtId="0" fontId="49" fillId="0" borderId="0" xfId="6" applyFont="1"/>
    <xf numFmtId="0" fontId="35" fillId="0" borderId="8" xfId="6" applyFont="1" applyBorder="1"/>
    <xf numFmtId="10" fontId="35" fillId="0" borderId="8" xfId="9" applyNumberFormat="1" applyFont="1" applyBorder="1"/>
    <xf numFmtId="43" fontId="49" fillId="0" borderId="8" xfId="8" applyFont="1" applyFill="1" applyBorder="1"/>
    <xf numFmtId="43" fontId="54" fillId="0" borderId="0" xfId="6" applyNumberFormat="1" applyFont="1"/>
    <xf numFmtId="169" fontId="26" fillId="3" borderId="7" xfId="9" applyNumberFormat="1" applyFont="1" applyFill="1" applyBorder="1"/>
    <xf numFmtId="0" fontId="55" fillId="0" borderId="0" xfId="6" applyFont="1"/>
    <xf numFmtId="166" fontId="26" fillId="0" borderId="0" xfId="6" applyNumberFormat="1" applyFont="1"/>
    <xf numFmtId="0" fontId="26" fillId="0" borderId="0" xfId="6" applyFont="1" applyAlignment="1">
      <alignment horizontal="left" indent="2"/>
    </xf>
    <xf numFmtId="43" fontId="44" fillId="0" borderId="8" xfId="8" applyFont="1" applyFill="1" applyBorder="1"/>
    <xf numFmtId="0" fontId="53" fillId="0" borderId="0" xfId="6" applyFont="1"/>
    <xf numFmtId="0" fontId="56" fillId="0" borderId="0" xfId="6" applyFont="1"/>
    <xf numFmtId="0" fontId="57" fillId="0" borderId="0" xfId="6" applyFont="1"/>
    <xf numFmtId="43" fontId="57" fillId="0" borderId="0" xfId="8" applyFont="1" applyFill="1" applyBorder="1"/>
    <xf numFmtId="9" fontId="26" fillId="3" borderId="7" xfId="9" applyFont="1" applyFill="1" applyBorder="1"/>
    <xf numFmtId="170" fontId="26" fillId="0" borderId="0" xfId="8" applyNumberFormat="1" applyFont="1" applyFill="1" applyBorder="1"/>
    <xf numFmtId="43" fontId="26" fillId="0" borderId="0" xfId="8" applyFont="1" applyFill="1" applyBorder="1"/>
    <xf numFmtId="169" fontId="26" fillId="0" borderId="0" xfId="9" applyNumberFormat="1" applyFont="1"/>
    <xf numFmtId="0" fontId="51" fillId="0" borderId="0" xfId="6" applyFont="1"/>
    <xf numFmtId="0" fontId="35" fillId="0" borderId="0" xfId="6" applyFont="1" applyAlignment="1">
      <alignment horizontal="left"/>
    </xf>
    <xf numFmtId="43" fontId="49" fillId="0" borderId="8" xfId="8" applyFont="1" applyFill="1" applyBorder="1" applyAlignment="1">
      <alignment horizontal="right"/>
    </xf>
    <xf numFmtId="0" fontId="44" fillId="0" borderId="0" xfId="6" applyFont="1" applyAlignment="1">
      <alignment horizontal="left" indent="1"/>
    </xf>
    <xf numFmtId="0" fontId="58" fillId="0" borderId="0" xfId="6" applyFont="1"/>
    <xf numFmtId="9" fontId="26" fillId="0" borderId="7" xfId="9" applyFont="1" applyFill="1" applyBorder="1"/>
    <xf numFmtId="0" fontId="26" fillId="0" borderId="0" xfId="6" applyFont="1" applyProtection="1">
      <protection locked="0"/>
    </xf>
    <xf numFmtId="170" fontId="44" fillId="3" borderId="7" xfId="8" applyNumberFormat="1" applyFont="1" applyFill="1" applyBorder="1"/>
    <xf numFmtId="165" fontId="26" fillId="0" borderId="0" xfId="8" applyNumberFormat="1" applyFont="1" applyFill="1" applyBorder="1"/>
    <xf numFmtId="0" fontId="44" fillId="0" borderId="0" xfId="6" applyFont="1" applyAlignment="1">
      <alignment horizontal="left"/>
    </xf>
    <xf numFmtId="9" fontId="44" fillId="3" borderId="7" xfId="8" applyNumberFormat="1" applyFont="1" applyFill="1" applyBorder="1"/>
    <xf numFmtId="169" fontId="26" fillId="0" borderId="0" xfId="9" applyNumberFormat="1" applyFont="1" applyFill="1" applyBorder="1"/>
    <xf numFmtId="9" fontId="26" fillId="0" borderId="0" xfId="9" applyFont="1" applyFill="1" applyBorder="1"/>
    <xf numFmtId="170" fontId="26" fillId="3" borderId="7" xfId="8" applyNumberFormat="1" applyFont="1" applyFill="1" applyBorder="1"/>
    <xf numFmtId="170" fontId="26" fillId="0" borderId="7" xfId="8" applyNumberFormat="1" applyFont="1" applyFill="1" applyBorder="1"/>
    <xf numFmtId="43" fontId="44" fillId="0" borderId="7" xfId="8" applyFont="1" applyFill="1" applyBorder="1"/>
    <xf numFmtId="43" fontId="35" fillId="0" borderId="0" xfId="6" applyNumberFormat="1" applyFont="1"/>
    <xf numFmtId="10" fontId="35" fillId="0" borderId="0" xfId="9" applyNumberFormat="1" applyFont="1" applyFill="1" applyBorder="1"/>
    <xf numFmtId="9" fontId="35" fillId="0" borderId="0" xfId="9" applyFont="1" applyFill="1" applyBorder="1"/>
    <xf numFmtId="165" fontId="26" fillId="3" borderId="7" xfId="8" applyNumberFormat="1" applyFont="1" applyFill="1" applyBorder="1"/>
    <xf numFmtId="43" fontId="59" fillId="0" borderId="0" xfId="6" applyNumberFormat="1" applyFont="1"/>
    <xf numFmtId="0" fontId="35" fillId="0" borderId="0" xfId="6" applyFont="1" applyAlignment="1">
      <alignment horizontal="left" vertical="top"/>
    </xf>
    <xf numFmtId="0" fontId="35" fillId="0" borderId="0" xfId="6" applyFont="1" applyAlignment="1">
      <alignment horizontal="center"/>
    </xf>
    <xf numFmtId="0" fontId="44" fillId="0" borderId="0" xfId="6" applyFont="1" applyAlignment="1">
      <alignment horizontal="right"/>
    </xf>
    <xf numFmtId="169" fontId="26" fillId="0" borderId="0" xfId="11" applyNumberFormat="1" applyFont="1" applyFill="1" applyBorder="1"/>
    <xf numFmtId="10" fontId="26" fillId="3" borderId="2" xfId="11" applyNumberFormat="1" applyFont="1" applyFill="1"/>
    <xf numFmtId="10" fontId="26" fillId="0" borderId="2" xfId="11" applyNumberFormat="1" applyFont="1" applyFill="1"/>
    <xf numFmtId="10" fontId="54" fillId="0" borderId="2" xfId="11" applyNumberFormat="1" applyFont="1" applyFill="1"/>
    <xf numFmtId="10" fontId="26" fillId="0" borderId="0" xfId="11" applyNumberFormat="1" applyFont="1" applyFill="1" applyBorder="1"/>
    <xf numFmtId="169" fontId="35" fillId="0" borderId="0" xfId="11" applyNumberFormat="1" applyFont="1" applyFill="1" applyBorder="1"/>
    <xf numFmtId="10" fontId="59" fillId="0" borderId="0" xfId="9" applyNumberFormat="1" applyFont="1"/>
    <xf numFmtId="10" fontId="59" fillId="0" borderId="0" xfId="6" applyNumberFormat="1" applyFont="1"/>
    <xf numFmtId="10" fontId="26" fillId="3" borderId="8" xfId="9" applyNumberFormat="1" applyFont="1" applyFill="1" applyBorder="1"/>
    <xf numFmtId="0" fontId="43" fillId="0" borderId="0" xfId="12" applyFont="1" applyFill="1" applyBorder="1"/>
    <xf numFmtId="0" fontId="61" fillId="0" borderId="0" xfId="6" applyFont="1"/>
    <xf numFmtId="43" fontId="31" fillId="0" borderId="0" xfId="8" applyFont="1" applyFill="1"/>
    <xf numFmtId="0" fontId="62" fillId="0" borderId="0" xfId="1" applyFont="1"/>
    <xf numFmtId="164" fontId="0" fillId="0" borderId="0" xfId="8" applyNumberFormat="1" applyFont="1" applyFill="1" applyBorder="1"/>
    <xf numFmtId="0" fontId="2" fillId="0" borderId="11" xfId="1" applyBorder="1"/>
    <xf numFmtId="17" fontId="2" fillId="0" borderId="11" xfId="1" applyNumberFormat="1" applyBorder="1"/>
    <xf numFmtId="164" fontId="0" fillId="0" borderId="11" xfId="8" applyNumberFormat="1" applyFont="1" applyBorder="1"/>
    <xf numFmtId="1" fontId="2" fillId="0" borderId="11" xfId="1" applyNumberFormat="1" applyBorder="1"/>
    <xf numFmtId="9" fontId="0" fillId="0" borderId="11" xfId="9" applyFont="1" applyBorder="1"/>
    <xf numFmtId="164" fontId="2" fillId="0" borderId="0" xfId="1" applyNumberFormat="1"/>
    <xf numFmtId="164" fontId="2" fillId="3" borderId="0" xfId="1" applyNumberFormat="1" applyFill="1"/>
    <xf numFmtId="1" fontId="2" fillId="3" borderId="0" xfId="1" applyNumberFormat="1" applyFill="1"/>
    <xf numFmtId="9" fontId="2" fillId="3" borderId="0" xfId="1" applyNumberFormat="1" applyFill="1"/>
    <xf numFmtId="10" fontId="0" fillId="3" borderId="0" xfId="9" applyNumberFormat="1" applyFont="1" applyFill="1"/>
    <xf numFmtId="43" fontId="2" fillId="0" borderId="0" xfId="1" applyNumberFormat="1"/>
    <xf numFmtId="169" fontId="0" fillId="3" borderId="0" xfId="9" applyNumberFormat="1" applyFont="1" applyFill="1"/>
    <xf numFmtId="164" fontId="0" fillId="0" borderId="0" xfId="8" applyNumberFormat="1" applyFont="1"/>
    <xf numFmtId="169" fontId="0" fillId="0" borderId="0" xfId="9" applyNumberFormat="1" applyFont="1"/>
    <xf numFmtId="169" fontId="2" fillId="3" borderId="0" xfId="1" applyNumberFormat="1" applyFill="1"/>
    <xf numFmtId="165" fontId="0" fillId="3" borderId="0" xfId="8" applyNumberFormat="1" applyFont="1" applyFill="1"/>
    <xf numFmtId="170" fontId="0" fillId="3" borderId="0" xfId="8" applyNumberFormat="1" applyFont="1" applyFill="1"/>
    <xf numFmtId="2" fontId="63" fillId="0" borderId="12" xfId="1" applyNumberFormat="1" applyFont="1" applyBorder="1"/>
    <xf numFmtId="17" fontId="64" fillId="4" borderId="0" xfId="1" applyNumberFormat="1" applyFont="1" applyFill="1" applyAlignment="1">
      <alignment horizontal="center" vertical="center"/>
    </xf>
    <xf numFmtId="0" fontId="65" fillId="0" borderId="12" xfId="1" applyFont="1" applyBorder="1"/>
    <xf numFmtId="0" fontId="66" fillId="0" borderId="12" xfId="1" applyFont="1" applyBorder="1"/>
    <xf numFmtId="164" fontId="0" fillId="0" borderId="12" xfId="8" applyNumberFormat="1" applyFont="1" applyBorder="1"/>
    <xf numFmtId="9" fontId="2" fillId="0" borderId="0" xfId="1" applyNumberFormat="1"/>
    <xf numFmtId="164" fontId="0" fillId="0" borderId="12" xfId="8" applyNumberFormat="1" applyFont="1" applyFill="1" applyBorder="1"/>
    <xf numFmtId="0" fontId="65" fillId="0" borderId="0" xfId="1" applyFont="1"/>
    <xf numFmtId="9" fontId="0" fillId="3" borderId="0" xfId="9" applyFont="1" applyFill="1"/>
    <xf numFmtId="0" fontId="67" fillId="0" borderId="0" xfId="6" applyFont="1"/>
    <xf numFmtId="164" fontId="44" fillId="0" borderId="0" xfId="8" applyNumberFormat="1" applyFont="1" applyFill="1"/>
    <xf numFmtId="2" fontId="44" fillId="0" borderId="0" xfId="8" applyNumberFormat="1" applyFont="1" applyFill="1" applyAlignment="1">
      <alignment horizontal="right"/>
    </xf>
    <xf numFmtId="0" fontId="68" fillId="0" borderId="0" xfId="6" applyFont="1"/>
    <xf numFmtId="9" fontId="44" fillId="0" borderId="0" xfId="9" applyFont="1" applyFill="1"/>
    <xf numFmtId="9" fontId="44" fillId="0" borderId="0" xfId="6" applyNumberFormat="1" applyFont="1"/>
    <xf numFmtId="164" fontId="49" fillId="5" borderId="0" xfId="8" applyNumberFormat="1" applyFont="1" applyFill="1"/>
    <xf numFmtId="164" fontId="49" fillId="0" borderId="0" xfId="8" applyNumberFormat="1" applyFont="1" applyFill="1"/>
    <xf numFmtId="0" fontId="69" fillId="0" borderId="13" xfId="6" applyFont="1" applyBorder="1"/>
    <xf numFmtId="0" fontId="49" fillId="0" borderId="13" xfId="6" applyFont="1" applyBorder="1"/>
    <xf numFmtId="0" fontId="44" fillId="0" borderId="13" xfId="6" applyFont="1" applyBorder="1"/>
    <xf numFmtId="164" fontId="44" fillId="0" borderId="13" xfId="8" applyNumberFormat="1" applyFont="1" applyFill="1" applyBorder="1"/>
    <xf numFmtId="10" fontId="44" fillId="0" borderId="0" xfId="9" applyNumberFormat="1" applyFont="1" applyFill="1"/>
    <xf numFmtId="9" fontId="44" fillId="3" borderId="0" xfId="6" applyNumberFormat="1" applyFont="1" applyFill="1"/>
    <xf numFmtId="10" fontId="44" fillId="3" borderId="0" xfId="9" applyNumberFormat="1" applyFont="1" applyFill="1"/>
    <xf numFmtId="43" fontId="49" fillId="0" borderId="0" xfId="8" applyFont="1" applyFill="1"/>
    <xf numFmtId="0" fontId="55" fillId="0" borderId="0" xfId="6" applyFont="1" applyAlignment="1">
      <alignment horizontal="left"/>
    </xf>
    <xf numFmtId="165" fontId="49" fillId="6" borderId="0" xfId="8" applyNumberFormat="1" applyFont="1" applyFill="1"/>
    <xf numFmtId="43" fontId="70" fillId="0" borderId="0" xfId="8" applyFont="1" applyFill="1"/>
    <xf numFmtId="43" fontId="44" fillId="0" borderId="0" xfId="8" applyFont="1" applyFill="1" applyAlignment="1">
      <alignment horizontal="center" vertical="center"/>
    </xf>
    <xf numFmtId="164" fontId="44" fillId="0" borderId="0" xfId="8" applyNumberFormat="1" applyFont="1" applyFill="1" applyAlignment="1">
      <alignment horizontal="right"/>
    </xf>
    <xf numFmtId="43" fontId="44" fillId="7" borderId="0" xfId="8" applyFont="1" applyFill="1"/>
    <xf numFmtId="170" fontId="44" fillId="7" borderId="0" xfId="8" applyNumberFormat="1" applyFont="1" applyFill="1"/>
    <xf numFmtId="0" fontId="44" fillId="0" borderId="0" xfId="6" applyFont="1" applyAlignment="1">
      <alignment horizontal="center" vertical="center"/>
    </xf>
    <xf numFmtId="164" fontId="44" fillId="0" borderId="0" xfId="8" applyNumberFormat="1" applyFont="1" applyAlignment="1">
      <alignment horizontal="right"/>
    </xf>
    <xf numFmtId="0" fontId="44" fillId="7" borderId="0" xfId="6" applyFont="1" applyFill="1"/>
    <xf numFmtId="0" fontId="49" fillId="7" borderId="0" xfId="6" applyFont="1" applyFill="1"/>
    <xf numFmtId="164" fontId="44" fillId="0" borderId="0" xfId="6" applyNumberFormat="1" applyFont="1"/>
    <xf numFmtId="169" fontId="44" fillId="0" borderId="0" xfId="9" applyNumberFormat="1" applyFont="1" applyFill="1"/>
    <xf numFmtId="0" fontId="69" fillId="0" borderId="0" xfId="6" applyFont="1"/>
    <xf numFmtId="164" fontId="44" fillId="0" borderId="0" xfId="8" applyNumberFormat="1" applyFont="1" applyFill="1" applyBorder="1"/>
    <xf numFmtId="43" fontId="49" fillId="0" borderId="0" xfId="6" applyNumberFormat="1" applyFont="1"/>
    <xf numFmtId="43" fontId="44" fillId="0" borderId="0" xfId="8" quotePrefix="1" applyFont="1" applyFill="1"/>
    <xf numFmtId="0" fontId="44" fillId="0" borderId="0" xfId="6" applyFont="1" applyAlignment="1">
      <alignment horizontal="left" indent="2"/>
    </xf>
    <xf numFmtId="171" fontId="44" fillId="0" borderId="0" xfId="6" applyNumberFormat="1" applyFont="1"/>
    <xf numFmtId="0" fontId="44" fillId="8" borderId="0" xfId="6" applyFont="1" applyFill="1"/>
    <xf numFmtId="43" fontId="44" fillId="8" borderId="0" xfId="8" applyFont="1" applyFill="1"/>
    <xf numFmtId="170" fontId="44" fillId="0" borderId="0" xfId="8" applyNumberFormat="1" applyFont="1" applyFill="1"/>
    <xf numFmtId="170" fontId="44" fillId="0" borderId="0" xfId="6" applyNumberFormat="1" applyFont="1"/>
    <xf numFmtId="43" fontId="51" fillId="0" borderId="0" xfId="6" applyNumberFormat="1" applyFont="1"/>
    <xf numFmtId="0" fontId="49" fillId="3" borderId="0" xfId="6" applyFont="1" applyFill="1"/>
    <xf numFmtId="10" fontId="44" fillId="0" borderId="0" xfId="9" applyNumberFormat="1" applyFont="1"/>
    <xf numFmtId="166" fontId="44" fillId="0" borderId="0" xfId="6" applyNumberFormat="1" applyFont="1"/>
    <xf numFmtId="0" fontId="44" fillId="9" borderId="0" xfId="6" applyFont="1" applyFill="1"/>
    <xf numFmtId="0" fontId="71" fillId="0" borderId="0" xfId="6" applyFont="1"/>
    <xf numFmtId="0" fontId="72" fillId="0" borderId="0" xfId="6" applyFont="1"/>
    <xf numFmtId="0" fontId="21" fillId="0" borderId="0" xfId="6" applyFont="1" applyAlignment="1">
      <alignment horizontal="left"/>
    </xf>
    <xf numFmtId="0" fontId="21" fillId="0" borderId="0" xfId="6" applyFont="1"/>
    <xf numFmtId="0" fontId="33" fillId="0" borderId="6" xfId="6" applyFont="1" applyBorder="1" applyAlignment="1">
      <alignment horizontal="left"/>
    </xf>
    <xf numFmtId="0" fontId="33" fillId="0" borderId="6" xfId="6" applyFont="1" applyBorder="1"/>
    <xf numFmtId="0" fontId="33" fillId="0" borderId="0" xfId="6" applyFont="1" applyAlignment="1">
      <alignment horizontal="left"/>
    </xf>
    <xf numFmtId="0" fontId="33" fillId="0" borderId="0" xfId="6" applyFont="1"/>
    <xf numFmtId="0" fontId="21" fillId="0" borderId="0" xfId="6" applyFont="1" applyAlignment="1">
      <alignment horizontal="right"/>
    </xf>
    <xf numFmtId="1" fontId="21" fillId="0" borderId="0" xfId="6" applyNumberFormat="1" applyFont="1"/>
    <xf numFmtId="0" fontId="73" fillId="0" borderId="9" xfId="6" applyFont="1" applyBorder="1"/>
    <xf numFmtId="172" fontId="19" fillId="3" borderId="9" xfId="6" applyNumberFormat="1" applyFont="1" applyFill="1" applyBorder="1" applyAlignment="1">
      <alignment horizontal="right"/>
    </xf>
    <xf numFmtId="172" fontId="73" fillId="0" borderId="9" xfId="6" applyNumberFormat="1" applyFont="1" applyBorder="1" applyAlignment="1">
      <alignment horizontal="right"/>
    </xf>
    <xf numFmtId="0" fontId="46" fillId="0" borderId="0" xfId="6" applyFont="1" applyAlignment="1">
      <alignment horizontal="left"/>
    </xf>
    <xf numFmtId="0" fontId="74" fillId="0" borderId="0" xfId="6" applyFont="1"/>
    <xf numFmtId="164" fontId="34" fillId="0" borderId="0" xfId="8" applyNumberFormat="1" applyFont="1" applyFill="1" applyBorder="1" applyAlignment="1">
      <alignment horizontal="right"/>
    </xf>
    <xf numFmtId="0" fontId="46" fillId="0" borderId="0" xfId="6" applyFont="1" applyAlignment="1">
      <alignment horizontal="right"/>
    </xf>
    <xf numFmtId="173" fontId="75" fillId="10" borderId="14" xfId="6" applyNumberFormat="1" applyFont="1" applyFill="1" applyBorder="1"/>
    <xf numFmtId="3" fontId="75" fillId="10" borderId="14" xfId="6" applyNumberFormat="1" applyFont="1" applyFill="1" applyBorder="1"/>
    <xf numFmtId="164" fontId="33" fillId="0" borderId="6" xfId="8" applyNumberFormat="1" applyFont="1" applyFill="1" applyBorder="1"/>
    <xf numFmtId="164" fontId="21" fillId="0" borderId="6" xfId="8" applyNumberFormat="1" applyFont="1" applyFill="1" applyBorder="1"/>
    <xf numFmtId="0" fontId="73" fillId="9" borderId="0" xfId="6" applyFont="1" applyFill="1" applyAlignment="1">
      <alignment horizontal="right"/>
    </xf>
    <xf numFmtId="0" fontId="45" fillId="0" borderId="0" xfId="6" applyFont="1"/>
    <xf numFmtId="0" fontId="21" fillId="0" borderId="9" xfId="6" applyFont="1" applyBorder="1" applyAlignment="1">
      <alignment horizontal="right"/>
    </xf>
    <xf numFmtId="164" fontId="33" fillId="0" borderId="0" xfId="6" applyNumberFormat="1" applyFont="1"/>
    <xf numFmtId="164" fontId="33" fillId="0" borderId="0" xfId="8" applyNumberFormat="1" applyFont="1" applyFill="1"/>
    <xf numFmtId="164" fontId="33" fillId="0" borderId="0" xfId="8" applyNumberFormat="1" applyFont="1" applyFill="1" applyBorder="1"/>
    <xf numFmtId="164" fontId="21" fillId="0" borderId="0" xfId="8" applyNumberFormat="1" applyFont="1" applyFill="1"/>
    <xf numFmtId="164" fontId="21" fillId="0" borderId="9" xfId="6" applyNumberFormat="1" applyFont="1" applyBorder="1"/>
    <xf numFmtId="164" fontId="21" fillId="0" borderId="9" xfId="8" applyNumberFormat="1" applyFont="1" applyFill="1" applyBorder="1"/>
    <xf numFmtId="164" fontId="21" fillId="0" borderId="0" xfId="8" applyNumberFormat="1" applyFont="1" applyFill="1" applyBorder="1"/>
    <xf numFmtId="164" fontId="21" fillId="0" borderId="0" xfId="6" applyNumberFormat="1" applyFont="1"/>
    <xf numFmtId="168" fontId="33" fillId="0" borderId="0" xfId="8" applyNumberFormat="1" applyFont="1" applyFill="1"/>
    <xf numFmtId="168" fontId="33" fillId="0" borderId="9" xfId="8" applyNumberFormat="1" applyFont="1" applyFill="1" applyBorder="1"/>
    <xf numFmtId="43" fontId="21" fillId="0" borderId="0" xfId="6" applyNumberFormat="1" applyFont="1"/>
    <xf numFmtId="168" fontId="21" fillId="0" borderId="0" xfId="6" applyNumberFormat="1" applyFont="1"/>
    <xf numFmtId="168" fontId="33" fillId="0" borderId="0" xfId="6" applyNumberFormat="1" applyFont="1"/>
    <xf numFmtId="43" fontId="33" fillId="0" borderId="0" xfId="6" applyNumberFormat="1" applyFont="1"/>
    <xf numFmtId="0" fontId="21" fillId="0" borderId="0" xfId="6" applyFont="1" applyAlignment="1">
      <alignment horizontal="left" indent="1"/>
    </xf>
    <xf numFmtId="168" fontId="21" fillId="0" borderId="0" xfId="8" applyNumberFormat="1" applyFont="1" applyFill="1"/>
    <xf numFmtId="168" fontId="21" fillId="0" borderId="0" xfId="8" applyNumberFormat="1" applyFont="1" applyFill="1" applyBorder="1"/>
    <xf numFmtId="0" fontId="55" fillId="0" borderId="0" xfId="6" applyFont="1" applyAlignment="1">
      <alignment horizontal="left" indent="4"/>
    </xf>
    <xf numFmtId="164" fontId="55" fillId="0" borderId="0" xfId="6" applyNumberFormat="1" applyFont="1"/>
    <xf numFmtId="164" fontId="55" fillId="0" borderId="0" xfId="8" applyNumberFormat="1" applyFont="1" applyFill="1"/>
    <xf numFmtId="0" fontId="76" fillId="0" borderId="0" xfId="6" applyFont="1"/>
    <xf numFmtId="0" fontId="77" fillId="0" borderId="0" xfId="6" applyFont="1"/>
    <xf numFmtId="43" fontId="77" fillId="0" borderId="0" xfId="6" applyNumberFormat="1" applyFont="1"/>
    <xf numFmtId="0" fontId="78" fillId="0" borderId="0" xfId="6" applyFont="1"/>
    <xf numFmtId="0" fontId="79" fillId="11" borderId="15" xfId="6" applyFont="1" applyFill="1" applyBorder="1"/>
    <xf numFmtId="174" fontId="80" fillId="11" borderId="15" xfId="6" applyNumberFormat="1" applyFont="1" applyFill="1" applyBorder="1" applyAlignment="1">
      <alignment horizontal="right"/>
    </xf>
    <xf numFmtId="0" fontId="79" fillId="11" borderId="0" xfId="6" applyFont="1" applyFill="1"/>
    <xf numFmtId="164" fontId="76" fillId="0" borderId="0" xfId="8" applyNumberFormat="1" applyFont="1"/>
    <xf numFmtId="164" fontId="81" fillId="0" borderId="0" xfId="6" applyNumberFormat="1" applyFont="1"/>
    <xf numFmtId="164" fontId="78" fillId="0" borderId="0" xfId="8" applyNumberFormat="1" applyFont="1"/>
    <xf numFmtId="164" fontId="78" fillId="0" borderId="0" xfId="6" applyNumberFormat="1" applyFont="1"/>
    <xf numFmtId="0" fontId="77" fillId="0" borderId="0" xfId="6" applyFont="1" applyAlignment="1">
      <alignment horizontal="left" indent="1"/>
    </xf>
    <xf numFmtId="164" fontId="77" fillId="0" borderId="0" xfId="8" applyNumberFormat="1" applyFont="1"/>
    <xf numFmtId="0" fontId="76" fillId="7" borderId="0" xfId="6" applyFont="1" applyFill="1"/>
    <xf numFmtId="0" fontId="82" fillId="0" borderId="0" xfId="6" applyFont="1"/>
    <xf numFmtId="164" fontId="82" fillId="0" borderId="0" xfId="8" applyNumberFormat="1" applyFont="1"/>
    <xf numFmtId="10" fontId="77" fillId="0" borderId="0" xfId="9" applyNumberFormat="1" applyFont="1"/>
    <xf numFmtId="164" fontId="77" fillId="0" borderId="0" xfId="6" applyNumberFormat="1" applyFont="1"/>
    <xf numFmtId="164" fontId="82" fillId="0" borderId="0" xfId="6" applyNumberFormat="1" applyFont="1"/>
    <xf numFmtId="0" fontId="83" fillId="0" borderId="0" xfId="6" applyFont="1"/>
    <xf numFmtId="0" fontId="76" fillId="9" borderId="15" xfId="6" applyFont="1" applyFill="1" applyBorder="1"/>
    <xf numFmtId="164" fontId="76" fillId="9" borderId="15" xfId="8" applyNumberFormat="1" applyFont="1" applyFill="1" applyBorder="1"/>
    <xf numFmtId="0" fontId="76" fillId="0" borderId="0" xfId="6" applyFont="1" applyAlignment="1">
      <alignment horizontal="left"/>
    </xf>
    <xf numFmtId="164" fontId="76" fillId="0" borderId="0" xfId="6" applyNumberFormat="1" applyFont="1"/>
    <xf numFmtId="43" fontId="77" fillId="0" borderId="0" xfId="8" applyFont="1"/>
  </cellXfs>
  <cellStyles count="13">
    <cellStyle name="Comma 19" xfId="8" xr:uid="{28310F8A-8449-DA47-859B-1AE8E62207D7}"/>
    <cellStyle name="Comma 2" xfId="2" xr:uid="{13D88878-0714-C746-A62F-EA78E3DF008F}"/>
    <cellStyle name="Comma 2 14 3" xfId="10" xr:uid="{449A9302-EF98-2946-84F8-D70A030B22AB}"/>
    <cellStyle name="Heading 1 3" xfId="12" xr:uid="{06982D15-05D4-DC4C-AE3D-C0DB36704BF3}"/>
    <cellStyle name="Hyperlink 2" xfId="7" xr:uid="{FDC15245-F552-6E4F-AD61-0D9F490A9FDB}"/>
    <cellStyle name="Input 3" xfId="11" xr:uid="{322055C0-068B-924D-83FD-57899E7B5AB3}"/>
    <cellStyle name="Normal" xfId="0" builtinId="0"/>
    <cellStyle name="Normal 2" xfId="1" xr:uid="{530B0D5D-2A4B-F84C-9194-79538E300250}"/>
    <cellStyle name="Normal 2 2" xfId="4" xr:uid="{7B56D036-C1D1-CB45-9EC3-0B72781FEB1F}"/>
    <cellStyle name="Normal 22" xfId="6" xr:uid="{74660EAC-B164-0446-A812-7D07931E8C61}"/>
    <cellStyle name="Normal 25" xfId="5" xr:uid="{81BB0A93-317A-DE40-A21B-DDF502D5B1A7}"/>
    <cellStyle name="Percent 15" xfId="9" xr:uid="{B6EDE3FD-7464-5344-93F4-44305DF69390}"/>
    <cellStyle name="Percent 2" xfId="3" xr:uid="{FC25BAC9-800D-804A-ADAD-E0FB0635A23E}"/>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273050</xdr:colOff>
      <xdr:row>11</xdr:row>
      <xdr:rowOff>158750</xdr:rowOff>
    </xdr:from>
    <xdr:to>
      <xdr:col>21</xdr:col>
      <xdr:colOff>200489</xdr:colOff>
      <xdr:row>35</xdr:row>
      <xdr:rowOff>60544</xdr:rowOff>
    </xdr:to>
    <xdr:pic>
      <xdr:nvPicPr>
        <xdr:cNvPr id="2" name="Picture 1">
          <a:extLst>
            <a:ext uri="{FF2B5EF4-FFF2-40B4-BE49-F238E27FC236}">
              <a16:creationId xmlns:a16="http://schemas.microsoft.com/office/drawing/2014/main" id="{D43F7E2C-A7E5-4F4D-BFE6-08F65EA4F11E}"/>
            </a:ext>
          </a:extLst>
        </xdr:cNvPr>
        <xdr:cNvPicPr>
          <a:picLocks noChangeAspect="1"/>
        </xdr:cNvPicPr>
      </xdr:nvPicPr>
      <xdr:blipFill>
        <a:blip xmlns:r="http://schemas.openxmlformats.org/officeDocument/2006/relationships" r:embed="rId1"/>
        <a:stretch>
          <a:fillRect/>
        </a:stretch>
      </xdr:blipFill>
      <xdr:spPr>
        <a:xfrm>
          <a:off x="11423650" y="2254250"/>
          <a:ext cx="9846139" cy="449919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2.%20Payday/0.%20ALL_Payday_Model_SAP&amp;PnL_v5_Q3.2025%201.xlsb" TargetMode="External"/><Relationship Id="rId2" Type="http://schemas.openxmlformats.org/officeDocument/2006/relationships/externalLinkPath" Target="/Users/dam.ho/Downloads/Actual%20SAP%20Q3.25%20-%20share/2.%20Payday/0.%20ALL_Payday_Model_SAP&amp;PnL_v5_Q3.2025%201.xlsb" TargetMode="External"/><Relationship Id="rId1" Type="http://schemas.openxmlformats.org/officeDocument/2006/relationships/externalLinkPath" Target="/Users/dam.ho/Downloads/Actual%20SAP%20Q3.25%20-%20share/2.%20Payday/0.%20ALL_Payday_Model_SAP&amp;PnL_v5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F"/>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am.ho/Downloads/Actual%20SAP%20Q3.25%20-%20share/2.%20Payday/0.%20ALL_Payday_Model_SAP&amp;PnL_v5_Q3.2025%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6.475504629627" createdVersion="8" refreshedVersion="8" minRefreshableVersion="3" recordCount="444" xr:uid="{516E8D3B-DC75-594E-AE1E-58A4E024A0D8}">
  <cacheSource type="worksheet">
    <worksheetSource ref="L38:N482" sheet="DATA" r:id="rId2"/>
  </cacheSource>
  <cacheFields count="3">
    <cacheField name="bucket" numFmtId="0">
      <sharedItems count="30">
        <s v="B00"/>
        <s v="B01"/>
        <s v="B02"/>
        <s v="B03"/>
        <s v="B04"/>
        <s v="B05"/>
        <s v="B06"/>
        <s v="B07"/>
        <s v="B08"/>
        <s v="B09"/>
        <s v="B10"/>
        <s v="B11"/>
        <s v="B12"/>
        <s v="B13"/>
        <s v="B14"/>
        <s v="B15"/>
        <s v="B16"/>
        <s v="B17"/>
        <s v="B18"/>
        <s v="B19"/>
        <s v="B20"/>
        <s v="B21"/>
        <s v="B22"/>
        <s v="B23"/>
        <s v="B24"/>
        <s v="B25"/>
        <s v="B26"/>
        <s v="B27"/>
        <s v="B28"/>
        <s v="B29"/>
      </sharedItems>
    </cacheField>
    <cacheField name="report_month" numFmtId="0">
      <sharedItems containsSemiMixedTypes="0" containsString="0" containsNumber="1" containsInteger="1" minValue="202401" maxValue="202510" count="22">
        <n v="202403"/>
        <n v="202410"/>
        <n v="202412"/>
        <n v="202502"/>
        <n v="202401"/>
        <n v="202509"/>
        <n v="202506"/>
        <n v="202504"/>
        <n v="202407"/>
        <n v="202510"/>
        <n v="202503"/>
        <n v="202405"/>
        <n v="202501"/>
        <n v="202408"/>
        <n v="202404"/>
        <n v="202409"/>
        <n v="202406"/>
        <n v="202508"/>
        <n v="202411"/>
        <n v="202402"/>
        <n v="202507"/>
        <n v="202505"/>
      </sharedItems>
    </cacheField>
    <cacheField name="principal balance" numFmtId="0">
      <sharedItems containsSemiMixedTypes="0" containsString="0" containsNumber="1" containsInteger="1" minValue="6000000" maxValue="36941259365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n v="53525927234"/>
  </r>
  <r>
    <x v="0"/>
    <x v="1"/>
    <n v="110489281129"/>
  </r>
  <r>
    <x v="0"/>
    <x v="2"/>
    <n v="140915432312"/>
  </r>
  <r>
    <x v="0"/>
    <x v="3"/>
    <n v="120454958029"/>
  </r>
  <r>
    <x v="0"/>
    <x v="4"/>
    <n v="39352047960"/>
  </r>
  <r>
    <x v="0"/>
    <x v="5"/>
    <n v="369412593653"/>
  </r>
  <r>
    <x v="0"/>
    <x v="6"/>
    <n v="131698673529"/>
  </r>
  <r>
    <x v="0"/>
    <x v="7"/>
    <n v="130882226527"/>
  </r>
  <r>
    <x v="0"/>
    <x v="8"/>
    <n v="96238663386"/>
  </r>
  <r>
    <x v="0"/>
    <x v="9"/>
    <n v="342280626842"/>
  </r>
  <r>
    <x v="0"/>
    <x v="10"/>
    <n v="124804871704"/>
  </r>
  <r>
    <x v="0"/>
    <x v="11"/>
    <n v="68692214339"/>
  </r>
  <r>
    <x v="0"/>
    <x v="12"/>
    <n v="125736974174"/>
  </r>
  <r>
    <x v="0"/>
    <x v="13"/>
    <n v="102917027574"/>
  </r>
  <r>
    <x v="0"/>
    <x v="14"/>
    <n v="61774567080"/>
  </r>
  <r>
    <x v="0"/>
    <x v="15"/>
    <n v="105643467744"/>
  </r>
  <r>
    <x v="0"/>
    <x v="16"/>
    <n v="82139005584"/>
  </r>
  <r>
    <x v="0"/>
    <x v="17"/>
    <n v="236445987551"/>
  </r>
  <r>
    <x v="0"/>
    <x v="18"/>
    <n v="108183945508"/>
  </r>
  <r>
    <x v="0"/>
    <x v="19"/>
    <n v="42374875041"/>
  </r>
  <r>
    <x v="0"/>
    <x v="20"/>
    <n v="187078083967"/>
  </r>
  <r>
    <x v="0"/>
    <x v="21"/>
    <n v="132576792356"/>
  </r>
  <r>
    <x v="1"/>
    <x v="0"/>
    <n v="2847803991"/>
  </r>
  <r>
    <x v="1"/>
    <x v="1"/>
    <n v="7702626249"/>
  </r>
  <r>
    <x v="1"/>
    <x v="2"/>
    <n v="8049379348"/>
  </r>
  <r>
    <x v="1"/>
    <x v="3"/>
    <n v="9678486086"/>
  </r>
  <r>
    <x v="1"/>
    <x v="4"/>
    <n v="4035632295"/>
  </r>
  <r>
    <x v="1"/>
    <x v="5"/>
    <n v="19418748894"/>
  </r>
  <r>
    <x v="1"/>
    <x v="6"/>
    <n v="8562993399"/>
  </r>
  <r>
    <x v="1"/>
    <x v="7"/>
    <n v="7406106547"/>
  </r>
  <r>
    <x v="1"/>
    <x v="8"/>
    <n v="5416018045"/>
  </r>
  <r>
    <x v="1"/>
    <x v="9"/>
    <n v="27566527723"/>
  </r>
  <r>
    <x v="1"/>
    <x v="10"/>
    <n v="8032313372"/>
  </r>
  <r>
    <x v="1"/>
    <x v="11"/>
    <n v="3958274941"/>
  </r>
  <r>
    <x v="1"/>
    <x v="12"/>
    <n v="10438070154"/>
  </r>
  <r>
    <x v="1"/>
    <x v="13"/>
    <n v="6368791795"/>
  </r>
  <r>
    <x v="1"/>
    <x v="14"/>
    <n v="3672521113"/>
  </r>
  <r>
    <x v="1"/>
    <x v="15"/>
    <n v="7091212819"/>
  </r>
  <r>
    <x v="1"/>
    <x v="16"/>
    <n v="4302043622"/>
  </r>
  <r>
    <x v="1"/>
    <x v="17"/>
    <n v="16841740137"/>
  </r>
  <r>
    <x v="1"/>
    <x v="18"/>
    <n v="6533997439"/>
  </r>
  <r>
    <x v="1"/>
    <x v="20"/>
    <n v="8321080207"/>
  </r>
  <r>
    <x v="1"/>
    <x v="21"/>
    <n v="8351092769"/>
  </r>
  <r>
    <x v="1"/>
    <x v="19"/>
    <n v="4209955262"/>
  </r>
  <r>
    <x v="2"/>
    <x v="14"/>
    <n v="2233498458"/>
  </r>
  <r>
    <x v="2"/>
    <x v="15"/>
    <n v="4904293943"/>
  </r>
  <r>
    <x v="2"/>
    <x v="16"/>
    <n v="2852934539"/>
  </r>
  <r>
    <x v="2"/>
    <x v="0"/>
    <n v="3316646636"/>
  </r>
  <r>
    <x v="2"/>
    <x v="1"/>
    <n v="5139898244"/>
  </r>
  <r>
    <x v="2"/>
    <x v="2"/>
    <n v="4435792144"/>
  </r>
  <r>
    <x v="2"/>
    <x v="3"/>
    <n v="8603511000"/>
  </r>
  <r>
    <x v="2"/>
    <x v="4"/>
    <n v="2778427359"/>
  </r>
  <r>
    <x v="2"/>
    <x v="5"/>
    <n v="12894830241"/>
  </r>
  <r>
    <x v="2"/>
    <x v="6"/>
    <n v="6582155229"/>
  </r>
  <r>
    <x v="2"/>
    <x v="7"/>
    <n v="5772933753"/>
  </r>
  <r>
    <x v="2"/>
    <x v="17"/>
    <n v="6490477859"/>
  </r>
  <r>
    <x v="2"/>
    <x v="18"/>
    <n v="5391653568"/>
  </r>
  <r>
    <x v="2"/>
    <x v="19"/>
    <n v="3174370625"/>
  </r>
  <r>
    <x v="2"/>
    <x v="20"/>
    <n v="6771584609"/>
  </r>
  <r>
    <x v="2"/>
    <x v="21"/>
    <n v="5658194523"/>
  </r>
  <r>
    <x v="2"/>
    <x v="8"/>
    <n v="3484982082"/>
  </r>
  <r>
    <x v="2"/>
    <x v="9"/>
    <n v="16338694781"/>
  </r>
  <r>
    <x v="2"/>
    <x v="10"/>
    <n v="7709919446"/>
  </r>
  <r>
    <x v="2"/>
    <x v="11"/>
    <n v="2391107621"/>
  </r>
  <r>
    <x v="2"/>
    <x v="12"/>
    <n v="4896829780"/>
  </r>
  <r>
    <x v="2"/>
    <x v="13"/>
    <n v="3975055706"/>
  </r>
  <r>
    <x v="3"/>
    <x v="8"/>
    <n v="2532202957"/>
  </r>
  <r>
    <x v="3"/>
    <x v="9"/>
    <n v="6728427628"/>
  </r>
  <r>
    <x v="3"/>
    <x v="10"/>
    <n v="7759016797"/>
  </r>
  <r>
    <x v="3"/>
    <x v="11"/>
    <n v="2130402607"/>
  </r>
  <r>
    <x v="3"/>
    <x v="12"/>
    <n v="4313905587"/>
  </r>
  <r>
    <x v="3"/>
    <x v="13"/>
    <n v="3378967115"/>
  </r>
  <r>
    <x v="3"/>
    <x v="17"/>
    <n v="6188608797"/>
  </r>
  <r>
    <x v="3"/>
    <x v="18"/>
    <n v="4877191404"/>
  </r>
  <r>
    <x v="3"/>
    <x v="19"/>
    <n v="2765711490"/>
  </r>
  <r>
    <x v="3"/>
    <x v="20"/>
    <n v="5791073866"/>
  </r>
  <r>
    <x v="3"/>
    <x v="21"/>
    <n v="5691588454"/>
  </r>
  <r>
    <x v="3"/>
    <x v="0"/>
    <n v="3086059713"/>
  </r>
  <r>
    <x v="3"/>
    <x v="1"/>
    <n v="4494646673"/>
  </r>
  <r>
    <x v="3"/>
    <x v="2"/>
    <n v="5098774496"/>
  </r>
  <r>
    <x v="3"/>
    <x v="3"/>
    <n v="4713700431"/>
  </r>
  <r>
    <x v="3"/>
    <x v="4"/>
    <n v="2819801637"/>
  </r>
  <r>
    <x v="3"/>
    <x v="5"/>
    <n v="6147932392"/>
  </r>
  <r>
    <x v="3"/>
    <x v="6"/>
    <n v="5344986249"/>
  </r>
  <r>
    <x v="3"/>
    <x v="7"/>
    <n v="7334038550"/>
  </r>
  <r>
    <x v="3"/>
    <x v="15"/>
    <n v="3718124379"/>
  </r>
  <r>
    <x v="3"/>
    <x v="16"/>
    <n v="2200806316"/>
  </r>
  <r>
    <x v="3"/>
    <x v="14"/>
    <n v="3106789415"/>
  </r>
  <r>
    <x v="4"/>
    <x v="17"/>
    <n v="5883465410"/>
  </r>
  <r>
    <x v="4"/>
    <x v="18"/>
    <n v="4382332566"/>
  </r>
  <r>
    <x v="4"/>
    <x v="19"/>
    <n v="2760522034"/>
  </r>
  <r>
    <x v="4"/>
    <x v="20"/>
    <n v="5493579313"/>
  </r>
  <r>
    <x v="4"/>
    <x v="21"/>
    <n v="7136869634"/>
  </r>
  <r>
    <x v="4"/>
    <x v="14"/>
    <n v="3031088643"/>
  </r>
  <r>
    <x v="4"/>
    <x v="15"/>
    <n v="3252923978"/>
  </r>
  <r>
    <x v="4"/>
    <x v="16"/>
    <n v="2041350945"/>
  </r>
  <r>
    <x v="4"/>
    <x v="8"/>
    <n v="2291794701"/>
  </r>
  <r>
    <x v="4"/>
    <x v="9"/>
    <n v="5907977141"/>
  </r>
  <r>
    <x v="4"/>
    <x v="10"/>
    <n v="4758990057"/>
  </r>
  <r>
    <x v="4"/>
    <x v="11"/>
    <n v="3046897699"/>
  </r>
  <r>
    <x v="4"/>
    <x v="12"/>
    <n v="4888975408"/>
  </r>
  <r>
    <x v="4"/>
    <x v="13"/>
    <n v="2347545137"/>
  </r>
  <r>
    <x v="4"/>
    <x v="1"/>
    <n v="3550433410"/>
  </r>
  <r>
    <x v="4"/>
    <x v="2"/>
    <n v="4790023788"/>
  </r>
  <r>
    <x v="4"/>
    <x v="3"/>
    <n v="4169222252"/>
  </r>
  <r>
    <x v="4"/>
    <x v="5"/>
    <n v="5987506756"/>
  </r>
  <r>
    <x v="4"/>
    <x v="6"/>
    <n v="5550425405"/>
  </r>
  <r>
    <x v="4"/>
    <x v="7"/>
    <n v="7503611443"/>
  </r>
  <r>
    <x v="4"/>
    <x v="0"/>
    <n v="2592769789"/>
  </r>
  <r>
    <x v="4"/>
    <x v="4"/>
    <n v="1875793104"/>
  </r>
  <r>
    <x v="5"/>
    <x v="17"/>
    <n v="5364248366"/>
  </r>
  <r>
    <x v="5"/>
    <x v="18"/>
    <n v="3462312311"/>
  </r>
  <r>
    <x v="5"/>
    <x v="19"/>
    <n v="1770256597"/>
  </r>
  <r>
    <x v="5"/>
    <x v="20"/>
    <n v="5317975948"/>
  </r>
  <r>
    <x v="5"/>
    <x v="21"/>
    <n v="7330457696"/>
  </r>
  <r>
    <x v="5"/>
    <x v="14"/>
    <n v="2551771056"/>
  </r>
  <r>
    <x v="5"/>
    <x v="15"/>
    <n v="2291195344"/>
  </r>
  <r>
    <x v="5"/>
    <x v="16"/>
    <n v="2963141268"/>
  </r>
  <r>
    <x v="5"/>
    <x v="8"/>
    <n v="2047638273"/>
  </r>
  <r>
    <x v="5"/>
    <x v="9"/>
    <n v="5973336287"/>
  </r>
  <r>
    <x v="5"/>
    <x v="10"/>
    <n v="3925917203"/>
  </r>
  <r>
    <x v="5"/>
    <x v="11"/>
    <n v="2732835840"/>
  </r>
  <r>
    <x v="5"/>
    <x v="12"/>
    <n v="4934745342"/>
  </r>
  <r>
    <x v="5"/>
    <x v="13"/>
    <n v="2196388918"/>
  </r>
  <r>
    <x v="5"/>
    <x v="1"/>
    <n v="3123277810"/>
  </r>
  <r>
    <x v="5"/>
    <x v="2"/>
    <n v="4124645905"/>
  </r>
  <r>
    <x v="5"/>
    <x v="5"/>
    <n v="5783462054"/>
  </r>
  <r>
    <x v="5"/>
    <x v="7"/>
    <n v="4662271901"/>
  </r>
  <r>
    <x v="5"/>
    <x v="0"/>
    <n v="2731967485"/>
  </r>
  <r>
    <x v="5"/>
    <x v="3"/>
    <n v="4778161995"/>
  </r>
  <r>
    <x v="5"/>
    <x v="4"/>
    <n v="1355563763"/>
  </r>
  <r>
    <x v="5"/>
    <x v="6"/>
    <n v="7003321164"/>
  </r>
  <r>
    <x v="6"/>
    <x v="8"/>
    <n v="2775705386"/>
  </r>
  <r>
    <x v="6"/>
    <x v="9"/>
    <n v="5280346176"/>
  </r>
  <r>
    <x v="6"/>
    <x v="10"/>
    <n v="4721019466"/>
  </r>
  <r>
    <x v="6"/>
    <x v="11"/>
    <n v="2826994152"/>
  </r>
  <r>
    <x v="6"/>
    <x v="12"/>
    <n v="4087432848"/>
  </r>
  <r>
    <x v="6"/>
    <x v="13"/>
    <n v="1949463239"/>
  </r>
  <r>
    <x v="6"/>
    <x v="17"/>
    <n v="5293575080"/>
  </r>
  <r>
    <x v="6"/>
    <x v="18"/>
    <n v="3085474825"/>
  </r>
  <r>
    <x v="6"/>
    <x v="19"/>
    <n v="1316343933"/>
  </r>
  <r>
    <x v="6"/>
    <x v="20"/>
    <n v="7213434708"/>
  </r>
  <r>
    <x v="6"/>
    <x v="21"/>
    <n v="4311181112"/>
  </r>
  <r>
    <x v="6"/>
    <x v="0"/>
    <n v="1826811582"/>
  </r>
  <r>
    <x v="6"/>
    <x v="1"/>
    <n v="2356101572"/>
  </r>
  <r>
    <x v="6"/>
    <x v="2"/>
    <n v="3444566681"/>
  </r>
  <r>
    <x v="6"/>
    <x v="3"/>
    <n v="4501563793"/>
  </r>
  <r>
    <x v="6"/>
    <x v="4"/>
    <n v="1380968541"/>
  </r>
  <r>
    <x v="6"/>
    <x v="5"/>
    <n v="5291955522"/>
  </r>
  <r>
    <x v="6"/>
    <x v="6"/>
    <n v="7227004819"/>
  </r>
  <r>
    <x v="6"/>
    <x v="7"/>
    <n v="3874714147"/>
  </r>
  <r>
    <x v="6"/>
    <x v="15"/>
    <n v="2163950798"/>
  </r>
  <r>
    <x v="6"/>
    <x v="14"/>
    <n v="2685243875"/>
  </r>
  <r>
    <x v="6"/>
    <x v="16"/>
    <n v="2708836553"/>
  </r>
  <r>
    <x v="7"/>
    <x v="14"/>
    <n v="1812462582"/>
  </r>
  <r>
    <x v="7"/>
    <x v="15"/>
    <n v="1918454209"/>
  </r>
  <r>
    <x v="7"/>
    <x v="16"/>
    <n v="2821810652"/>
  </r>
  <r>
    <x v="7"/>
    <x v="0"/>
    <n v="1330596806"/>
  </r>
  <r>
    <x v="7"/>
    <x v="1"/>
    <n v="2119902022"/>
  </r>
  <r>
    <x v="7"/>
    <x v="2"/>
    <n v="3056608221"/>
  </r>
  <r>
    <x v="7"/>
    <x v="3"/>
    <n v="4187173007"/>
  </r>
  <r>
    <x v="7"/>
    <x v="4"/>
    <n v="1317168543"/>
  </r>
  <r>
    <x v="7"/>
    <x v="5"/>
    <n v="5217146152"/>
  </r>
  <r>
    <x v="7"/>
    <x v="6"/>
    <n v="4256572638"/>
  </r>
  <r>
    <x v="7"/>
    <x v="7"/>
    <n v="4660876514"/>
  </r>
  <r>
    <x v="7"/>
    <x v="17"/>
    <n v="7290287879"/>
  </r>
  <r>
    <x v="7"/>
    <x v="18"/>
    <n v="2334830218"/>
  </r>
  <r>
    <x v="7"/>
    <x v="19"/>
    <n v="1400327709"/>
  </r>
  <r>
    <x v="7"/>
    <x v="20"/>
    <n v="6633430860"/>
  </r>
  <r>
    <x v="7"/>
    <x v="21"/>
    <n v="3976394669"/>
  </r>
  <r>
    <x v="7"/>
    <x v="9"/>
    <n v="5465983094"/>
  </r>
  <r>
    <x v="7"/>
    <x v="12"/>
    <n v="3297912124"/>
  </r>
  <r>
    <x v="7"/>
    <x v="8"/>
    <n v="2728316474"/>
  </r>
  <r>
    <x v="7"/>
    <x v="10"/>
    <n v="4597721703"/>
  </r>
  <r>
    <x v="7"/>
    <x v="11"/>
    <n v="2515384227"/>
  </r>
  <r>
    <x v="7"/>
    <x v="13"/>
    <n v="2732001716"/>
  </r>
  <r>
    <x v="8"/>
    <x v="0"/>
    <n v="1342963129"/>
  </r>
  <r>
    <x v="8"/>
    <x v="1"/>
    <n v="1929543056"/>
  </r>
  <r>
    <x v="8"/>
    <x v="2"/>
    <n v="2403947249"/>
  </r>
  <r>
    <x v="8"/>
    <x v="3"/>
    <n v="3236949504"/>
  </r>
  <r>
    <x v="8"/>
    <x v="4"/>
    <n v="865930990"/>
  </r>
  <r>
    <x v="8"/>
    <x v="5"/>
    <n v="7217481891"/>
  </r>
  <r>
    <x v="8"/>
    <x v="6"/>
    <n v="3923487920"/>
  </r>
  <r>
    <x v="8"/>
    <x v="7"/>
    <n v="4461110951"/>
  </r>
  <r>
    <x v="8"/>
    <x v="8"/>
    <n v="2725144959"/>
  </r>
  <r>
    <x v="8"/>
    <x v="9"/>
    <n v="4811503155"/>
  </r>
  <r>
    <x v="8"/>
    <x v="10"/>
    <n v="3892428064"/>
  </r>
  <r>
    <x v="8"/>
    <x v="11"/>
    <n v="1884742664"/>
  </r>
  <r>
    <x v="8"/>
    <x v="12"/>
    <n v="3032344975"/>
  </r>
  <r>
    <x v="8"/>
    <x v="13"/>
    <n v="2776345730"/>
  </r>
  <r>
    <x v="8"/>
    <x v="14"/>
    <n v="1327356801"/>
  </r>
  <r>
    <x v="8"/>
    <x v="15"/>
    <n v="2710466601"/>
  </r>
  <r>
    <x v="8"/>
    <x v="16"/>
    <n v="2491352879"/>
  </r>
  <r>
    <x v="8"/>
    <x v="17"/>
    <n v="6247258058"/>
  </r>
  <r>
    <x v="8"/>
    <x v="18"/>
    <n v="2115203348"/>
  </r>
  <r>
    <x v="8"/>
    <x v="20"/>
    <n v="4547706832"/>
  </r>
  <r>
    <x v="8"/>
    <x v="19"/>
    <n v="1297383379"/>
  </r>
  <r>
    <x v="8"/>
    <x v="21"/>
    <n v="4512102970"/>
  </r>
  <r>
    <x v="9"/>
    <x v="0"/>
    <n v="1307133543"/>
  </r>
  <r>
    <x v="9"/>
    <x v="1"/>
    <n v="2758647801"/>
  </r>
  <r>
    <x v="9"/>
    <x v="2"/>
    <n v="1992845181"/>
  </r>
  <r>
    <x v="9"/>
    <x v="3"/>
    <n v="2889811426"/>
  </r>
  <r>
    <x v="9"/>
    <x v="5"/>
    <n v="6247258058"/>
  </r>
  <r>
    <x v="9"/>
    <x v="6"/>
    <n v="4477782016"/>
  </r>
  <r>
    <x v="9"/>
    <x v="7"/>
    <n v="3882239181"/>
  </r>
  <r>
    <x v="9"/>
    <x v="8"/>
    <n v="2503309924"/>
  </r>
  <r>
    <x v="9"/>
    <x v="9"/>
    <n v="7198626673"/>
  </r>
  <r>
    <x v="9"/>
    <x v="10"/>
    <n v="3269115245"/>
  </r>
  <r>
    <x v="9"/>
    <x v="11"/>
    <n v="1370267471"/>
  </r>
  <r>
    <x v="9"/>
    <x v="12"/>
    <n v="2364770807"/>
  </r>
  <r>
    <x v="9"/>
    <x v="13"/>
    <n v="2702559535"/>
  </r>
  <r>
    <x v="9"/>
    <x v="14"/>
    <n v="1331633561"/>
  </r>
  <r>
    <x v="9"/>
    <x v="15"/>
    <n v="2744433034"/>
  </r>
  <r>
    <x v="9"/>
    <x v="16"/>
    <n v="1881032068"/>
  </r>
  <r>
    <x v="9"/>
    <x v="17"/>
    <n v="4667227695"/>
  </r>
  <r>
    <x v="9"/>
    <x v="18"/>
    <n v="1913310266"/>
  </r>
  <r>
    <x v="9"/>
    <x v="20"/>
    <n v="4065255065"/>
  </r>
  <r>
    <x v="9"/>
    <x v="19"/>
    <n v="841830990"/>
  </r>
  <r>
    <x v="9"/>
    <x v="21"/>
    <n v="4648422654"/>
  </r>
  <r>
    <x v="10"/>
    <x v="8"/>
    <n v="1949028084"/>
  </r>
  <r>
    <x v="10"/>
    <x v="9"/>
    <n v="6538579952"/>
  </r>
  <r>
    <x v="10"/>
    <x v="10"/>
    <n v="2904491822"/>
  </r>
  <r>
    <x v="10"/>
    <x v="11"/>
    <n v="1266458414"/>
  </r>
  <r>
    <x v="10"/>
    <x v="12"/>
    <n v="2029094278"/>
  </r>
  <r>
    <x v="10"/>
    <x v="13"/>
    <n v="2547496130"/>
  </r>
  <r>
    <x v="10"/>
    <x v="17"/>
    <n v="3923514411"/>
  </r>
  <r>
    <x v="10"/>
    <x v="18"/>
    <n v="2738648503"/>
  </r>
  <r>
    <x v="10"/>
    <x v="20"/>
    <n v="4276488143"/>
  </r>
  <r>
    <x v="10"/>
    <x v="21"/>
    <n v="3882239181"/>
  </r>
  <r>
    <x v="10"/>
    <x v="0"/>
    <n v="855437913"/>
  </r>
  <r>
    <x v="10"/>
    <x v="1"/>
    <n v="2632550160"/>
  </r>
  <r>
    <x v="10"/>
    <x v="2"/>
    <n v="1893505610"/>
  </r>
  <r>
    <x v="10"/>
    <x v="3"/>
    <n v="2203438735"/>
  </r>
  <r>
    <x v="10"/>
    <x v="5"/>
    <n v="4667227695"/>
  </r>
  <r>
    <x v="10"/>
    <x v="6"/>
    <n v="4648422654"/>
  </r>
  <r>
    <x v="10"/>
    <x v="7"/>
    <n v="3269115245"/>
  </r>
  <r>
    <x v="10"/>
    <x v="14"/>
    <n v="1304047520"/>
  </r>
  <r>
    <x v="10"/>
    <x v="15"/>
    <n v="2686097451"/>
  </r>
  <r>
    <x v="10"/>
    <x v="16"/>
    <n v="1365007471"/>
  </r>
  <r>
    <x v="11"/>
    <x v="17"/>
    <n v="4391942818"/>
  </r>
  <r>
    <x v="11"/>
    <x v="18"/>
    <n v="2616345520"/>
  </r>
  <r>
    <x v="11"/>
    <x v="20"/>
    <n v="4275758471"/>
  </r>
  <r>
    <x v="11"/>
    <x v="21"/>
    <n v="3155867356"/>
  </r>
  <r>
    <x v="11"/>
    <x v="14"/>
    <n v="855437913"/>
  </r>
  <r>
    <x v="11"/>
    <x v="15"/>
    <n v="2528168426"/>
  </r>
  <r>
    <x v="11"/>
    <x v="16"/>
    <n v="1262008414"/>
  </r>
  <r>
    <x v="11"/>
    <x v="8"/>
    <n v="1256585535"/>
  </r>
  <r>
    <x v="11"/>
    <x v="9"/>
    <n v="3982697671"/>
  </r>
  <r>
    <x v="11"/>
    <x v="10"/>
    <n v="2293738735"/>
  </r>
  <r>
    <x v="11"/>
    <x v="11"/>
    <n v="1310262067"/>
  </r>
  <r>
    <x v="11"/>
    <x v="12"/>
    <n v="1853047905"/>
  </r>
  <r>
    <x v="11"/>
    <x v="13"/>
    <n v="1875357203"/>
  </r>
  <r>
    <x v="11"/>
    <x v="3"/>
    <n v="2017202111"/>
  </r>
  <r>
    <x v="11"/>
    <x v="5"/>
    <n v="3923514411"/>
  </r>
  <r>
    <x v="11"/>
    <x v="6"/>
    <n v="3882239181"/>
  </r>
  <r>
    <x v="11"/>
    <x v="7"/>
    <n v="2904491822"/>
  </r>
  <r>
    <x v="11"/>
    <x v="1"/>
    <n v="2690523059"/>
  </r>
  <r>
    <x v="11"/>
    <x v="2"/>
    <n v="2619970631"/>
  </r>
  <r>
    <x v="12"/>
    <x v="1"/>
    <n v="2390419323"/>
  </r>
  <r>
    <x v="12"/>
    <x v="2"/>
    <n v="2701533258"/>
  </r>
  <r>
    <x v="12"/>
    <x v="3"/>
    <n v="1819145367"/>
  </r>
  <r>
    <x v="12"/>
    <x v="5"/>
    <n v="4391942818"/>
  </r>
  <r>
    <x v="12"/>
    <x v="6"/>
    <n v="3155867356"/>
  </r>
  <r>
    <x v="12"/>
    <x v="7"/>
    <n v="2293738735"/>
  </r>
  <r>
    <x v="12"/>
    <x v="8"/>
    <n v="1414691104"/>
  </r>
  <r>
    <x v="12"/>
    <x v="9"/>
    <n v="4217416004"/>
  </r>
  <r>
    <x v="12"/>
    <x v="10"/>
    <n v="1937769111"/>
  </r>
  <r>
    <x v="12"/>
    <x v="11"/>
    <n v="891237857"/>
  </r>
  <r>
    <x v="12"/>
    <x v="12"/>
    <n v="2664589206"/>
  </r>
  <r>
    <x v="12"/>
    <x v="13"/>
    <n v="1266747766"/>
  </r>
  <r>
    <x v="12"/>
    <x v="15"/>
    <n v="1873057198"/>
  </r>
  <r>
    <x v="12"/>
    <x v="16"/>
    <n v="1305871067"/>
  </r>
  <r>
    <x v="12"/>
    <x v="20"/>
    <n v="4105407285"/>
  </r>
  <r>
    <x v="12"/>
    <x v="21"/>
    <n v="2898267732"/>
  </r>
  <r>
    <x v="12"/>
    <x v="17"/>
    <n v="4233200406"/>
  </r>
  <r>
    <x v="12"/>
    <x v="18"/>
    <n v="2679251602"/>
  </r>
  <r>
    <x v="13"/>
    <x v="15"/>
    <n v="1264085878"/>
  </r>
  <r>
    <x v="13"/>
    <x v="16"/>
    <n v="891037857"/>
  </r>
  <r>
    <x v="13"/>
    <x v="1"/>
    <n v="2012044554"/>
  </r>
  <r>
    <x v="13"/>
    <x v="2"/>
    <n v="2678111331"/>
  </r>
  <r>
    <x v="13"/>
    <x v="3"/>
    <n v="2630712020"/>
  </r>
  <r>
    <x v="13"/>
    <x v="5"/>
    <n v="4233200406"/>
  </r>
  <r>
    <x v="13"/>
    <x v="6"/>
    <n v="2898267732"/>
  </r>
  <r>
    <x v="13"/>
    <x v="7"/>
    <n v="1937769111"/>
  </r>
  <r>
    <x v="13"/>
    <x v="17"/>
    <n v="4178326840"/>
  </r>
  <r>
    <x v="13"/>
    <x v="18"/>
    <n v="2379172323"/>
  </r>
  <r>
    <x v="13"/>
    <x v="20"/>
    <n v="3381581195"/>
  </r>
  <r>
    <x v="13"/>
    <x v="21"/>
    <n v="2288167659"/>
  </r>
  <r>
    <x v="13"/>
    <x v="10"/>
    <n v="1807050367"/>
  </r>
  <r>
    <x v="13"/>
    <x v="8"/>
    <n v="1274861067"/>
  </r>
  <r>
    <x v="13"/>
    <x v="9"/>
    <n v="4361488921"/>
  </r>
  <r>
    <x v="13"/>
    <x v="12"/>
    <n v="2738240183"/>
  </r>
  <r>
    <x v="13"/>
    <x v="13"/>
    <n v="1362438057"/>
  </r>
  <r>
    <x v="14"/>
    <x v="1"/>
    <n v="1261663487"/>
  </r>
  <r>
    <x v="14"/>
    <x v="2"/>
    <n v="2336756684"/>
  </r>
  <r>
    <x v="14"/>
    <x v="3"/>
    <n v="2547097681"/>
  </r>
  <r>
    <x v="14"/>
    <x v="5"/>
    <n v="4178326840"/>
  </r>
  <r>
    <x v="14"/>
    <x v="6"/>
    <n v="2288167659"/>
  </r>
  <r>
    <x v="14"/>
    <x v="7"/>
    <n v="1807050367"/>
  </r>
  <r>
    <x v="14"/>
    <x v="8"/>
    <n v="886241852"/>
  </r>
  <r>
    <x v="14"/>
    <x v="9"/>
    <n v="4147020997"/>
  </r>
  <r>
    <x v="14"/>
    <x v="10"/>
    <n v="2542597243"/>
  </r>
  <r>
    <x v="14"/>
    <x v="12"/>
    <n v="2500920461"/>
  </r>
  <r>
    <x v="14"/>
    <x v="13"/>
    <n v="1339610050"/>
  </r>
  <r>
    <x v="14"/>
    <x v="15"/>
    <n v="1333049104"/>
  </r>
  <r>
    <x v="14"/>
    <x v="17"/>
    <n v="3491593486"/>
  </r>
  <r>
    <x v="14"/>
    <x v="20"/>
    <n v="2913943164"/>
  </r>
  <r>
    <x v="14"/>
    <x v="21"/>
    <n v="1988169275"/>
  </r>
  <r>
    <x v="14"/>
    <x v="18"/>
    <n v="1967140137"/>
  </r>
  <r>
    <x v="15"/>
    <x v="1"/>
    <n v="1325296196"/>
  </r>
  <r>
    <x v="15"/>
    <x v="2"/>
    <n v="2035281390"/>
  </r>
  <r>
    <x v="15"/>
    <x v="3"/>
    <n v="2576573731"/>
  </r>
  <r>
    <x v="15"/>
    <x v="5"/>
    <n v="3491593486"/>
  </r>
  <r>
    <x v="15"/>
    <x v="6"/>
    <n v="1988169275"/>
  </r>
  <r>
    <x v="15"/>
    <x v="7"/>
    <n v="2542597243"/>
  </r>
  <r>
    <x v="15"/>
    <x v="8"/>
    <n v="6000000"/>
  </r>
  <r>
    <x v="15"/>
    <x v="9"/>
    <n v="3953683463"/>
  </r>
  <r>
    <x v="15"/>
    <x v="10"/>
    <n v="2622644280"/>
  </r>
  <r>
    <x v="15"/>
    <x v="12"/>
    <n v="2352656686"/>
  </r>
  <r>
    <x v="15"/>
    <x v="13"/>
    <n v="867996980"/>
  </r>
  <r>
    <x v="15"/>
    <x v="15"/>
    <n v="1327851436"/>
  </r>
  <r>
    <x v="15"/>
    <x v="17"/>
    <n v="2821493164"/>
  </r>
  <r>
    <x v="15"/>
    <x v="21"/>
    <n v="1787739662"/>
  </r>
  <r>
    <x v="15"/>
    <x v="18"/>
    <n v="1261495486"/>
  </r>
  <r>
    <x v="15"/>
    <x v="20"/>
    <n v="2310270399"/>
  </r>
  <r>
    <x v="16"/>
    <x v="17"/>
    <n v="2348920399"/>
  </r>
  <r>
    <x v="16"/>
    <x v="18"/>
    <n v="1325296196"/>
  </r>
  <r>
    <x v="16"/>
    <x v="20"/>
    <n v="2068519275"/>
  </r>
  <r>
    <x v="16"/>
    <x v="21"/>
    <n v="2585164319"/>
  </r>
  <r>
    <x v="16"/>
    <x v="15"/>
    <n v="863195973"/>
  </r>
  <r>
    <x v="16"/>
    <x v="9"/>
    <n v="3046676737"/>
  </r>
  <r>
    <x v="16"/>
    <x v="10"/>
    <n v="2591920461"/>
  </r>
  <r>
    <x v="16"/>
    <x v="12"/>
    <n v="2042438388"/>
  </r>
  <r>
    <x v="16"/>
    <x v="13"/>
    <n v="55445879"/>
  </r>
  <r>
    <x v="16"/>
    <x v="5"/>
    <n v="2821493164"/>
  </r>
  <r>
    <x v="16"/>
    <x v="6"/>
    <n v="1787739662"/>
  </r>
  <r>
    <x v="16"/>
    <x v="1"/>
    <n v="1365551436"/>
  </r>
  <r>
    <x v="16"/>
    <x v="2"/>
    <n v="1232072486"/>
  </r>
  <r>
    <x v="16"/>
    <x v="3"/>
    <n v="2313205489"/>
  </r>
  <r>
    <x v="16"/>
    <x v="7"/>
    <n v="2622644280"/>
  </r>
  <r>
    <x v="17"/>
    <x v="9"/>
    <n v="2672215399"/>
  </r>
  <r>
    <x v="17"/>
    <x v="10"/>
    <n v="2333813684"/>
  </r>
  <r>
    <x v="17"/>
    <x v="12"/>
    <n v="1238949061"/>
  </r>
  <r>
    <x v="17"/>
    <x v="17"/>
    <n v="1993527072"/>
  </r>
  <r>
    <x v="17"/>
    <x v="18"/>
    <n v="1365551436"/>
  </r>
  <r>
    <x v="17"/>
    <x v="20"/>
    <n v="1701536374"/>
  </r>
  <r>
    <x v="17"/>
    <x v="21"/>
    <n v="2674030800"/>
  </r>
  <r>
    <x v="17"/>
    <x v="1"/>
    <n v="834184356"/>
  </r>
  <r>
    <x v="17"/>
    <x v="2"/>
    <n v="1297828243"/>
  </r>
  <r>
    <x v="17"/>
    <x v="3"/>
    <n v="1967140137"/>
  </r>
  <r>
    <x v="17"/>
    <x v="5"/>
    <n v="2348920399"/>
  </r>
  <r>
    <x v="17"/>
    <x v="6"/>
    <n v="2585164319"/>
  </r>
  <r>
    <x v="17"/>
    <x v="7"/>
    <n v="2591920461"/>
  </r>
  <r>
    <x v="17"/>
    <x v="15"/>
    <n v="55445879"/>
  </r>
  <r>
    <x v="18"/>
    <x v="17"/>
    <n v="1763328577"/>
  </r>
  <r>
    <x v="18"/>
    <x v="18"/>
    <n v="834184356"/>
  </r>
  <r>
    <x v="18"/>
    <x v="20"/>
    <n v="2584440264"/>
  </r>
  <r>
    <x v="18"/>
    <x v="21"/>
    <n v="2500920461"/>
  </r>
  <r>
    <x v="18"/>
    <x v="9"/>
    <n v="2040234589"/>
  </r>
  <r>
    <x v="18"/>
    <x v="10"/>
    <n v="2035281390"/>
  </r>
  <r>
    <x v="18"/>
    <x v="12"/>
    <n v="1304001668"/>
  </r>
  <r>
    <x v="18"/>
    <x v="5"/>
    <n v="1993527072"/>
  </r>
  <r>
    <x v="18"/>
    <x v="1"/>
    <n v="84457496"/>
  </r>
  <r>
    <x v="18"/>
    <x v="2"/>
    <n v="1341341243"/>
  </r>
  <r>
    <x v="18"/>
    <x v="3"/>
    <n v="1261495486"/>
  </r>
  <r>
    <x v="18"/>
    <x v="6"/>
    <n v="2674030800"/>
  </r>
  <r>
    <x v="18"/>
    <x v="7"/>
    <n v="2333813684"/>
  </r>
  <r>
    <x v="19"/>
    <x v="17"/>
    <n v="2651440264"/>
  </r>
  <r>
    <x v="19"/>
    <x v="18"/>
    <n v="84457496"/>
  </r>
  <r>
    <x v="19"/>
    <x v="20"/>
    <n v="2529617159"/>
  </r>
  <r>
    <x v="19"/>
    <x v="21"/>
    <n v="2352656686"/>
  </r>
  <r>
    <x v="19"/>
    <x v="9"/>
    <n v="1968930613"/>
  </r>
  <r>
    <x v="19"/>
    <x v="10"/>
    <n v="1232072486"/>
  </r>
  <r>
    <x v="19"/>
    <x v="12"/>
    <n v="1366301248"/>
  </r>
  <r>
    <x v="19"/>
    <x v="5"/>
    <n v="1763328577"/>
  </r>
  <r>
    <x v="19"/>
    <x v="2"/>
    <n v="900485502"/>
  </r>
  <r>
    <x v="19"/>
    <x v="3"/>
    <n v="1325296196"/>
  </r>
  <r>
    <x v="19"/>
    <x v="6"/>
    <n v="2500920461"/>
  </r>
  <r>
    <x v="19"/>
    <x v="7"/>
    <n v="2035281390"/>
  </r>
  <r>
    <x v="20"/>
    <x v="2"/>
    <n v="99257496"/>
  </r>
  <r>
    <x v="20"/>
    <x v="3"/>
    <n v="1365551436"/>
  </r>
  <r>
    <x v="20"/>
    <x v="5"/>
    <n v="2651440264"/>
  </r>
  <r>
    <x v="20"/>
    <x v="6"/>
    <n v="2352656686"/>
  </r>
  <r>
    <x v="20"/>
    <x v="7"/>
    <n v="1232072486"/>
  </r>
  <r>
    <x v="20"/>
    <x v="9"/>
    <n v="2067547999"/>
  </r>
  <r>
    <x v="20"/>
    <x v="10"/>
    <n v="1297828243"/>
  </r>
  <r>
    <x v="20"/>
    <x v="12"/>
    <n v="927475497"/>
  </r>
  <r>
    <x v="20"/>
    <x v="17"/>
    <n v="2469577301"/>
  </r>
  <r>
    <x v="20"/>
    <x v="20"/>
    <n v="2611725630"/>
  </r>
  <r>
    <x v="20"/>
    <x v="21"/>
    <n v="2042438388"/>
  </r>
  <r>
    <x v="21"/>
    <x v="3"/>
    <n v="834184356"/>
  </r>
  <r>
    <x v="21"/>
    <x v="5"/>
    <n v="2469577301"/>
  </r>
  <r>
    <x v="21"/>
    <x v="6"/>
    <n v="2042438388"/>
  </r>
  <r>
    <x v="21"/>
    <x v="7"/>
    <n v="1297828243"/>
  </r>
  <r>
    <x v="21"/>
    <x v="9"/>
    <n v="2712715552"/>
  </r>
  <r>
    <x v="21"/>
    <x v="10"/>
    <n v="1341341243"/>
  </r>
  <r>
    <x v="21"/>
    <x v="12"/>
    <n v="99257496"/>
  </r>
  <r>
    <x v="21"/>
    <x v="17"/>
    <n v="2671765488"/>
  </r>
  <r>
    <x v="21"/>
    <x v="20"/>
    <n v="2361983489"/>
  </r>
  <r>
    <x v="21"/>
    <x v="21"/>
    <n v="1238949061"/>
  </r>
  <r>
    <x v="22"/>
    <x v="3"/>
    <n v="84457496"/>
  </r>
  <r>
    <x v="22"/>
    <x v="5"/>
    <n v="2671765488"/>
  </r>
  <r>
    <x v="22"/>
    <x v="6"/>
    <n v="1238949061"/>
  </r>
  <r>
    <x v="22"/>
    <x v="7"/>
    <n v="1341341243"/>
  </r>
  <r>
    <x v="22"/>
    <x v="17"/>
    <n v="2296233489"/>
  </r>
  <r>
    <x v="22"/>
    <x v="20"/>
    <n v="2112601387"/>
  </r>
  <r>
    <x v="22"/>
    <x v="21"/>
    <n v="1304001668"/>
  </r>
  <r>
    <x v="22"/>
    <x v="9"/>
    <n v="2658752052"/>
  </r>
  <r>
    <x v="22"/>
    <x v="10"/>
    <n v="900485502"/>
  </r>
  <r>
    <x v="23"/>
    <x v="9"/>
    <n v="2308085529"/>
  </r>
  <r>
    <x v="23"/>
    <x v="10"/>
    <n v="99257496"/>
  </r>
  <r>
    <x v="23"/>
    <x v="17"/>
    <n v="2133351387"/>
  </r>
  <r>
    <x v="23"/>
    <x v="20"/>
    <n v="1279995074"/>
  </r>
  <r>
    <x v="23"/>
    <x v="21"/>
    <n v="1366301248"/>
  </r>
  <r>
    <x v="23"/>
    <x v="5"/>
    <n v="2296233489"/>
  </r>
  <r>
    <x v="23"/>
    <x v="6"/>
    <n v="1304001668"/>
  </r>
  <r>
    <x v="23"/>
    <x v="7"/>
    <n v="900485502"/>
  </r>
  <r>
    <x v="24"/>
    <x v="17"/>
    <n v="1228373064"/>
  </r>
  <r>
    <x v="24"/>
    <x v="20"/>
    <n v="1257417668"/>
  </r>
  <r>
    <x v="24"/>
    <x v="21"/>
    <n v="927475497"/>
  </r>
  <r>
    <x v="24"/>
    <x v="9"/>
    <n v="2496557176"/>
  </r>
  <r>
    <x v="24"/>
    <x v="5"/>
    <n v="2133351387"/>
  </r>
  <r>
    <x v="24"/>
    <x v="6"/>
    <n v="1366301248"/>
  </r>
  <r>
    <x v="24"/>
    <x v="7"/>
    <n v="99257496"/>
  </r>
  <r>
    <x v="25"/>
    <x v="9"/>
    <n v="1400709888"/>
  </r>
  <r>
    <x v="25"/>
    <x v="17"/>
    <n v="1316039678"/>
  </r>
  <r>
    <x v="25"/>
    <x v="20"/>
    <n v="1382285248"/>
  </r>
  <r>
    <x v="25"/>
    <x v="21"/>
    <n v="99257496"/>
  </r>
  <r>
    <x v="25"/>
    <x v="5"/>
    <n v="1228373064"/>
  </r>
  <r>
    <x v="25"/>
    <x v="6"/>
    <n v="927475497"/>
  </r>
  <r>
    <x v="26"/>
    <x v="9"/>
    <n v="1242640199"/>
  </r>
  <r>
    <x v="26"/>
    <x v="17"/>
    <n v="1370035303"/>
  </r>
  <r>
    <x v="26"/>
    <x v="20"/>
    <n v="906527807"/>
  </r>
  <r>
    <x v="26"/>
    <x v="5"/>
    <n v="1316039678"/>
  </r>
  <r>
    <x v="26"/>
    <x v="6"/>
    <n v="99257496"/>
  </r>
  <r>
    <x v="27"/>
    <x v="17"/>
    <n v="911793752"/>
  </r>
  <r>
    <x v="27"/>
    <x v="20"/>
    <n v="150805186"/>
  </r>
  <r>
    <x v="27"/>
    <x v="9"/>
    <n v="1349964442"/>
  </r>
  <r>
    <x v="27"/>
    <x v="5"/>
    <n v="1370035303"/>
  </r>
  <r>
    <x v="28"/>
    <x v="5"/>
    <n v="911793752"/>
  </r>
  <r>
    <x v="28"/>
    <x v="9"/>
    <n v="1119070006"/>
  </r>
  <r>
    <x v="28"/>
    <x v="17"/>
    <n v="195789186"/>
  </r>
  <r>
    <x v="29"/>
    <x v="5"/>
    <n v="195789186"/>
  </r>
  <r>
    <x v="29"/>
    <x v="9"/>
    <n v="6819019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5C1F02-29B7-B740-8230-C550C217E259}"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8:G70" firstHeaderRow="1" firstDataRow="2" firstDataCol="1"/>
  <pivotFields count="3">
    <pivotField axis="axisRow"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Col" showAll="0">
      <items count="23">
        <item h="1" x="4"/>
        <item h="1" x="19"/>
        <item h="1" x="0"/>
        <item h="1" x="14"/>
        <item h="1" x="11"/>
        <item h="1" x="16"/>
        <item h="1" x="8"/>
        <item h="1" x="13"/>
        <item h="1" x="15"/>
        <item h="1" x="1"/>
        <item h="1" x="18"/>
        <item h="1" x="2"/>
        <item h="1" x="12"/>
        <item h="1" x="3"/>
        <item h="1" x="10"/>
        <item h="1" x="7"/>
        <item h="1" x="21"/>
        <item x="6"/>
        <item x="20"/>
        <item x="17"/>
        <item x="5"/>
        <item h="1" x="9"/>
        <item t="default"/>
      </items>
    </pivotField>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
  </colFields>
  <colItems count="5">
    <i>
      <x v="17"/>
    </i>
    <i>
      <x v="18"/>
    </i>
    <i>
      <x v="19"/>
    </i>
    <i>
      <x v="20"/>
    </i>
    <i t="grand">
      <x/>
    </i>
  </colItems>
  <dataFields count="1">
    <dataField name="Sum of principal balan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A7990-6357-1A46-9C75-FE633D3FB76F}">
  <sheetPr codeName="Sheet2" filterMode="1"/>
  <dimension ref="B1:J42"/>
  <sheetViews>
    <sheetView tabSelected="1" workbookViewId="0">
      <selection activeCell="J1" sqref="J1"/>
    </sheetView>
  </sheetViews>
  <sheetFormatPr baseColWidth="10" defaultColWidth="8.83203125" defaultRowHeight="16" x14ac:dyDescent="0.2"/>
  <cols>
    <col min="1" max="1" width="8.83203125" style="1"/>
    <col min="2" max="2" width="8.5" style="1" bestFit="1" customWidth="1"/>
    <col min="3" max="3" width="5.33203125" style="1" bestFit="1" customWidth="1"/>
    <col min="4" max="4" width="26.6640625" style="1" bestFit="1" customWidth="1"/>
    <col min="5" max="5" width="20.6640625" style="2" bestFit="1" customWidth="1"/>
    <col min="6" max="6" width="17.33203125" style="2" bestFit="1" customWidth="1"/>
    <col min="7" max="7" width="8.83203125" style="1" bestFit="1" customWidth="1"/>
    <col min="8" max="8" width="6.33203125" style="1" bestFit="1" customWidth="1"/>
    <col min="9" max="16384" width="8.83203125" style="1"/>
  </cols>
  <sheetData>
    <row r="1" spans="2:10" x14ac:dyDescent="0.2">
      <c r="E1" s="2">
        <f>SUBTOTAL(9,E3:E43)</f>
        <v>24063720300562</v>
      </c>
      <c r="F1" s="2">
        <f>SUBTOTAL(9,F3:F43)</f>
        <v>3642664552.1532612</v>
      </c>
      <c r="H1" s="3">
        <f>F1/E1*365</f>
        <v>5.5252161549803613E-2</v>
      </c>
      <c r="J1" s="4">
        <v>5.5252161549803613E-2</v>
      </c>
    </row>
    <row r="2" spans="2:10" x14ac:dyDescent="0.2">
      <c r="E2" s="2">
        <f>SUM(E4:E42)</f>
        <v>348822682508025</v>
      </c>
      <c r="F2" s="2">
        <f>SUM(F4:F42)</f>
        <v>63783620900.743423</v>
      </c>
      <c r="H2" s="1">
        <f>SUM(H4:H42)</f>
        <v>1173</v>
      </c>
    </row>
    <row r="3" spans="2:10" x14ac:dyDescent="0.2">
      <c r="B3" s="1" t="s">
        <v>0</v>
      </c>
      <c r="C3" s="1" t="s">
        <v>1</v>
      </c>
      <c r="D3" s="1" t="s">
        <v>2</v>
      </c>
      <c r="E3" s="2" t="s">
        <v>3</v>
      </c>
      <c r="F3" s="2" t="s">
        <v>4</v>
      </c>
      <c r="G3" s="1" t="s">
        <v>5</v>
      </c>
      <c r="H3" s="1" t="s">
        <v>6</v>
      </c>
    </row>
    <row r="4" spans="2:10" hidden="1" x14ac:dyDescent="0.2">
      <c r="B4" s="1" t="s">
        <v>7</v>
      </c>
      <c r="C4" s="1" t="s">
        <v>8</v>
      </c>
      <c r="D4" s="1" t="s">
        <v>9</v>
      </c>
      <c r="E4" s="2">
        <v>175237237692</v>
      </c>
      <c r="F4" s="2">
        <v>35108053.829599991</v>
      </c>
      <c r="G4" s="1">
        <v>9</v>
      </c>
      <c r="H4" s="1">
        <v>30</v>
      </c>
    </row>
    <row r="5" spans="2:10" hidden="1" x14ac:dyDescent="0.2">
      <c r="B5" s="1" t="s">
        <v>7</v>
      </c>
      <c r="C5" s="1" t="s">
        <v>8</v>
      </c>
      <c r="D5" s="1" t="s">
        <v>10</v>
      </c>
      <c r="E5" s="2">
        <v>45792086198052</v>
      </c>
      <c r="F5" s="2">
        <v>8822040089.5528088</v>
      </c>
      <c r="G5" s="1">
        <v>9</v>
      </c>
      <c r="H5" s="1">
        <v>30</v>
      </c>
    </row>
    <row r="6" spans="2:10" hidden="1" x14ac:dyDescent="0.2">
      <c r="B6" s="1" t="s">
        <v>7</v>
      </c>
      <c r="C6" s="1" t="s">
        <v>11</v>
      </c>
      <c r="D6" s="1" t="s">
        <v>12</v>
      </c>
      <c r="E6" s="2">
        <v>7169005435909</v>
      </c>
      <c r="F6" s="2">
        <v>991098493.76622188</v>
      </c>
      <c r="G6" s="1">
        <v>9</v>
      </c>
      <c r="H6" s="1">
        <v>30</v>
      </c>
    </row>
    <row r="7" spans="2:10" x14ac:dyDescent="0.2">
      <c r="B7" s="1" t="s">
        <v>7</v>
      </c>
      <c r="C7" s="1" t="s">
        <v>13</v>
      </c>
      <c r="D7" s="1" t="s">
        <v>14</v>
      </c>
      <c r="E7" s="2">
        <v>3672603510227</v>
      </c>
      <c r="F7" s="2">
        <v>546679020.90572369</v>
      </c>
      <c r="G7" s="1">
        <v>9</v>
      </c>
      <c r="H7" s="1">
        <v>30</v>
      </c>
    </row>
    <row r="8" spans="2:10" hidden="1" x14ac:dyDescent="0.2">
      <c r="B8" s="1" t="s">
        <v>7</v>
      </c>
      <c r="C8" s="1" t="s">
        <v>8</v>
      </c>
      <c r="D8" s="1" t="s">
        <v>15</v>
      </c>
      <c r="E8" s="2">
        <v>7860835561894</v>
      </c>
      <c r="F8" s="2">
        <v>1521183689.232101</v>
      </c>
      <c r="G8" s="1">
        <v>9</v>
      </c>
      <c r="H8" s="1">
        <v>30</v>
      </c>
    </row>
    <row r="9" spans="2:10" hidden="1" x14ac:dyDescent="0.2">
      <c r="B9" s="1" t="s">
        <v>7</v>
      </c>
      <c r="C9" s="1" t="s">
        <v>8</v>
      </c>
      <c r="D9" s="1" t="s">
        <v>16</v>
      </c>
      <c r="E9" s="2">
        <v>530282165595</v>
      </c>
      <c r="F9" s="2">
        <v>116196117.29580016</v>
      </c>
      <c r="G9" s="1">
        <v>9</v>
      </c>
      <c r="H9" s="1">
        <v>30</v>
      </c>
    </row>
    <row r="10" spans="2:10" hidden="1" x14ac:dyDescent="0.2">
      <c r="B10" s="1" t="s">
        <v>7</v>
      </c>
      <c r="C10" s="1" t="s">
        <v>8</v>
      </c>
      <c r="D10" s="1" t="s">
        <v>17</v>
      </c>
      <c r="E10" s="2">
        <v>47500871433668</v>
      </c>
      <c r="F10" s="2">
        <v>9199477518.9295311</v>
      </c>
      <c r="G10" s="1">
        <v>9</v>
      </c>
      <c r="H10" s="1">
        <v>30</v>
      </c>
    </row>
    <row r="11" spans="2:10" x14ac:dyDescent="0.2">
      <c r="B11" s="1" t="s">
        <v>7</v>
      </c>
      <c r="C11" s="1" t="s">
        <v>13</v>
      </c>
      <c r="D11" s="1" t="s">
        <v>18</v>
      </c>
      <c r="E11" s="2">
        <v>6555226346162</v>
      </c>
      <c r="F11" s="2">
        <v>1021781034.7704437</v>
      </c>
      <c r="G11" s="1">
        <v>9</v>
      </c>
      <c r="H11" s="1">
        <v>30</v>
      </c>
    </row>
    <row r="12" spans="2:10" x14ac:dyDescent="0.2">
      <c r="B12" s="1" t="s">
        <v>7</v>
      </c>
      <c r="C12" s="1" t="s">
        <v>13</v>
      </c>
      <c r="D12" s="1" t="s">
        <v>19</v>
      </c>
      <c r="E12" s="2">
        <v>25934847005</v>
      </c>
      <c r="F12" s="2">
        <v>3828070.8097999999</v>
      </c>
      <c r="G12" s="1">
        <v>9</v>
      </c>
      <c r="H12" s="1">
        <v>30</v>
      </c>
    </row>
    <row r="13" spans="2:10" hidden="1" x14ac:dyDescent="0.2">
      <c r="B13" s="1" t="s">
        <v>7</v>
      </c>
      <c r="C13" s="1" t="s">
        <v>8</v>
      </c>
      <c r="D13" s="1" t="s">
        <v>20</v>
      </c>
      <c r="E13" s="2">
        <v>234239258102</v>
      </c>
      <c r="F13" s="2">
        <v>44742343.228500105</v>
      </c>
      <c r="G13" s="1">
        <v>9</v>
      </c>
      <c r="H13" s="1">
        <v>30</v>
      </c>
    </row>
    <row r="14" spans="2:10" hidden="1" x14ac:dyDescent="0.2">
      <c r="B14" s="1" t="s">
        <v>7</v>
      </c>
      <c r="C14" s="1" t="s">
        <v>8</v>
      </c>
      <c r="D14" s="1" t="s">
        <v>21</v>
      </c>
      <c r="E14" s="2">
        <v>2538375718443</v>
      </c>
      <c r="F14" s="2">
        <v>469029388.97289979</v>
      </c>
      <c r="G14" s="1">
        <v>9</v>
      </c>
      <c r="H14" s="1">
        <v>30</v>
      </c>
    </row>
    <row r="15" spans="2:10" hidden="1" x14ac:dyDescent="0.2">
      <c r="B15" s="1" t="s">
        <v>7</v>
      </c>
      <c r="C15" s="1" t="s">
        <v>8</v>
      </c>
      <c r="D15" s="1" t="s">
        <v>22</v>
      </c>
      <c r="E15" s="2">
        <v>74534379401</v>
      </c>
      <c r="F15" s="2">
        <v>14917047.562100017</v>
      </c>
      <c r="G15" s="1">
        <v>9</v>
      </c>
      <c r="H15" s="1">
        <v>30</v>
      </c>
    </row>
    <row r="16" spans="2:10" hidden="1" x14ac:dyDescent="0.2">
      <c r="B16" s="1" t="s">
        <v>7</v>
      </c>
      <c r="C16" s="1" t="s">
        <v>8</v>
      </c>
      <c r="D16" s="1" t="s">
        <v>23</v>
      </c>
      <c r="E16" s="2">
        <v>7090478078140</v>
      </c>
      <c r="F16" s="2">
        <v>1395719252.0424969</v>
      </c>
      <c r="G16" s="1">
        <v>9</v>
      </c>
      <c r="H16" s="1">
        <v>30</v>
      </c>
    </row>
    <row r="17" spans="2:8" hidden="1" x14ac:dyDescent="0.2">
      <c r="B17" s="1" t="s">
        <v>7</v>
      </c>
      <c r="C17" s="1" t="s">
        <v>8</v>
      </c>
      <c r="D17" s="5" t="s">
        <v>9</v>
      </c>
      <c r="E17" s="2">
        <v>227915625750</v>
      </c>
      <c r="F17" s="2">
        <v>45244008.315300122</v>
      </c>
      <c r="G17" s="1">
        <v>8</v>
      </c>
      <c r="H17" s="1">
        <v>31</v>
      </c>
    </row>
    <row r="18" spans="2:8" hidden="1" x14ac:dyDescent="0.2">
      <c r="B18" s="1" t="s">
        <v>7</v>
      </c>
      <c r="C18" s="1" t="s">
        <v>8</v>
      </c>
      <c r="D18" s="5" t="s">
        <v>10</v>
      </c>
      <c r="E18" s="2">
        <v>41280215956610</v>
      </c>
      <c r="F18" s="2">
        <v>7754036270.4407501</v>
      </c>
      <c r="G18" s="1">
        <v>8</v>
      </c>
      <c r="H18" s="1">
        <v>31</v>
      </c>
    </row>
    <row r="19" spans="2:8" hidden="1" x14ac:dyDescent="0.2">
      <c r="B19" s="1" t="s">
        <v>7</v>
      </c>
      <c r="C19" s="1" t="s">
        <v>11</v>
      </c>
      <c r="D19" s="5" t="s">
        <v>12</v>
      </c>
      <c r="E19" s="2">
        <v>8075773783819</v>
      </c>
      <c r="F19" s="2">
        <v>1106962660.5554149</v>
      </c>
      <c r="G19" s="1">
        <v>8</v>
      </c>
      <c r="H19" s="1">
        <v>31</v>
      </c>
    </row>
    <row r="20" spans="2:8" x14ac:dyDescent="0.2">
      <c r="B20" s="1" t="s">
        <v>7</v>
      </c>
      <c r="C20" s="1" t="s">
        <v>13</v>
      </c>
      <c r="D20" s="5" t="s">
        <v>14</v>
      </c>
      <c r="E20" s="2">
        <v>2258725784559</v>
      </c>
      <c r="F20" s="2">
        <v>324195872.69566309</v>
      </c>
      <c r="G20" s="1">
        <v>8</v>
      </c>
      <c r="H20" s="1">
        <v>31</v>
      </c>
    </row>
    <row r="21" spans="2:8" hidden="1" x14ac:dyDescent="0.2">
      <c r="B21" s="1" t="s">
        <v>7</v>
      </c>
      <c r="C21" s="1" t="s">
        <v>8</v>
      </c>
      <c r="D21" s="5" t="s">
        <v>15</v>
      </c>
      <c r="E21" s="2">
        <v>6300017954406</v>
      </c>
      <c r="F21" s="2">
        <v>1186639732.3457015</v>
      </c>
      <c r="G21" s="1">
        <v>8</v>
      </c>
      <c r="H21" s="1">
        <v>31</v>
      </c>
    </row>
    <row r="22" spans="2:8" hidden="1" x14ac:dyDescent="0.2">
      <c r="B22" s="1" t="s">
        <v>7</v>
      </c>
      <c r="C22" s="1" t="s">
        <v>8</v>
      </c>
      <c r="D22" s="5" t="s">
        <v>16</v>
      </c>
      <c r="E22" s="2">
        <v>662360457132</v>
      </c>
      <c r="F22" s="2">
        <v>144441340.00560009</v>
      </c>
      <c r="G22" s="1">
        <v>8</v>
      </c>
      <c r="H22" s="1">
        <v>31</v>
      </c>
    </row>
    <row r="23" spans="2:8" hidden="1" x14ac:dyDescent="0.2">
      <c r="B23" s="1" t="s">
        <v>7</v>
      </c>
      <c r="C23" s="1" t="s">
        <v>8</v>
      </c>
      <c r="D23" s="5" t="s">
        <v>17</v>
      </c>
      <c r="E23" s="2">
        <v>44474355290699</v>
      </c>
      <c r="F23" s="2">
        <v>8431017077.3974457</v>
      </c>
      <c r="G23" s="1">
        <v>8</v>
      </c>
      <c r="H23" s="1">
        <v>31</v>
      </c>
    </row>
    <row r="24" spans="2:8" x14ac:dyDescent="0.2">
      <c r="B24" s="1" t="s">
        <v>7</v>
      </c>
      <c r="C24" s="1" t="s">
        <v>13</v>
      </c>
      <c r="D24" s="5" t="s">
        <v>18</v>
      </c>
      <c r="E24" s="2">
        <v>5860065293620</v>
      </c>
      <c r="F24" s="2">
        <v>904678029.56090653</v>
      </c>
      <c r="G24" s="1">
        <v>8</v>
      </c>
      <c r="H24" s="1">
        <v>31</v>
      </c>
    </row>
    <row r="25" spans="2:8" x14ac:dyDescent="0.2">
      <c r="B25" s="1" t="s">
        <v>7</v>
      </c>
      <c r="C25" s="1" t="s">
        <v>13</v>
      </c>
      <c r="D25" s="5" t="s">
        <v>19</v>
      </c>
      <c r="E25" s="2">
        <v>24866579982</v>
      </c>
      <c r="F25" s="2">
        <v>3609016.7509000013</v>
      </c>
      <c r="G25" s="1">
        <v>8</v>
      </c>
      <c r="H25" s="1">
        <v>31</v>
      </c>
    </row>
    <row r="26" spans="2:8" hidden="1" x14ac:dyDescent="0.2">
      <c r="B26" s="1" t="s">
        <v>7</v>
      </c>
      <c r="C26" s="1" t="s">
        <v>8</v>
      </c>
      <c r="D26" s="5" t="s">
        <v>20</v>
      </c>
      <c r="E26" s="2">
        <v>244810503828</v>
      </c>
      <c r="F26" s="2">
        <v>46218996.834600076</v>
      </c>
      <c r="G26" s="1">
        <v>8</v>
      </c>
      <c r="H26" s="1">
        <v>31</v>
      </c>
    </row>
    <row r="27" spans="2:8" hidden="1" x14ac:dyDescent="0.2">
      <c r="B27" s="1" t="s">
        <v>7</v>
      </c>
      <c r="C27" s="1" t="s">
        <v>8</v>
      </c>
      <c r="D27" s="5" t="s">
        <v>21</v>
      </c>
      <c r="E27" s="2">
        <v>2429833839740</v>
      </c>
      <c r="F27" s="2">
        <v>437768410.82450008</v>
      </c>
      <c r="G27" s="1">
        <v>8</v>
      </c>
      <c r="H27" s="1">
        <v>31</v>
      </c>
    </row>
    <row r="28" spans="2:8" hidden="1" x14ac:dyDescent="0.2">
      <c r="B28" s="1" t="s">
        <v>7</v>
      </c>
      <c r="C28" s="1" t="s">
        <v>8</v>
      </c>
      <c r="D28" s="5" t="s">
        <v>22</v>
      </c>
      <c r="E28" s="2">
        <v>44643750738</v>
      </c>
      <c r="F28" s="2">
        <v>8739365.9388999864</v>
      </c>
      <c r="G28" s="1">
        <v>8</v>
      </c>
      <c r="H28" s="1">
        <v>31</v>
      </c>
    </row>
    <row r="29" spans="2:8" hidden="1" x14ac:dyDescent="0.2">
      <c r="B29" s="1" t="s">
        <v>7</v>
      </c>
      <c r="C29" s="1" t="s">
        <v>8</v>
      </c>
      <c r="D29" s="5" t="s">
        <v>23</v>
      </c>
      <c r="E29" s="2">
        <v>5657270300671</v>
      </c>
      <c r="F29" s="2">
        <v>1089221924.9091015</v>
      </c>
      <c r="G29" s="1">
        <v>8</v>
      </c>
      <c r="H29" s="1">
        <v>31</v>
      </c>
    </row>
    <row r="30" spans="2:8" hidden="1" x14ac:dyDescent="0.2">
      <c r="B30" s="1" t="s">
        <v>7</v>
      </c>
      <c r="C30" s="1" t="s">
        <v>8</v>
      </c>
      <c r="D30" s="6" t="s">
        <v>9</v>
      </c>
      <c r="E30" s="2">
        <v>273818830931</v>
      </c>
      <c r="F30" s="2">
        <v>53818108.584199965</v>
      </c>
      <c r="G30" s="1">
        <v>7</v>
      </c>
      <c r="H30" s="1">
        <v>31</v>
      </c>
    </row>
    <row r="31" spans="2:8" hidden="1" x14ac:dyDescent="0.2">
      <c r="B31" s="1" t="s">
        <v>7</v>
      </c>
      <c r="C31" s="1" t="s">
        <v>8</v>
      </c>
      <c r="D31" s="6" t="s">
        <v>10</v>
      </c>
      <c r="E31" s="2">
        <v>35770675612287</v>
      </c>
      <c r="F31" s="2">
        <v>6537789004.7231007</v>
      </c>
      <c r="G31" s="1">
        <v>7</v>
      </c>
      <c r="H31" s="1">
        <v>31</v>
      </c>
    </row>
    <row r="32" spans="2:8" hidden="1" x14ac:dyDescent="0.2">
      <c r="B32" s="1" t="s">
        <v>7</v>
      </c>
      <c r="C32" s="1" t="s">
        <v>11</v>
      </c>
      <c r="D32" s="6" t="s">
        <v>12</v>
      </c>
      <c r="E32" s="2">
        <v>8292458768315</v>
      </c>
      <c r="F32" s="2">
        <v>1047685646.850098</v>
      </c>
      <c r="G32" s="1">
        <v>7</v>
      </c>
      <c r="H32" s="1">
        <v>31</v>
      </c>
    </row>
    <row r="33" spans="2:8" x14ac:dyDescent="0.2">
      <c r="B33" s="1" t="s">
        <v>7</v>
      </c>
      <c r="C33" s="1" t="s">
        <v>13</v>
      </c>
      <c r="D33" s="6" t="s">
        <v>14</v>
      </c>
      <c r="E33" s="2">
        <v>38840172019</v>
      </c>
      <c r="F33" s="2">
        <v>23986847.263095979</v>
      </c>
      <c r="G33" s="1">
        <v>7</v>
      </c>
      <c r="H33" s="1">
        <v>8</v>
      </c>
    </row>
    <row r="34" spans="2:8" hidden="1" x14ac:dyDescent="0.2">
      <c r="B34" s="1" t="s">
        <v>7</v>
      </c>
      <c r="C34" s="1" t="s">
        <v>8</v>
      </c>
      <c r="D34" s="6" t="s">
        <v>15</v>
      </c>
      <c r="E34" s="2">
        <v>4945894517858</v>
      </c>
      <c r="F34" s="2">
        <v>903001419.59399891</v>
      </c>
      <c r="G34" s="1">
        <v>7</v>
      </c>
      <c r="H34" s="1">
        <v>31</v>
      </c>
    </row>
    <row r="35" spans="2:8" hidden="1" x14ac:dyDescent="0.2">
      <c r="B35" s="1" t="s">
        <v>7</v>
      </c>
      <c r="C35" s="1" t="s">
        <v>8</v>
      </c>
      <c r="D35" s="6" t="s">
        <v>16</v>
      </c>
      <c r="E35" s="2">
        <v>799538938168</v>
      </c>
      <c r="F35" s="2">
        <v>172768221.07349989</v>
      </c>
      <c r="G35" s="1">
        <v>7</v>
      </c>
      <c r="H35" s="1">
        <v>31</v>
      </c>
    </row>
    <row r="36" spans="2:8" hidden="1" x14ac:dyDescent="0.2">
      <c r="B36" s="1" t="s">
        <v>7</v>
      </c>
      <c r="C36" s="1" t="s">
        <v>8</v>
      </c>
      <c r="D36" s="6" t="s">
        <v>17</v>
      </c>
      <c r="E36" s="2">
        <v>40348789467513</v>
      </c>
      <c r="F36" s="2">
        <v>7483310231.6582909</v>
      </c>
      <c r="G36" s="1">
        <v>7</v>
      </c>
      <c r="H36" s="1">
        <v>31</v>
      </c>
    </row>
    <row r="37" spans="2:8" x14ac:dyDescent="0.2">
      <c r="B37" s="1" t="s">
        <v>7</v>
      </c>
      <c r="C37" s="1" t="s">
        <v>13</v>
      </c>
      <c r="D37" s="6" t="s">
        <v>18</v>
      </c>
      <c r="E37" s="2">
        <v>5610054927705</v>
      </c>
      <c r="F37" s="2">
        <v>811523708.73242831</v>
      </c>
      <c r="G37" s="1">
        <v>7</v>
      </c>
      <c r="H37" s="1">
        <v>31</v>
      </c>
    </row>
    <row r="38" spans="2:8" x14ac:dyDescent="0.2">
      <c r="B38" s="1" t="s">
        <v>7</v>
      </c>
      <c r="C38" s="1" t="s">
        <v>13</v>
      </c>
      <c r="D38" s="6" t="s">
        <v>19</v>
      </c>
      <c r="E38" s="2">
        <v>17402839283</v>
      </c>
      <c r="F38" s="2">
        <v>2382950.6643000026</v>
      </c>
      <c r="G38" s="1">
        <v>7</v>
      </c>
      <c r="H38" s="1">
        <v>31</v>
      </c>
    </row>
    <row r="39" spans="2:8" hidden="1" x14ac:dyDescent="0.2">
      <c r="B39" s="1" t="s">
        <v>7</v>
      </c>
      <c r="C39" s="1" t="s">
        <v>8</v>
      </c>
      <c r="D39" s="6" t="s">
        <v>20</v>
      </c>
      <c r="E39" s="2">
        <v>252417398890</v>
      </c>
      <c r="F39" s="2">
        <v>46993767.709399968</v>
      </c>
      <c r="G39" s="1">
        <v>7</v>
      </c>
      <c r="H39" s="1">
        <v>31</v>
      </c>
    </row>
    <row r="40" spans="2:8" hidden="1" x14ac:dyDescent="0.2">
      <c r="B40" s="1" t="s">
        <v>7</v>
      </c>
      <c r="C40" s="1" t="s">
        <v>8</v>
      </c>
      <c r="D40" s="6" t="s">
        <v>21</v>
      </c>
      <c r="E40" s="2">
        <v>2233579953491</v>
      </c>
      <c r="F40" s="2">
        <v>392153089.9739002</v>
      </c>
      <c r="G40" s="1">
        <v>7</v>
      </c>
      <c r="H40" s="1">
        <v>31</v>
      </c>
    </row>
    <row r="41" spans="2:8" hidden="1" x14ac:dyDescent="0.2">
      <c r="B41" s="1" t="s">
        <v>7</v>
      </c>
      <c r="C41" s="1" t="s">
        <v>8</v>
      </c>
      <c r="D41" s="6" t="s">
        <v>22</v>
      </c>
      <c r="E41" s="2">
        <v>27674072052</v>
      </c>
      <c r="F41" s="2">
        <v>5192176.8221999994</v>
      </c>
      <c r="G41" s="1">
        <v>7</v>
      </c>
      <c r="H41" s="1">
        <v>31</v>
      </c>
    </row>
    <row r="42" spans="2:8" hidden="1" x14ac:dyDescent="0.2">
      <c r="B42" s="1" t="s">
        <v>7</v>
      </c>
      <c r="C42" s="1" t="s">
        <v>8</v>
      </c>
      <c r="D42" s="6" t="s">
        <v>23</v>
      </c>
      <c r="E42" s="2">
        <v>3450971717669</v>
      </c>
      <c r="F42" s="2">
        <v>638442899.62210023</v>
      </c>
      <c r="G42" s="1">
        <v>7</v>
      </c>
      <c r="H42" s="1">
        <v>31</v>
      </c>
    </row>
  </sheetData>
  <autoFilter ref="B3:H42" xr:uid="{6A8C9B35-6F3B-4F3B-8FC7-3BF69D158AC8}">
    <filterColumn colId="1">
      <filters>
        <filter val="PD"/>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4997-4699-254B-8E0C-0BE80C46CDAB}">
  <sheetPr codeName="Sheet3">
    <tabColor rgb="FFFF0000"/>
  </sheetPr>
  <dimension ref="A1:T121"/>
  <sheetViews>
    <sheetView showGridLines="0" zoomScale="128" workbookViewId="0">
      <pane xSplit="1" ySplit="2" topLeftCell="B99" activePane="bottomRight" state="frozen"/>
      <selection activeCell="J1" sqref="J1"/>
      <selection pane="topRight" activeCell="J1" sqref="J1"/>
      <selection pane="bottomLeft" activeCell="J1" sqref="J1"/>
      <selection pane="bottomRight" activeCell="J1" sqref="J1"/>
    </sheetView>
  </sheetViews>
  <sheetFormatPr baseColWidth="10" defaultColWidth="8.83203125" defaultRowHeight="14" x14ac:dyDescent="0.15"/>
  <cols>
    <col min="1" max="1" width="8.83203125" style="8"/>
    <col min="2" max="2" width="5.5" style="8" customWidth="1"/>
    <col min="3" max="3" width="5" style="8" customWidth="1"/>
    <col min="4" max="5" width="8.83203125" style="8"/>
    <col min="6" max="6" width="14.5" style="8" customWidth="1"/>
    <col min="7" max="16384" width="8.83203125" style="8"/>
  </cols>
  <sheetData>
    <row r="1" spans="1:20" ht="25" x14ac:dyDescent="0.25">
      <c r="A1" s="7" t="s">
        <v>24</v>
      </c>
    </row>
    <row r="2" spans="1:20" ht="25" x14ac:dyDescent="0.25">
      <c r="A2" s="7"/>
      <c r="N2" s="9" t="s">
        <v>25</v>
      </c>
      <c r="O2" s="9" t="s">
        <v>26</v>
      </c>
      <c r="P2" s="9">
        <v>20251001</v>
      </c>
    </row>
    <row r="3" spans="1:20" ht="25" x14ac:dyDescent="0.15">
      <c r="B3" s="10" t="s">
        <v>27</v>
      </c>
    </row>
    <row r="4" spans="1:20" s="11" customFormat="1" ht="16" x14ac:dyDescent="0.2">
      <c r="B4" s="12"/>
      <c r="C4" s="12" t="s">
        <v>28</v>
      </c>
    </row>
    <row r="5" spans="1:20" x14ac:dyDescent="0.15">
      <c r="D5" s="13" t="s">
        <v>29</v>
      </c>
      <c r="E5" s="14"/>
      <c r="Q5" s="14"/>
      <c r="R5" s="14"/>
      <c r="S5" s="14"/>
      <c r="T5" s="14"/>
    </row>
    <row r="6" spans="1:20" x14ac:dyDescent="0.15">
      <c r="D6" s="13" t="s">
        <v>30</v>
      </c>
      <c r="E6" s="14"/>
      <c r="Q6" s="14"/>
      <c r="R6" s="14"/>
      <c r="S6" s="14"/>
      <c r="T6" s="14"/>
    </row>
    <row r="7" spans="1:20" x14ac:dyDescent="0.15">
      <c r="D7" s="13" t="s">
        <v>31</v>
      </c>
      <c r="E7" s="14"/>
      <c r="Q7" s="14"/>
      <c r="R7" s="14"/>
      <c r="S7" s="14"/>
      <c r="T7" s="14"/>
    </row>
    <row r="8" spans="1:20" x14ac:dyDescent="0.15">
      <c r="D8" s="13" t="s">
        <v>32</v>
      </c>
      <c r="E8" s="14"/>
      <c r="Q8" s="14"/>
      <c r="R8" s="14"/>
      <c r="S8" s="14"/>
      <c r="T8" s="14"/>
    </row>
    <row r="9" spans="1:20" x14ac:dyDescent="0.15">
      <c r="D9" s="13" t="s">
        <v>33</v>
      </c>
      <c r="E9" s="14"/>
      <c r="Q9" s="14"/>
      <c r="R9" s="14"/>
      <c r="S9" s="14"/>
      <c r="T9" s="14"/>
    </row>
    <row r="10" spans="1:20" x14ac:dyDescent="0.15">
      <c r="E10" s="13" t="s">
        <v>34</v>
      </c>
      <c r="Q10" s="14"/>
      <c r="R10" s="14"/>
      <c r="S10" s="14"/>
      <c r="T10" s="14"/>
    </row>
    <row r="11" spans="1:20" x14ac:dyDescent="0.15">
      <c r="E11" s="14"/>
      <c r="Q11" s="14"/>
      <c r="R11" s="14"/>
      <c r="S11" s="14"/>
      <c r="T11" s="14"/>
    </row>
    <row r="12" spans="1:20" x14ac:dyDescent="0.15">
      <c r="C12" s="15" t="s">
        <v>35</v>
      </c>
      <c r="D12" s="14"/>
      <c r="E12" s="14"/>
      <c r="Q12" s="14"/>
      <c r="R12" s="14"/>
      <c r="S12" s="14"/>
      <c r="T12" s="14"/>
    </row>
    <row r="13" spans="1:20" x14ac:dyDescent="0.15">
      <c r="D13" s="13" t="s">
        <v>36</v>
      </c>
      <c r="E13" s="14"/>
      <c r="Q13" s="14"/>
      <c r="R13" s="14"/>
      <c r="S13" s="14"/>
      <c r="T13" s="14"/>
    </row>
    <row r="14" spans="1:20" x14ac:dyDescent="0.15">
      <c r="D14" s="13" t="s">
        <v>37</v>
      </c>
      <c r="E14" s="14"/>
      <c r="Q14" s="14"/>
      <c r="R14" s="14"/>
      <c r="S14" s="14"/>
      <c r="T14" s="14"/>
    </row>
    <row r="15" spans="1:20" x14ac:dyDescent="0.15">
      <c r="D15" s="13" t="s">
        <v>38</v>
      </c>
      <c r="E15" s="14"/>
      <c r="Q15" s="14"/>
      <c r="R15" s="14"/>
      <c r="S15" s="14"/>
      <c r="T15" s="14"/>
    </row>
    <row r="16" spans="1:20" ht="12" customHeight="1" x14ac:dyDescent="0.15">
      <c r="B16" s="10"/>
      <c r="C16" s="15"/>
      <c r="D16" s="13"/>
      <c r="E16" s="14"/>
      <c r="Q16" s="14"/>
      <c r="R16" s="14"/>
      <c r="S16" s="14"/>
      <c r="T16" s="14"/>
    </row>
    <row r="17" spans="2:20" ht="25" x14ac:dyDescent="0.15">
      <c r="B17" s="10" t="s">
        <v>39</v>
      </c>
      <c r="D17" s="13"/>
      <c r="E17" s="14"/>
      <c r="Q17" s="14"/>
      <c r="R17" s="14"/>
      <c r="S17" s="14"/>
      <c r="T17" s="14"/>
    </row>
    <row r="18" spans="2:20" x14ac:dyDescent="0.15">
      <c r="D18" s="16" t="s">
        <v>40</v>
      </c>
      <c r="E18" s="14"/>
      <c r="Q18" s="14"/>
      <c r="R18" s="14"/>
      <c r="S18" s="14"/>
      <c r="T18" s="14"/>
    </row>
    <row r="19" spans="2:20" x14ac:dyDescent="0.15">
      <c r="D19" s="13"/>
      <c r="E19" s="17" t="s">
        <v>41</v>
      </c>
      <c r="F19" s="18"/>
      <c r="G19" s="18"/>
      <c r="H19" s="18"/>
      <c r="Q19" s="14"/>
      <c r="R19" s="14"/>
      <c r="S19" s="14"/>
      <c r="T19" s="14"/>
    </row>
    <row r="20" spans="2:20" x14ac:dyDescent="0.15">
      <c r="D20" s="13"/>
      <c r="E20" s="19" t="s">
        <v>42</v>
      </c>
      <c r="Q20" s="14"/>
      <c r="R20" s="14"/>
      <c r="S20" s="14"/>
      <c r="T20" s="14"/>
    </row>
    <row r="21" spans="2:20" x14ac:dyDescent="0.15">
      <c r="D21" s="13"/>
      <c r="E21" s="19"/>
      <c r="F21" s="13" t="s">
        <v>43</v>
      </c>
      <c r="Q21" s="14"/>
      <c r="R21" s="14"/>
      <c r="S21" s="14"/>
      <c r="T21" s="14"/>
    </row>
    <row r="22" spans="2:20" x14ac:dyDescent="0.15">
      <c r="D22" s="13"/>
      <c r="F22" s="20" t="s">
        <v>44</v>
      </c>
      <c r="Q22" s="14"/>
      <c r="R22" s="14"/>
      <c r="S22" s="14"/>
      <c r="T22" s="14"/>
    </row>
    <row r="23" spans="2:20" x14ac:dyDescent="0.15">
      <c r="D23" s="13"/>
      <c r="E23" s="19" t="s">
        <v>45</v>
      </c>
      <c r="Q23" s="14"/>
      <c r="R23" s="14"/>
      <c r="S23" s="14"/>
      <c r="T23" s="14"/>
    </row>
    <row r="24" spans="2:20" x14ac:dyDescent="0.15">
      <c r="D24" s="13"/>
      <c r="E24" s="19"/>
      <c r="F24" s="20" t="s">
        <v>46</v>
      </c>
      <c r="Q24" s="14"/>
      <c r="R24" s="14"/>
      <c r="S24" s="14"/>
      <c r="T24" s="14"/>
    </row>
    <row r="25" spans="2:20" x14ac:dyDescent="0.15">
      <c r="D25" s="13"/>
      <c r="E25" s="19"/>
      <c r="F25" s="20" t="s">
        <v>47</v>
      </c>
      <c r="Q25" s="14"/>
      <c r="R25" s="14"/>
      <c r="S25" s="14"/>
      <c r="T25" s="14"/>
    </row>
    <row r="26" spans="2:20" x14ac:dyDescent="0.15">
      <c r="D26" s="13"/>
      <c r="E26" s="14"/>
      <c r="Q26" s="14"/>
      <c r="R26" s="14"/>
      <c r="S26" s="14"/>
      <c r="T26" s="14"/>
    </row>
    <row r="27" spans="2:20" x14ac:dyDescent="0.15">
      <c r="D27" s="16" t="s">
        <v>48</v>
      </c>
      <c r="E27" s="14"/>
      <c r="Q27" s="14"/>
      <c r="R27" s="14"/>
      <c r="S27" s="14"/>
      <c r="T27" s="14"/>
    </row>
    <row r="28" spans="2:20" x14ac:dyDescent="0.15">
      <c r="D28" s="13"/>
      <c r="E28" s="19" t="s">
        <v>49</v>
      </c>
      <c r="Q28" s="14"/>
      <c r="R28" s="14"/>
      <c r="S28" s="14"/>
      <c r="T28" s="14"/>
    </row>
    <row r="29" spans="2:20" x14ac:dyDescent="0.15">
      <c r="D29" s="13"/>
      <c r="E29" s="19"/>
      <c r="Q29" s="14"/>
      <c r="R29" s="14"/>
      <c r="S29" s="14"/>
      <c r="T29" s="14"/>
    </row>
    <row r="30" spans="2:20" x14ac:dyDescent="0.15">
      <c r="D30" s="13"/>
      <c r="E30" s="14"/>
      <c r="Q30" s="14"/>
      <c r="R30" s="14"/>
      <c r="S30" s="14"/>
      <c r="T30" s="14"/>
    </row>
    <row r="31" spans="2:20" ht="25" x14ac:dyDescent="0.15">
      <c r="B31" s="10" t="s">
        <v>50</v>
      </c>
      <c r="D31" s="13"/>
      <c r="E31" s="14"/>
      <c r="Q31" s="14"/>
      <c r="R31" s="14"/>
      <c r="S31" s="14"/>
      <c r="T31" s="14"/>
    </row>
    <row r="32" spans="2:20" ht="12" customHeight="1" x14ac:dyDescent="0.15">
      <c r="B32" s="10"/>
      <c r="D32" s="13"/>
      <c r="E32" s="14"/>
      <c r="Q32" s="14"/>
      <c r="R32" s="14"/>
      <c r="S32" s="14"/>
      <c r="T32" s="14"/>
    </row>
    <row r="33" spans="2:20" ht="20.25" customHeight="1" thickBot="1" x14ac:dyDescent="0.25">
      <c r="B33" s="21"/>
      <c r="C33" s="22" t="s">
        <v>51</v>
      </c>
      <c r="D33" s="23"/>
      <c r="E33" s="24"/>
      <c r="F33" s="23"/>
      <c r="G33" s="23"/>
      <c r="H33" s="23"/>
      <c r="I33" s="21"/>
      <c r="J33" s="23"/>
      <c r="K33" s="23"/>
      <c r="L33" s="23"/>
      <c r="M33" s="21"/>
      <c r="N33" s="23"/>
      <c r="O33" s="23"/>
      <c r="P33" s="23"/>
      <c r="Q33" s="25"/>
      <c r="R33" s="14"/>
      <c r="S33" s="14"/>
      <c r="T33" s="14"/>
    </row>
    <row r="34" spans="2:20" ht="12" customHeight="1" thickTop="1" x14ac:dyDescent="0.15">
      <c r="B34" s="26"/>
      <c r="D34" s="13"/>
      <c r="E34" s="14"/>
      <c r="Q34" s="14"/>
      <c r="R34" s="14"/>
      <c r="S34" s="14"/>
      <c r="T34" s="14"/>
    </row>
    <row r="35" spans="2:20" s="27" customFormat="1" ht="15" customHeight="1" x14ac:dyDescent="0.15">
      <c r="B35" s="26"/>
      <c r="E35" s="28"/>
      <c r="Q35" s="28"/>
      <c r="R35" s="28"/>
      <c r="S35" s="28"/>
      <c r="T35" s="28"/>
    </row>
    <row r="36" spans="2:20" s="27" customFormat="1" ht="15" customHeight="1" x14ac:dyDescent="0.15">
      <c r="B36" s="26"/>
      <c r="C36" s="29" t="s">
        <v>52</v>
      </c>
      <c r="D36" s="30"/>
      <c r="E36" s="31"/>
      <c r="F36" s="30"/>
      <c r="G36" s="32"/>
      <c r="H36" s="30"/>
      <c r="I36" s="30"/>
      <c r="J36" s="30"/>
      <c r="K36" s="30"/>
      <c r="L36" s="32"/>
      <c r="Q36" s="28"/>
      <c r="R36" s="28"/>
      <c r="S36" s="28"/>
      <c r="T36" s="28"/>
    </row>
    <row r="37" spans="2:20" ht="12" customHeight="1" x14ac:dyDescent="0.15">
      <c r="B37" s="26"/>
      <c r="C37" s="33"/>
      <c r="D37" s="33" t="s">
        <v>53</v>
      </c>
      <c r="E37" s="34"/>
      <c r="F37" s="35"/>
      <c r="G37" s="36" t="s">
        <v>54</v>
      </c>
      <c r="H37" s="35"/>
      <c r="I37" s="35"/>
      <c r="J37" s="35"/>
      <c r="K37" s="35"/>
      <c r="L37" s="37" t="s">
        <v>55</v>
      </c>
      <c r="Q37" s="14"/>
      <c r="R37" s="14"/>
      <c r="S37" s="14"/>
      <c r="T37" s="14"/>
    </row>
    <row r="38" spans="2:20" ht="12" customHeight="1" x14ac:dyDescent="0.15">
      <c r="B38" s="26"/>
      <c r="C38" s="33"/>
      <c r="D38" s="33" t="s">
        <v>56</v>
      </c>
      <c r="E38" s="34"/>
      <c r="F38" s="35"/>
      <c r="G38" s="36" t="s">
        <v>57</v>
      </c>
      <c r="H38" s="35"/>
      <c r="I38" s="35"/>
      <c r="J38" s="35"/>
      <c r="K38" s="35"/>
      <c r="L38" s="37" t="s">
        <v>58</v>
      </c>
      <c r="Q38" s="14"/>
      <c r="R38" s="14"/>
      <c r="S38" s="14"/>
      <c r="T38" s="14"/>
    </row>
    <row r="39" spans="2:20" ht="12" customHeight="1" x14ac:dyDescent="0.15">
      <c r="B39" s="26"/>
      <c r="C39" s="33"/>
      <c r="D39" s="33" t="s">
        <v>59</v>
      </c>
      <c r="E39" s="34"/>
      <c r="F39" s="35"/>
      <c r="G39" s="36" t="s">
        <v>60</v>
      </c>
      <c r="H39" s="35"/>
      <c r="I39" s="35"/>
      <c r="J39" s="35"/>
      <c r="K39" s="35"/>
      <c r="L39" s="37" t="s">
        <v>61</v>
      </c>
      <c r="Q39" s="14"/>
      <c r="R39" s="14"/>
      <c r="S39" s="14"/>
      <c r="T39" s="14"/>
    </row>
    <row r="40" spans="2:20" ht="12" customHeight="1" x14ac:dyDescent="0.15">
      <c r="B40" s="26"/>
      <c r="C40" s="33"/>
      <c r="D40" s="33" t="s">
        <v>62</v>
      </c>
      <c r="E40" s="34"/>
      <c r="F40" s="35"/>
      <c r="G40" s="36" t="s">
        <v>63</v>
      </c>
      <c r="H40" s="35"/>
      <c r="I40" s="35"/>
      <c r="J40" s="35"/>
      <c r="K40" s="35"/>
      <c r="L40" s="37" t="s">
        <v>64</v>
      </c>
      <c r="Q40" s="14"/>
      <c r="R40" s="14"/>
      <c r="S40" s="14"/>
      <c r="T40" s="14"/>
    </row>
    <row r="41" spans="2:20" ht="12" customHeight="1" x14ac:dyDescent="0.15">
      <c r="B41" s="26"/>
      <c r="C41" s="35"/>
      <c r="D41" s="33" t="s">
        <v>65</v>
      </c>
      <c r="E41" s="34"/>
      <c r="F41" s="35"/>
      <c r="G41" s="36" t="s">
        <v>66</v>
      </c>
      <c r="H41" s="35"/>
      <c r="I41" s="35"/>
      <c r="J41" s="35"/>
      <c r="K41" s="35"/>
      <c r="L41" s="38" t="s">
        <v>67</v>
      </c>
      <c r="Q41" s="14"/>
      <c r="R41" s="14"/>
      <c r="S41" s="14"/>
      <c r="T41" s="14"/>
    </row>
    <row r="42" spans="2:20" ht="12" customHeight="1" x14ac:dyDescent="0.15">
      <c r="B42" s="10"/>
      <c r="C42" s="35"/>
      <c r="D42" s="39"/>
      <c r="E42" s="34"/>
      <c r="F42" s="35"/>
      <c r="G42" s="35"/>
      <c r="H42" s="35"/>
      <c r="I42" s="35"/>
      <c r="J42" s="35"/>
      <c r="K42" s="35"/>
      <c r="L42" s="35"/>
      <c r="Q42" s="14"/>
      <c r="R42" s="14"/>
      <c r="S42" s="14"/>
      <c r="T42" s="14"/>
    </row>
    <row r="43" spans="2:20" ht="12" customHeight="1" x14ac:dyDescent="0.15">
      <c r="B43" s="10"/>
      <c r="C43" s="40" t="s">
        <v>68</v>
      </c>
      <c r="D43" s="13"/>
      <c r="E43" s="14"/>
      <c r="Q43" s="14"/>
      <c r="R43" s="14"/>
      <c r="S43" s="14"/>
      <c r="T43" s="14"/>
    </row>
    <row r="44" spans="2:20" ht="12" customHeight="1" x14ac:dyDescent="0.15">
      <c r="B44" s="10"/>
      <c r="C44" s="35"/>
      <c r="D44" s="33" t="s">
        <v>69</v>
      </c>
      <c r="E44" s="14"/>
      <c r="G44" s="36" t="s">
        <v>70</v>
      </c>
      <c r="L44" s="38"/>
      <c r="Q44" s="14"/>
      <c r="R44" s="14"/>
      <c r="S44" s="14"/>
      <c r="T44" s="14"/>
    </row>
    <row r="45" spans="2:20" ht="12" customHeight="1" x14ac:dyDescent="0.15">
      <c r="B45" s="10"/>
      <c r="C45" s="35"/>
      <c r="D45" s="33" t="s">
        <v>71</v>
      </c>
      <c r="E45" s="14"/>
      <c r="G45" s="36" t="s">
        <v>72</v>
      </c>
      <c r="L45" s="38"/>
      <c r="Q45" s="14"/>
      <c r="R45" s="14"/>
      <c r="S45" s="14"/>
      <c r="T45" s="14"/>
    </row>
    <row r="46" spans="2:20" ht="12" customHeight="1" x14ac:dyDescent="0.15">
      <c r="B46" s="10"/>
      <c r="C46" s="35"/>
      <c r="D46" s="33" t="s">
        <v>73</v>
      </c>
      <c r="E46" s="14"/>
      <c r="G46" s="36" t="s">
        <v>74</v>
      </c>
      <c r="L46" s="38" t="s">
        <v>75</v>
      </c>
      <c r="Q46" s="14"/>
      <c r="R46" s="14"/>
      <c r="S46" s="14"/>
      <c r="T46" s="14"/>
    </row>
    <row r="47" spans="2:20" ht="12" customHeight="1" x14ac:dyDescent="0.15">
      <c r="B47" s="10"/>
      <c r="C47" s="35"/>
      <c r="D47" s="33" t="s">
        <v>76</v>
      </c>
      <c r="E47" s="14"/>
      <c r="G47" s="36" t="s">
        <v>77</v>
      </c>
      <c r="L47" s="38"/>
      <c r="Q47" s="14"/>
      <c r="R47" s="14"/>
      <c r="S47" s="14"/>
      <c r="T47" s="14"/>
    </row>
    <row r="48" spans="2:20" ht="12" customHeight="1" x14ac:dyDescent="0.15">
      <c r="B48" s="10"/>
      <c r="D48" s="13"/>
      <c r="E48" s="14"/>
      <c r="G48" s="36"/>
      <c r="L48" s="38"/>
      <c r="Q48" s="14"/>
      <c r="R48" s="14"/>
      <c r="S48" s="14"/>
      <c r="T48" s="14"/>
    </row>
    <row r="49" spans="2:20" ht="12" customHeight="1" x14ac:dyDescent="0.15">
      <c r="B49" s="10"/>
      <c r="C49" s="40" t="s">
        <v>78</v>
      </c>
      <c r="D49" s="13"/>
      <c r="E49" s="14"/>
      <c r="G49" s="36"/>
      <c r="L49" s="38"/>
      <c r="Q49" s="14"/>
      <c r="R49" s="14"/>
      <c r="S49" s="14"/>
      <c r="T49" s="14"/>
    </row>
    <row r="50" spans="2:20" ht="12" customHeight="1" x14ac:dyDescent="0.15">
      <c r="B50" s="10"/>
      <c r="D50" s="33" t="s">
        <v>69</v>
      </c>
      <c r="E50" s="14"/>
      <c r="G50" s="36" t="s">
        <v>70</v>
      </c>
      <c r="L50" s="38"/>
      <c r="Q50" s="14"/>
      <c r="R50" s="14"/>
      <c r="S50" s="14"/>
      <c r="T50" s="14"/>
    </row>
    <row r="51" spans="2:20" ht="12" customHeight="1" x14ac:dyDescent="0.15">
      <c r="B51" s="10"/>
      <c r="D51" s="33" t="s">
        <v>79</v>
      </c>
      <c r="E51" s="14"/>
      <c r="G51" s="36" t="s">
        <v>80</v>
      </c>
      <c r="L51" s="38"/>
      <c r="Q51" s="14"/>
      <c r="R51" s="14"/>
      <c r="S51" s="14"/>
      <c r="T51" s="14"/>
    </row>
    <row r="52" spans="2:20" ht="12" customHeight="1" x14ac:dyDescent="0.15">
      <c r="B52" s="10"/>
      <c r="D52" s="33" t="s">
        <v>81</v>
      </c>
      <c r="E52" s="14"/>
      <c r="G52" s="36" t="s">
        <v>82</v>
      </c>
      <c r="L52" s="38"/>
      <c r="Q52" s="14"/>
      <c r="R52" s="14"/>
      <c r="S52" s="14"/>
      <c r="T52" s="14"/>
    </row>
    <row r="53" spans="2:20" ht="12" customHeight="1" x14ac:dyDescent="0.15">
      <c r="B53" s="10"/>
      <c r="D53" s="33" t="s">
        <v>83</v>
      </c>
      <c r="E53" s="14"/>
      <c r="G53" s="36" t="s">
        <v>84</v>
      </c>
      <c r="L53" s="38" t="s">
        <v>85</v>
      </c>
      <c r="Q53" s="14"/>
      <c r="R53" s="14"/>
      <c r="S53" s="14"/>
      <c r="T53" s="14"/>
    </row>
    <row r="54" spans="2:20" ht="12" customHeight="1" x14ac:dyDescent="0.15">
      <c r="B54" s="10"/>
      <c r="C54" s="40" t="s">
        <v>86</v>
      </c>
      <c r="D54" s="35"/>
      <c r="E54" s="34"/>
      <c r="G54" s="36"/>
      <c r="L54" s="38"/>
      <c r="Q54" s="14"/>
      <c r="R54" s="14"/>
      <c r="S54" s="14"/>
      <c r="T54" s="14"/>
    </row>
    <row r="55" spans="2:20" ht="12" customHeight="1" x14ac:dyDescent="0.15">
      <c r="B55" s="10"/>
      <c r="C55" s="41"/>
      <c r="D55" s="42" t="s">
        <v>87</v>
      </c>
      <c r="E55" s="34"/>
      <c r="G55" s="36" t="s">
        <v>88</v>
      </c>
      <c r="L55" s="38" t="s">
        <v>89</v>
      </c>
      <c r="Q55" s="14"/>
      <c r="R55" s="14"/>
      <c r="S55" s="14"/>
      <c r="T55" s="14"/>
    </row>
    <row r="56" spans="2:20" ht="12" customHeight="1" x14ac:dyDescent="0.15">
      <c r="B56" s="10"/>
      <c r="C56" s="41"/>
      <c r="D56" s="42" t="s">
        <v>90</v>
      </c>
      <c r="E56" s="34"/>
      <c r="G56" s="36" t="s">
        <v>91</v>
      </c>
      <c r="L56" s="38"/>
      <c r="Q56" s="14"/>
      <c r="R56" s="14"/>
      <c r="S56" s="14"/>
      <c r="T56" s="14"/>
    </row>
    <row r="57" spans="2:20" ht="12" customHeight="1" x14ac:dyDescent="0.15">
      <c r="B57" s="10"/>
      <c r="C57" s="41"/>
      <c r="D57" s="33"/>
      <c r="E57" s="34"/>
      <c r="G57" s="36"/>
      <c r="L57" s="38"/>
      <c r="Q57" s="14"/>
      <c r="R57" s="14"/>
      <c r="S57" s="14"/>
      <c r="T57" s="14"/>
    </row>
    <row r="58" spans="2:20" ht="12" customHeight="1" x14ac:dyDescent="0.15">
      <c r="B58" s="10"/>
      <c r="C58" s="33"/>
      <c r="D58" s="33" t="s">
        <v>92</v>
      </c>
      <c r="E58" s="34"/>
      <c r="G58" s="36" t="s">
        <v>93</v>
      </c>
      <c r="L58" s="38"/>
      <c r="Q58" s="14"/>
      <c r="R58" s="14"/>
      <c r="S58" s="14"/>
      <c r="T58" s="14"/>
    </row>
    <row r="59" spans="2:20" ht="12" customHeight="1" x14ac:dyDescent="0.15">
      <c r="B59" s="10"/>
      <c r="C59" s="33"/>
      <c r="D59" s="33" t="s">
        <v>94</v>
      </c>
      <c r="E59" s="34"/>
      <c r="G59" s="36" t="s">
        <v>95</v>
      </c>
      <c r="L59" s="38" t="s">
        <v>96</v>
      </c>
      <c r="Q59" s="14"/>
      <c r="R59" s="14"/>
      <c r="S59" s="14"/>
      <c r="T59" s="14"/>
    </row>
    <row r="60" spans="2:20" ht="12" customHeight="1" x14ac:dyDescent="0.15">
      <c r="B60" s="10"/>
      <c r="C60" s="40" t="s">
        <v>97</v>
      </c>
      <c r="D60" s="33"/>
      <c r="E60" s="34"/>
      <c r="G60" s="36"/>
      <c r="L60" s="38"/>
      <c r="Q60" s="14"/>
      <c r="R60" s="14"/>
      <c r="S60" s="14"/>
      <c r="T60" s="14"/>
    </row>
    <row r="61" spans="2:20" ht="12" customHeight="1" x14ac:dyDescent="0.15">
      <c r="B61" s="10"/>
      <c r="C61" s="35"/>
      <c r="D61" s="39" t="s">
        <v>98</v>
      </c>
      <c r="E61" s="34"/>
      <c r="G61" s="36"/>
      <c r="L61" s="38" t="s">
        <v>99</v>
      </c>
      <c r="Q61" s="14"/>
      <c r="R61" s="14"/>
      <c r="S61" s="14"/>
      <c r="T61" s="14"/>
    </row>
    <row r="62" spans="2:20" ht="12" customHeight="1" x14ac:dyDescent="0.15">
      <c r="B62" s="10"/>
      <c r="D62" s="13"/>
      <c r="E62" s="14"/>
      <c r="G62" s="36"/>
      <c r="L62" s="38"/>
      <c r="Q62" s="14"/>
      <c r="R62" s="14"/>
      <c r="S62" s="14"/>
      <c r="T62" s="14"/>
    </row>
    <row r="63" spans="2:20" ht="20.25" customHeight="1" thickBot="1" x14ac:dyDescent="0.25">
      <c r="B63" s="21"/>
      <c r="C63" s="22" t="s">
        <v>100</v>
      </c>
      <c r="D63" s="23"/>
      <c r="E63" s="24"/>
      <c r="F63" s="23"/>
      <c r="G63" s="23"/>
      <c r="H63" s="23"/>
      <c r="I63" s="21"/>
      <c r="J63" s="23"/>
      <c r="K63" s="23"/>
      <c r="L63" s="23"/>
      <c r="M63" s="21"/>
      <c r="N63" s="23"/>
      <c r="O63" s="23"/>
      <c r="P63" s="23"/>
      <c r="Q63" s="25"/>
      <c r="R63" s="14"/>
      <c r="S63" s="14"/>
      <c r="T63" s="14"/>
    </row>
    <row r="64" spans="2:20" ht="12" customHeight="1" thickTop="1" x14ac:dyDescent="0.15">
      <c r="B64" s="10"/>
      <c r="D64" s="13"/>
      <c r="E64" s="14"/>
      <c r="G64" s="36"/>
      <c r="L64" s="38"/>
      <c r="Q64" s="14"/>
      <c r="R64" s="14"/>
      <c r="S64" s="14"/>
      <c r="T64" s="14"/>
    </row>
    <row r="65" spans="2:20" ht="20.25" customHeight="1" x14ac:dyDescent="0.15">
      <c r="B65" s="10"/>
      <c r="D65" s="13"/>
      <c r="E65" s="14"/>
      <c r="G65" s="43" t="s">
        <v>101</v>
      </c>
      <c r="H65" s="27"/>
      <c r="I65" s="27"/>
      <c r="J65" s="27"/>
      <c r="K65" s="27"/>
      <c r="L65" s="43" t="s">
        <v>102</v>
      </c>
      <c r="Q65" s="14"/>
      <c r="R65" s="14"/>
      <c r="S65" s="14"/>
      <c r="T65" s="14"/>
    </row>
    <row r="66" spans="2:20" ht="12" customHeight="1" x14ac:dyDescent="0.15">
      <c r="B66" s="10"/>
      <c r="C66" s="40" t="s">
        <v>103</v>
      </c>
      <c r="D66" s="33"/>
      <c r="E66" s="14"/>
      <c r="G66" s="36" t="s">
        <v>104</v>
      </c>
      <c r="L66" s="38"/>
      <c r="Q66" s="14"/>
      <c r="R66" s="14"/>
      <c r="S66" s="14"/>
      <c r="T66" s="14"/>
    </row>
    <row r="67" spans="2:20" ht="12" customHeight="1" x14ac:dyDescent="0.15">
      <c r="B67" s="10"/>
      <c r="C67" s="33"/>
      <c r="D67" s="33"/>
      <c r="E67" s="14"/>
      <c r="G67" s="36"/>
      <c r="L67" s="38"/>
      <c r="Q67" s="14"/>
      <c r="R67" s="14"/>
      <c r="S67" s="14"/>
      <c r="T67" s="14"/>
    </row>
    <row r="68" spans="2:20" ht="12" customHeight="1" x14ac:dyDescent="0.15">
      <c r="B68" s="10"/>
      <c r="C68" s="40" t="s">
        <v>105</v>
      </c>
      <c r="D68" s="41"/>
      <c r="E68" s="14"/>
      <c r="G68" s="44" t="s">
        <v>106</v>
      </c>
      <c r="L68" s="38"/>
      <c r="Q68" s="14"/>
      <c r="R68" s="14"/>
      <c r="S68" s="14"/>
      <c r="T68" s="14"/>
    </row>
    <row r="69" spans="2:20" ht="12" customHeight="1" x14ac:dyDescent="0.15">
      <c r="B69" s="10"/>
      <c r="C69" s="41"/>
      <c r="D69" s="45" t="s">
        <v>107</v>
      </c>
      <c r="E69" s="14"/>
      <c r="G69" s="44" t="s">
        <v>108</v>
      </c>
      <c r="L69" s="38"/>
      <c r="Q69" s="14"/>
      <c r="R69" s="14"/>
      <c r="S69" s="14"/>
      <c r="T69" s="14"/>
    </row>
    <row r="70" spans="2:20" ht="12" customHeight="1" x14ac:dyDescent="0.2">
      <c r="B70" s="10"/>
      <c r="C70" s="33"/>
      <c r="D70" s="33" t="s">
        <v>109</v>
      </c>
      <c r="E70" s="14"/>
      <c r="G70" s="36" t="s">
        <v>110</v>
      </c>
      <c r="L70" s="46" t="s">
        <v>111</v>
      </c>
      <c r="Q70" s="14"/>
      <c r="R70" s="14"/>
      <c r="S70" s="14"/>
      <c r="T70" s="14"/>
    </row>
    <row r="71" spans="2:20" ht="12" customHeight="1" x14ac:dyDescent="0.2">
      <c r="B71" s="10"/>
      <c r="C71" s="33"/>
      <c r="D71" s="33" t="s">
        <v>112</v>
      </c>
      <c r="E71" s="14"/>
      <c r="G71" s="36" t="s">
        <v>113</v>
      </c>
      <c r="L71" s="46" t="s">
        <v>111</v>
      </c>
      <c r="Q71" s="14"/>
      <c r="R71" s="14"/>
      <c r="S71" s="14"/>
      <c r="T71" s="14"/>
    </row>
    <row r="72" spans="2:20" ht="12" customHeight="1" x14ac:dyDescent="0.15">
      <c r="B72" s="10"/>
      <c r="C72" s="33"/>
      <c r="D72" s="33"/>
      <c r="E72" s="14"/>
      <c r="G72" s="36"/>
      <c r="L72" s="38"/>
      <c r="Q72" s="14"/>
      <c r="R72" s="14"/>
      <c r="S72" s="14"/>
      <c r="T72" s="14"/>
    </row>
    <row r="73" spans="2:20" ht="12" customHeight="1" x14ac:dyDescent="0.15">
      <c r="B73" s="10"/>
      <c r="C73" s="33"/>
      <c r="D73" s="33" t="s">
        <v>114</v>
      </c>
      <c r="E73" s="14"/>
      <c r="G73" s="36" t="s">
        <v>115</v>
      </c>
      <c r="L73" s="38"/>
      <c r="Q73" s="14"/>
      <c r="R73" s="14"/>
      <c r="S73" s="14"/>
      <c r="T73" s="14"/>
    </row>
    <row r="74" spans="2:20" ht="12" customHeight="1" x14ac:dyDescent="0.15">
      <c r="B74" s="10"/>
      <c r="C74" s="33"/>
      <c r="D74" s="33" t="s">
        <v>116</v>
      </c>
      <c r="E74" s="14"/>
      <c r="G74" s="36" t="s">
        <v>117</v>
      </c>
      <c r="L74" s="38"/>
      <c r="Q74" s="14"/>
      <c r="R74" s="14"/>
      <c r="S74" s="14"/>
      <c r="T74" s="14"/>
    </row>
    <row r="75" spans="2:20" ht="12" customHeight="1" x14ac:dyDescent="0.15">
      <c r="B75" s="10"/>
      <c r="C75" s="33"/>
      <c r="D75" s="33" t="s">
        <v>118</v>
      </c>
      <c r="E75" s="14"/>
      <c r="G75" s="36" t="s">
        <v>119</v>
      </c>
      <c r="L75" s="38"/>
      <c r="Q75" s="14"/>
      <c r="R75" s="14"/>
      <c r="S75" s="14"/>
      <c r="T75" s="14"/>
    </row>
    <row r="76" spans="2:20" ht="12" customHeight="1" x14ac:dyDescent="0.2">
      <c r="B76" s="10"/>
      <c r="C76" s="33"/>
      <c r="D76" s="33" t="s">
        <v>120</v>
      </c>
      <c r="E76" s="14"/>
      <c r="G76" s="36" t="s">
        <v>121</v>
      </c>
      <c r="L76" s="46" t="s">
        <v>111</v>
      </c>
      <c r="Q76" s="14"/>
      <c r="R76" s="14"/>
      <c r="S76" s="14"/>
      <c r="T76" s="14"/>
    </row>
    <row r="77" spans="2:20" ht="12" customHeight="1" x14ac:dyDescent="0.2">
      <c r="B77" s="10"/>
      <c r="C77" s="33"/>
      <c r="D77" s="33" t="s">
        <v>122</v>
      </c>
      <c r="E77" s="14"/>
      <c r="G77" s="36" t="s">
        <v>123</v>
      </c>
      <c r="L77" s="46" t="s">
        <v>111</v>
      </c>
      <c r="Q77" s="14"/>
      <c r="R77" s="14"/>
      <c r="S77" s="14"/>
      <c r="T77" s="14"/>
    </row>
    <row r="78" spans="2:20" ht="12" customHeight="1" x14ac:dyDescent="0.15">
      <c r="B78" s="10"/>
      <c r="C78" s="33"/>
      <c r="D78" s="33"/>
      <c r="E78" s="14"/>
      <c r="G78" s="36"/>
      <c r="L78" s="38"/>
      <c r="Q78" s="14"/>
      <c r="R78" s="14"/>
      <c r="S78" s="14"/>
      <c r="T78" s="14"/>
    </row>
    <row r="79" spans="2:20" ht="12" customHeight="1" x14ac:dyDescent="0.15">
      <c r="B79" s="10"/>
      <c r="C79" s="33"/>
      <c r="D79" s="33" t="s">
        <v>124</v>
      </c>
      <c r="E79" s="14"/>
      <c r="G79" s="36" t="s">
        <v>125</v>
      </c>
      <c r="L79" s="38"/>
      <c r="Q79" s="14"/>
      <c r="R79" s="14"/>
      <c r="S79" s="14"/>
      <c r="T79" s="14"/>
    </row>
    <row r="80" spans="2:20" ht="12" customHeight="1" x14ac:dyDescent="0.15">
      <c r="B80" s="10"/>
      <c r="C80" s="33"/>
      <c r="D80" s="33"/>
      <c r="E80" s="14"/>
      <c r="G80" s="36"/>
      <c r="L80" s="38"/>
      <c r="Q80" s="14"/>
      <c r="R80" s="14"/>
      <c r="S80" s="14"/>
      <c r="T80" s="14"/>
    </row>
    <row r="81" spans="2:20" ht="12" customHeight="1" x14ac:dyDescent="0.15">
      <c r="B81" s="10"/>
      <c r="C81" s="45" t="s">
        <v>126</v>
      </c>
      <c r="D81" s="33"/>
      <c r="E81" s="14"/>
      <c r="G81" s="36"/>
      <c r="L81" s="38"/>
      <c r="Q81" s="14"/>
      <c r="R81" s="14"/>
      <c r="S81" s="14"/>
      <c r="T81" s="14"/>
    </row>
    <row r="82" spans="2:20" ht="12" customHeight="1" x14ac:dyDescent="0.15">
      <c r="B82" s="10"/>
      <c r="C82" s="47" t="s">
        <v>127</v>
      </c>
      <c r="D82" s="33"/>
      <c r="E82" s="14"/>
      <c r="G82" s="36"/>
      <c r="L82" s="38"/>
      <c r="Q82" s="14"/>
      <c r="R82" s="14"/>
      <c r="S82" s="14"/>
      <c r="T82" s="14"/>
    </row>
    <row r="83" spans="2:20" ht="12" customHeight="1" x14ac:dyDescent="0.15">
      <c r="B83" s="10"/>
      <c r="C83" s="47" t="s">
        <v>128</v>
      </c>
      <c r="D83" s="33"/>
      <c r="E83" s="14"/>
      <c r="G83" s="36"/>
      <c r="L83" s="38"/>
      <c r="Q83" s="14"/>
      <c r="R83" s="14"/>
      <c r="S83" s="14"/>
      <c r="T83" s="14"/>
    </row>
    <row r="84" spans="2:20" ht="12" customHeight="1" x14ac:dyDescent="0.15">
      <c r="B84" s="10"/>
      <c r="C84" s="47"/>
      <c r="D84" s="33"/>
      <c r="E84" s="14"/>
      <c r="G84" s="36"/>
      <c r="L84" s="38"/>
      <c r="Q84" s="14"/>
      <c r="R84" s="14"/>
      <c r="S84" s="14"/>
      <c r="T84" s="14"/>
    </row>
    <row r="85" spans="2:20" ht="12" customHeight="1" x14ac:dyDescent="0.15">
      <c r="B85" s="10"/>
      <c r="C85" s="33"/>
      <c r="D85" s="40" t="s">
        <v>129</v>
      </c>
      <c r="E85" s="14"/>
      <c r="G85" s="36" t="s">
        <v>130</v>
      </c>
      <c r="L85" s="38"/>
      <c r="Q85" s="14"/>
      <c r="R85" s="14"/>
      <c r="S85" s="14"/>
      <c r="T85" s="14"/>
    </row>
    <row r="86" spans="2:20" ht="12" customHeight="1" x14ac:dyDescent="0.15">
      <c r="B86" s="10"/>
      <c r="C86" s="33"/>
      <c r="D86" s="45"/>
      <c r="E86" s="14"/>
      <c r="G86" s="36"/>
      <c r="L86" s="38"/>
      <c r="Q86" s="14"/>
      <c r="R86" s="14"/>
      <c r="S86" s="14"/>
      <c r="T86" s="14"/>
    </row>
    <row r="87" spans="2:20" ht="12" customHeight="1" x14ac:dyDescent="0.15">
      <c r="B87" s="10"/>
      <c r="C87" s="33"/>
      <c r="D87" s="40" t="s">
        <v>131</v>
      </c>
      <c r="E87" s="35"/>
      <c r="G87" s="36"/>
      <c r="L87" s="38"/>
      <c r="Q87" s="14"/>
      <c r="R87" s="14"/>
      <c r="S87" s="14"/>
      <c r="T87" s="14"/>
    </row>
    <row r="88" spans="2:20" ht="12" customHeight="1" x14ac:dyDescent="0.15">
      <c r="B88" s="10"/>
      <c r="C88" s="33"/>
      <c r="D88" s="40"/>
      <c r="E88" s="33" t="s">
        <v>132</v>
      </c>
      <c r="G88" s="36" t="s">
        <v>133</v>
      </c>
      <c r="L88" s="38"/>
      <c r="Q88" s="14"/>
      <c r="R88" s="14"/>
      <c r="S88" s="14"/>
      <c r="T88" s="14"/>
    </row>
    <row r="89" spans="2:20" ht="12" customHeight="1" x14ac:dyDescent="0.15">
      <c r="B89" s="10"/>
      <c r="C89" s="35"/>
      <c r="D89" s="33"/>
      <c r="E89" s="33" t="s">
        <v>134</v>
      </c>
      <c r="G89" s="36" t="s">
        <v>135</v>
      </c>
      <c r="L89" s="38"/>
      <c r="Q89" s="14"/>
      <c r="R89" s="14"/>
      <c r="S89" s="14"/>
      <c r="T89" s="14"/>
    </row>
    <row r="90" spans="2:20" ht="12" customHeight="1" x14ac:dyDescent="0.15">
      <c r="B90" s="10"/>
      <c r="C90" s="35"/>
      <c r="D90" s="33"/>
      <c r="E90" s="33" t="s">
        <v>136</v>
      </c>
      <c r="G90" s="36" t="s">
        <v>137</v>
      </c>
      <c r="L90" s="38"/>
      <c r="Q90" s="14"/>
      <c r="R90" s="14"/>
      <c r="S90" s="14"/>
      <c r="T90" s="14"/>
    </row>
    <row r="91" spans="2:20" ht="12" customHeight="1" x14ac:dyDescent="0.15">
      <c r="B91" s="10"/>
      <c r="C91" s="35"/>
      <c r="D91" s="33"/>
      <c r="E91" s="33" t="s">
        <v>138</v>
      </c>
      <c r="G91" s="36" t="s">
        <v>139</v>
      </c>
      <c r="L91" s="38" t="s">
        <v>140</v>
      </c>
      <c r="Q91" s="14"/>
      <c r="R91" s="14"/>
      <c r="S91" s="14"/>
      <c r="T91" s="14"/>
    </row>
    <row r="92" spans="2:20" ht="12" customHeight="1" x14ac:dyDescent="0.15">
      <c r="B92" s="10"/>
      <c r="C92" s="35"/>
      <c r="D92" s="39"/>
      <c r="E92" s="33" t="s">
        <v>141</v>
      </c>
      <c r="G92" s="36" t="s">
        <v>142</v>
      </c>
      <c r="L92" s="38" t="s">
        <v>143</v>
      </c>
      <c r="Q92" s="14"/>
      <c r="R92" s="14"/>
      <c r="S92" s="14"/>
      <c r="T92" s="14"/>
    </row>
    <row r="93" spans="2:20" ht="12" customHeight="1" x14ac:dyDescent="0.15">
      <c r="B93" s="10"/>
      <c r="C93" s="35"/>
      <c r="D93" s="39"/>
      <c r="E93" s="14"/>
      <c r="G93" s="36"/>
      <c r="L93" s="38"/>
      <c r="Q93" s="14"/>
      <c r="R93" s="14"/>
      <c r="S93" s="14"/>
      <c r="T93" s="14"/>
    </row>
    <row r="94" spans="2:20" ht="12" customHeight="1" x14ac:dyDescent="0.15">
      <c r="C94" s="35"/>
      <c r="D94" s="40" t="s">
        <v>144</v>
      </c>
      <c r="E94" s="35"/>
      <c r="G94" s="36"/>
      <c r="L94" s="38"/>
      <c r="Q94" s="48"/>
      <c r="R94" s="48"/>
      <c r="S94" s="48"/>
      <c r="T94" s="48"/>
    </row>
    <row r="95" spans="2:20" ht="12" customHeight="1" x14ac:dyDescent="0.15">
      <c r="C95" s="35"/>
      <c r="D95" s="35"/>
      <c r="E95" s="33" t="s">
        <v>145</v>
      </c>
      <c r="G95" s="36" t="s">
        <v>146</v>
      </c>
      <c r="L95" s="38"/>
      <c r="Q95" s="14"/>
      <c r="R95" s="14"/>
      <c r="S95" s="14"/>
      <c r="T95" s="14"/>
    </row>
    <row r="96" spans="2:20" ht="12" customHeight="1" x14ac:dyDescent="0.15">
      <c r="C96" s="35"/>
      <c r="D96" s="39"/>
      <c r="E96" s="34"/>
      <c r="G96" s="36"/>
      <c r="L96" s="38"/>
      <c r="Q96" s="14"/>
      <c r="R96" s="14"/>
      <c r="S96" s="14"/>
      <c r="T96" s="14"/>
    </row>
    <row r="97" spans="2:20" ht="12" customHeight="1" x14ac:dyDescent="0.15">
      <c r="C97" s="35"/>
      <c r="D97" s="40" t="s">
        <v>147</v>
      </c>
      <c r="E97" s="40"/>
      <c r="F97" s="40"/>
      <c r="G97" s="36"/>
      <c r="L97" s="38"/>
      <c r="Q97" s="14"/>
      <c r="R97" s="14"/>
      <c r="S97" s="14"/>
      <c r="T97" s="14"/>
    </row>
    <row r="98" spans="2:20" ht="12" customHeight="1" x14ac:dyDescent="0.15">
      <c r="C98" s="35"/>
      <c r="D98" s="40"/>
      <c r="E98" s="33" t="s">
        <v>148</v>
      </c>
      <c r="F98" s="40"/>
      <c r="G98" s="36" t="s">
        <v>149</v>
      </c>
      <c r="H98" s="15"/>
      <c r="L98" s="38"/>
      <c r="Q98" s="14"/>
      <c r="R98" s="14"/>
      <c r="S98" s="14"/>
      <c r="T98" s="14"/>
    </row>
    <row r="99" spans="2:20" ht="12" customHeight="1" x14ac:dyDescent="0.15">
      <c r="C99" s="35"/>
      <c r="D99" s="39"/>
      <c r="E99" s="14"/>
      <c r="G99" s="36"/>
      <c r="L99" s="38"/>
      <c r="Q99" s="14"/>
      <c r="R99" s="14"/>
      <c r="S99" s="14"/>
      <c r="T99" s="14"/>
    </row>
    <row r="100" spans="2:20" ht="12" customHeight="1" x14ac:dyDescent="0.15">
      <c r="C100" s="35"/>
      <c r="D100" s="40" t="s">
        <v>150</v>
      </c>
      <c r="E100" s="35"/>
      <c r="G100" s="44" t="s">
        <v>151</v>
      </c>
      <c r="L100" s="38"/>
      <c r="Q100" s="14"/>
      <c r="R100" s="14"/>
      <c r="S100" s="14"/>
      <c r="T100" s="14"/>
    </row>
    <row r="101" spans="2:20" x14ac:dyDescent="0.15">
      <c r="C101" s="35"/>
      <c r="D101" s="40"/>
      <c r="E101" s="33" t="s">
        <v>152</v>
      </c>
      <c r="G101" s="36" t="s">
        <v>153</v>
      </c>
      <c r="L101" s="38"/>
      <c r="Q101" s="14"/>
      <c r="R101" s="14"/>
      <c r="S101" s="14"/>
      <c r="T101" s="14"/>
    </row>
    <row r="102" spans="2:20" x14ac:dyDescent="0.15">
      <c r="D102" s="40"/>
      <c r="E102" s="33" t="s">
        <v>154</v>
      </c>
      <c r="G102" s="36" t="s">
        <v>155</v>
      </c>
      <c r="L102" s="38"/>
    </row>
    <row r="103" spans="2:20" x14ac:dyDescent="0.15">
      <c r="D103" s="40"/>
      <c r="E103" s="33" t="s">
        <v>156</v>
      </c>
      <c r="G103" s="36" t="s">
        <v>157</v>
      </c>
      <c r="L103" s="38"/>
    </row>
    <row r="104" spans="2:20" x14ac:dyDescent="0.15">
      <c r="D104" s="35"/>
      <c r="E104" s="33" t="s">
        <v>158</v>
      </c>
      <c r="G104" s="36" t="s">
        <v>159</v>
      </c>
      <c r="L104" s="38"/>
    </row>
    <row r="105" spans="2:20" x14ac:dyDescent="0.15">
      <c r="G105" s="36"/>
      <c r="L105" s="38"/>
    </row>
    <row r="106" spans="2:20" ht="15" thickBot="1" x14ac:dyDescent="0.2">
      <c r="B106" s="49"/>
      <c r="C106" s="50" t="s">
        <v>160</v>
      </c>
      <c r="D106" s="51"/>
      <c r="E106" s="49"/>
      <c r="F106" s="49"/>
      <c r="G106" s="49"/>
      <c r="H106" s="51"/>
      <c r="I106" s="51"/>
      <c r="J106" s="51"/>
      <c r="K106" s="51"/>
      <c r="L106" s="51"/>
      <c r="M106" s="51"/>
      <c r="N106" s="51"/>
      <c r="O106" s="51"/>
      <c r="P106" s="51"/>
      <c r="Q106" s="51"/>
    </row>
    <row r="107" spans="2:20" ht="15" thickTop="1" x14ac:dyDescent="0.15">
      <c r="G107" s="36"/>
      <c r="L107" s="38"/>
    </row>
    <row r="108" spans="2:20" x14ac:dyDescent="0.15">
      <c r="D108" s="52" t="s">
        <v>161</v>
      </c>
      <c r="G108" s="36" t="s">
        <v>162</v>
      </c>
      <c r="L108" s="38"/>
    </row>
    <row r="109" spans="2:20" x14ac:dyDescent="0.15">
      <c r="D109" s="52" t="s">
        <v>13</v>
      </c>
      <c r="G109" s="36" t="s">
        <v>163</v>
      </c>
    </row>
    <row r="110" spans="2:20" x14ac:dyDescent="0.15">
      <c r="D110" s="52" t="s">
        <v>164</v>
      </c>
      <c r="G110" s="36" t="s">
        <v>165</v>
      </c>
    </row>
    <row r="111" spans="2:20" x14ac:dyDescent="0.15">
      <c r="G111" s="36"/>
    </row>
    <row r="112" spans="2:20" x14ac:dyDescent="0.15">
      <c r="D112" s="53" t="s">
        <v>166</v>
      </c>
      <c r="E112" s="54"/>
      <c r="G112" s="36" t="s">
        <v>167</v>
      </c>
      <c r="L112" s="38"/>
    </row>
    <row r="113" spans="2:7" x14ac:dyDescent="0.15">
      <c r="G113" s="36"/>
    </row>
    <row r="114" spans="2:7" x14ac:dyDescent="0.15">
      <c r="D114" s="55" t="s">
        <v>168</v>
      </c>
      <c r="E114" s="42"/>
      <c r="G114" s="36"/>
    </row>
    <row r="115" spans="2:7" x14ac:dyDescent="0.15">
      <c r="E115" s="42" t="s">
        <v>169</v>
      </c>
      <c r="G115" s="36" t="s">
        <v>170</v>
      </c>
    </row>
    <row r="116" spans="2:7" x14ac:dyDescent="0.15">
      <c r="G116" s="36"/>
    </row>
    <row r="117" spans="2:7" x14ac:dyDescent="0.15">
      <c r="G117" s="36"/>
    </row>
    <row r="119" spans="2:7" x14ac:dyDescent="0.15">
      <c r="B119" s="15" t="s">
        <v>171</v>
      </c>
      <c r="E119" s="15" t="s">
        <v>172</v>
      </c>
    </row>
    <row r="120" spans="2:7" x14ac:dyDescent="0.15">
      <c r="B120" s="8" t="s">
        <v>173</v>
      </c>
      <c r="E120" s="8" t="s">
        <v>174</v>
      </c>
    </row>
    <row r="121" spans="2:7" x14ac:dyDescent="0.15">
      <c r="B121" s="8" t="s">
        <v>175</v>
      </c>
      <c r="E121" s="8" t="s">
        <v>176</v>
      </c>
    </row>
  </sheetData>
  <hyperlinks>
    <hyperlink ref="L70" location="NOTE!B83" display="xem giải thích DPD+ tại đây" xr:uid="{65650349-72BC-314D-98D1-05968800EF0D}"/>
    <hyperlink ref="L71" location="NOTE!B83" display="xem giải thích DPD+ tại đây" xr:uid="{91EC7400-4A0A-BB4B-95A8-96FB799C71D1}"/>
    <hyperlink ref="L76:L77" location="NOTE!B83" display="xem giải thích DPD+ tại đây" xr:uid="{4D59DF47-18F6-C349-A18D-F94D7C4A8C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76B8-FC15-B84B-B6E1-77B543F13B3D}">
  <sheetPr codeName="Sheet4">
    <tabColor rgb="FFFFFF00"/>
    <pageSetUpPr fitToPage="1"/>
  </sheetPr>
  <dimension ref="A1:X104"/>
  <sheetViews>
    <sheetView showGridLines="0" topLeftCell="J1" zoomScaleNormal="100" zoomScaleSheetLayoutView="70" workbookViewId="0">
      <selection activeCell="J1" sqref="J1"/>
    </sheetView>
  </sheetViews>
  <sheetFormatPr baseColWidth="10" defaultColWidth="9.1640625" defaultRowHeight="12" x14ac:dyDescent="0.15"/>
  <cols>
    <col min="1" max="1" width="4" style="56" customWidth="1"/>
    <col min="2" max="2" width="19.1640625" style="73" customWidth="1"/>
    <col min="3" max="3" width="18.33203125" style="73" bestFit="1" customWidth="1"/>
    <col min="4" max="4" width="7.33203125" style="80" customWidth="1"/>
    <col min="5" max="6" width="9" style="73" customWidth="1"/>
    <col min="7" max="7" width="11.5" style="73" customWidth="1"/>
    <col min="8" max="8" width="7.1640625" style="73" customWidth="1"/>
    <col min="9" max="9" width="15.5" style="80" customWidth="1"/>
    <col min="10" max="10" width="16.6640625" style="80" customWidth="1"/>
    <col min="11" max="11" width="11.5" style="73" customWidth="1"/>
    <col min="12" max="13" width="9" style="73" customWidth="1"/>
    <col min="14" max="15" width="8.5" style="73" customWidth="1"/>
    <col min="16" max="19" width="8.5" style="73" hidden="1" customWidth="1"/>
    <col min="20" max="20" width="8.5" style="73" customWidth="1"/>
    <col min="21" max="21" width="8.5" style="85" customWidth="1"/>
    <col min="22" max="22" width="9.1640625" style="80" customWidth="1"/>
    <col min="23" max="23" width="9.1640625" style="73"/>
    <col min="24" max="24" width="10.5" style="73" bestFit="1" customWidth="1"/>
    <col min="25" max="38" width="9.1640625" style="73"/>
    <col min="39" max="39" width="9.1640625" style="73" customWidth="1"/>
    <col min="40" max="16384" width="9.1640625" style="73"/>
  </cols>
  <sheetData>
    <row r="1" spans="1:22" s="60" customFormat="1" ht="18" customHeight="1" x14ac:dyDescent="0.2">
      <c r="A1" s="56"/>
      <c r="B1" s="57" t="s">
        <v>177</v>
      </c>
      <c r="C1" s="58"/>
      <c r="D1" s="59">
        <v>1</v>
      </c>
      <c r="E1" s="59"/>
      <c r="F1" s="59"/>
      <c r="G1" s="59"/>
      <c r="H1" s="59"/>
      <c r="I1" s="58"/>
      <c r="J1" s="58"/>
      <c r="U1" s="61"/>
      <c r="V1" s="58"/>
    </row>
    <row r="2" spans="1:22" s="63" customFormat="1" ht="13" customHeight="1" x14ac:dyDescent="0.15">
      <c r="A2" s="62"/>
      <c r="B2" s="63" t="s">
        <v>178</v>
      </c>
      <c r="C2" s="64">
        <f>NOTE!P2</f>
        <v>20251001</v>
      </c>
      <c r="D2" s="63" t="str">
        <f>NOTE!O2</f>
        <v>v5</v>
      </c>
      <c r="I2" s="65"/>
      <c r="K2" s="66" t="s">
        <v>179</v>
      </c>
      <c r="U2" s="67"/>
    </row>
    <row r="3" spans="1:22" s="60" customFormat="1" ht="12" customHeight="1" x14ac:dyDescent="0.2">
      <c r="A3" s="68"/>
      <c r="B3" s="33"/>
      <c r="C3" s="33"/>
      <c r="D3" s="69"/>
      <c r="E3" s="33"/>
      <c r="F3" s="33"/>
      <c r="G3" s="33"/>
      <c r="H3" s="59"/>
      <c r="I3" s="70"/>
      <c r="J3" s="58"/>
      <c r="K3" s="71" t="s">
        <v>180</v>
      </c>
      <c r="L3" s="72"/>
      <c r="M3" s="72"/>
      <c r="N3" s="73"/>
      <c r="O3" s="73"/>
      <c r="P3" s="73"/>
      <c r="U3" s="61"/>
      <c r="V3" s="58"/>
    </row>
    <row r="4" spans="1:22" s="33" customFormat="1" ht="16" thickBot="1" x14ac:dyDescent="0.25">
      <c r="A4" s="56"/>
      <c r="B4" s="74" t="s">
        <v>181</v>
      </c>
      <c r="C4" s="74" t="s">
        <v>182</v>
      </c>
      <c r="D4" s="75" t="s">
        <v>7</v>
      </c>
      <c r="E4" s="74" t="s">
        <v>183</v>
      </c>
      <c r="F4" s="74"/>
      <c r="G4" s="76" t="s">
        <v>174</v>
      </c>
      <c r="H4" s="77" t="str">
        <f>G4</f>
        <v>IFRS</v>
      </c>
      <c r="K4" s="72"/>
      <c r="L4" s="78" t="s">
        <v>184</v>
      </c>
      <c r="M4" s="72"/>
      <c r="N4" s="73"/>
      <c r="O4" s="73"/>
      <c r="P4" s="73"/>
    </row>
    <row r="5" spans="1:22" ht="16" thickBot="1" x14ac:dyDescent="0.25">
      <c r="B5" s="74" t="s">
        <v>185</v>
      </c>
      <c r="C5" s="79" t="s">
        <v>186</v>
      </c>
      <c r="D5" s="75" t="s">
        <v>187</v>
      </c>
      <c r="E5" s="74" t="s">
        <v>188</v>
      </c>
      <c r="F5" s="74"/>
      <c r="G5" s="76" t="s">
        <v>175</v>
      </c>
      <c r="H5" s="77" t="str">
        <f>G5</f>
        <v>DPD180+</v>
      </c>
      <c r="K5" s="72"/>
      <c r="L5" s="78" t="s">
        <v>189</v>
      </c>
      <c r="M5" s="72"/>
      <c r="T5" s="80"/>
      <c r="U5" s="80"/>
      <c r="V5" s="73"/>
    </row>
    <row r="6" spans="1:22" ht="16" thickBot="1" x14ac:dyDescent="0.25">
      <c r="B6" s="79" t="s">
        <v>190</v>
      </c>
      <c r="C6" s="79" t="s">
        <v>187</v>
      </c>
      <c r="D6" s="75" t="s">
        <v>187</v>
      </c>
      <c r="E6" s="79" t="s">
        <v>191</v>
      </c>
      <c r="F6" s="79"/>
      <c r="G6" s="81" t="s">
        <v>192</v>
      </c>
      <c r="H6" s="77" t="str">
        <f>G6</f>
        <v>Q3.2025</v>
      </c>
      <c r="K6" s="72"/>
      <c r="L6" s="78" t="s">
        <v>193</v>
      </c>
      <c r="M6" s="72"/>
      <c r="T6" s="80"/>
      <c r="U6" s="80"/>
      <c r="V6" s="73"/>
    </row>
    <row r="7" spans="1:22" ht="13" x14ac:dyDescent="0.15">
      <c r="A7" s="68"/>
      <c r="B7" s="40"/>
      <c r="C7" s="82"/>
      <c r="D7" s="29"/>
      <c r="I7" s="83"/>
      <c r="J7" s="84"/>
      <c r="V7" s="86"/>
    </row>
    <row r="8" spans="1:22" s="42" customFormat="1" ht="14.25" customHeight="1" thickBot="1" x14ac:dyDescent="0.2">
      <c r="A8" s="68"/>
      <c r="B8" s="50" t="s">
        <v>51</v>
      </c>
      <c r="C8" s="87"/>
      <c r="D8" s="88"/>
      <c r="E8" s="87"/>
      <c r="F8" s="87"/>
      <c r="G8" s="87"/>
      <c r="H8" s="51" t="s">
        <v>194</v>
      </c>
      <c r="I8" s="89"/>
      <c r="J8" s="89"/>
      <c r="K8" s="90" t="s">
        <v>195</v>
      </c>
      <c r="L8" s="91"/>
      <c r="M8" s="91"/>
      <c r="N8" s="91"/>
      <c r="O8" s="91"/>
      <c r="P8" s="91"/>
      <c r="Q8" s="91"/>
      <c r="R8" s="91"/>
      <c r="S8" s="91"/>
      <c r="T8" s="91"/>
      <c r="U8" s="91" t="s">
        <v>194</v>
      </c>
    </row>
    <row r="9" spans="1:22" s="42" customFormat="1" ht="13.5" customHeight="1" thickTop="1" x14ac:dyDescent="0.15">
      <c r="A9" s="68"/>
      <c r="D9" s="89"/>
      <c r="I9" s="89"/>
      <c r="J9" s="89"/>
      <c r="N9" s="92"/>
      <c r="O9" s="92"/>
      <c r="P9" s="92"/>
      <c r="Q9" s="92"/>
      <c r="R9" s="92"/>
      <c r="U9" s="93"/>
    </row>
    <row r="10" spans="1:22" s="42" customFormat="1" x14ac:dyDescent="0.15">
      <c r="A10" s="56"/>
      <c r="B10" s="55" t="s">
        <v>52</v>
      </c>
      <c r="C10" s="42" t="s">
        <v>53</v>
      </c>
      <c r="D10" s="89"/>
      <c r="E10" s="94">
        <f>DATA!E9/10^6</f>
        <v>3.4739502074405886</v>
      </c>
      <c r="F10" s="92"/>
      <c r="G10" s="95"/>
      <c r="H10" s="92"/>
      <c r="I10" s="89"/>
      <c r="J10" s="89"/>
      <c r="K10" s="96"/>
      <c r="N10" s="97" t="s">
        <v>196</v>
      </c>
      <c r="O10" s="97" t="s">
        <v>197</v>
      </c>
      <c r="P10" s="97" t="s">
        <v>198</v>
      </c>
      <c r="Q10" s="97" t="s">
        <v>199</v>
      </c>
      <c r="R10" s="97" t="s">
        <v>200</v>
      </c>
      <c r="S10" s="97" t="s">
        <v>201</v>
      </c>
      <c r="T10" s="98" t="s">
        <v>202</v>
      </c>
      <c r="U10" s="99" t="s">
        <v>203</v>
      </c>
    </row>
    <row r="11" spans="1:22" s="42" customFormat="1" ht="11.25" customHeight="1" x14ac:dyDescent="0.15">
      <c r="A11" s="56"/>
      <c r="C11" s="42" t="s">
        <v>56</v>
      </c>
      <c r="D11" s="89"/>
      <c r="E11" s="100" t="s">
        <v>204</v>
      </c>
      <c r="G11" s="95"/>
      <c r="I11" s="89"/>
      <c r="J11" s="89"/>
      <c r="K11" s="55" t="s">
        <v>205</v>
      </c>
      <c r="N11" s="101">
        <f t="shared" ref="N11:S11" si="0">N29</f>
        <v>0.41787858678589856</v>
      </c>
      <c r="O11" s="101">
        <f t="shared" si="0"/>
        <v>0.41787858678589856</v>
      </c>
      <c r="P11" s="101">
        <f t="shared" si="0"/>
        <v>0</v>
      </c>
      <c r="Q11" s="101">
        <f t="shared" si="0"/>
        <v>0</v>
      </c>
      <c r="R11" s="101">
        <f t="shared" si="0"/>
        <v>0</v>
      </c>
      <c r="S11" s="101">
        <f t="shared" si="0"/>
        <v>0</v>
      </c>
      <c r="T11" s="102"/>
      <c r="U11" s="103">
        <f t="shared" ref="U11:U23" si="1">N11/$E$10</f>
        <v>0.12028916991696552</v>
      </c>
    </row>
    <row r="12" spans="1:22" s="42" customFormat="1" ht="11" x14ac:dyDescent="0.15">
      <c r="A12" s="56"/>
      <c r="C12" s="42" t="s">
        <v>59</v>
      </c>
      <c r="D12" s="89"/>
      <c r="E12" s="104">
        <v>1</v>
      </c>
      <c r="F12" s="105"/>
      <c r="G12" s="95"/>
      <c r="I12" s="89"/>
      <c r="J12" s="106"/>
      <c r="K12" s="55" t="s">
        <v>206</v>
      </c>
      <c r="L12" s="107"/>
      <c r="N12" s="101">
        <f t="shared" ref="N12:S12" si="2">SUM(N13:N15)</f>
        <v>0.36294935490399793</v>
      </c>
      <c r="O12" s="101">
        <f t="shared" si="2"/>
        <v>0.36294935490399793</v>
      </c>
      <c r="P12" s="101">
        <f>SUM(P13:P15)</f>
        <v>0</v>
      </c>
      <c r="Q12" s="101">
        <f t="shared" si="2"/>
        <v>0</v>
      </c>
      <c r="R12" s="101">
        <f t="shared" si="2"/>
        <v>0</v>
      </c>
      <c r="S12" s="101">
        <f t="shared" si="2"/>
        <v>0</v>
      </c>
      <c r="T12" s="108">
        <f t="shared" ref="T12:T23" si="3">N12/$E$14*12/$N$11</f>
        <v>1.4889465835202629</v>
      </c>
      <c r="U12" s="103">
        <f t="shared" si="1"/>
        <v>0.10447742000637328</v>
      </c>
    </row>
    <row r="13" spans="1:22" s="42" customFormat="1" ht="11" x14ac:dyDescent="0.15">
      <c r="A13" s="56"/>
      <c r="C13" s="42" t="s">
        <v>62</v>
      </c>
      <c r="D13" s="89"/>
      <c r="E13" s="109">
        <v>6</v>
      </c>
      <c r="G13" s="95"/>
      <c r="I13" s="110"/>
      <c r="J13" s="106"/>
      <c r="K13" s="111" t="s">
        <v>207</v>
      </c>
      <c r="N13" s="112">
        <f t="shared" ref="N13:S13" si="4">N31</f>
        <v>0.14306178657132942</v>
      </c>
      <c r="O13" s="112">
        <f t="shared" si="4"/>
        <v>0.14306178657132942</v>
      </c>
      <c r="P13" s="112">
        <f t="shared" si="4"/>
        <v>0</v>
      </c>
      <c r="Q13" s="112">
        <f t="shared" si="4"/>
        <v>0</v>
      </c>
      <c r="R13" s="112">
        <f t="shared" si="4"/>
        <v>0</v>
      </c>
      <c r="S13" s="112">
        <f t="shared" si="4"/>
        <v>0</v>
      </c>
      <c r="T13" s="113">
        <f t="shared" si="3"/>
        <v>0.5868900315418073</v>
      </c>
      <c r="U13" s="114">
        <f t="shared" si="1"/>
        <v>4.1181300257245E-2</v>
      </c>
    </row>
    <row r="14" spans="1:22" s="42" customFormat="1" ht="11" x14ac:dyDescent="0.15">
      <c r="A14" s="56"/>
      <c r="C14" s="42" t="s">
        <v>65</v>
      </c>
      <c r="D14" s="89"/>
      <c r="E14" s="115">
        <f>E12+E13</f>
        <v>7</v>
      </c>
      <c r="F14" s="116"/>
      <c r="G14" s="95"/>
      <c r="I14" s="110"/>
      <c r="J14" s="106"/>
      <c r="K14" s="111" t="s">
        <v>208</v>
      </c>
      <c r="N14" s="112">
        <f t="shared" ref="N14:S14" si="5">N34</f>
        <v>0.21988756833266851</v>
      </c>
      <c r="O14" s="112">
        <f t="shared" si="5"/>
        <v>0.21988756833266851</v>
      </c>
      <c r="P14" s="112">
        <f t="shared" si="5"/>
        <v>0</v>
      </c>
      <c r="Q14" s="112">
        <f t="shared" si="5"/>
        <v>0</v>
      </c>
      <c r="R14" s="112">
        <f t="shared" si="5"/>
        <v>0</v>
      </c>
      <c r="S14" s="112">
        <f t="shared" si="5"/>
        <v>0</v>
      </c>
      <c r="T14" s="113">
        <f t="shared" si="3"/>
        <v>0.90205655197845547</v>
      </c>
      <c r="U14" s="114">
        <f t="shared" si="1"/>
        <v>6.3296119749128271E-2</v>
      </c>
    </row>
    <row r="15" spans="1:22" s="42" customFormat="1" ht="11" x14ac:dyDescent="0.15">
      <c r="A15" s="56"/>
      <c r="I15" s="110"/>
      <c r="J15" s="106"/>
      <c r="K15" s="111" t="s">
        <v>209</v>
      </c>
      <c r="N15" s="112">
        <f t="shared" ref="N15:S16" si="6">N37</f>
        <v>0</v>
      </c>
      <c r="O15" s="112">
        <f t="shared" si="6"/>
        <v>0</v>
      </c>
      <c r="P15" s="112">
        <f t="shared" si="6"/>
        <v>0</v>
      </c>
      <c r="Q15" s="112">
        <f t="shared" si="6"/>
        <v>0</v>
      </c>
      <c r="R15" s="112">
        <f t="shared" si="6"/>
        <v>0</v>
      </c>
      <c r="S15" s="112">
        <f t="shared" si="6"/>
        <v>0</v>
      </c>
      <c r="T15" s="113">
        <f t="shared" si="3"/>
        <v>0</v>
      </c>
      <c r="U15" s="114">
        <f t="shared" si="1"/>
        <v>0</v>
      </c>
    </row>
    <row r="16" spans="1:22" s="42" customFormat="1" ht="11" x14ac:dyDescent="0.15">
      <c r="A16" s="56"/>
      <c r="D16" s="89"/>
      <c r="E16" s="89"/>
      <c r="F16" s="89"/>
      <c r="G16" s="117"/>
      <c r="H16" s="118"/>
      <c r="I16" s="110"/>
      <c r="J16" s="106"/>
      <c r="K16" s="55" t="s">
        <v>210</v>
      </c>
      <c r="N16" s="101">
        <f t="shared" si="6"/>
        <v>-0.16371398412074356</v>
      </c>
      <c r="O16" s="101">
        <f t="shared" si="6"/>
        <v>-0.16371398412074356</v>
      </c>
      <c r="P16" s="101">
        <f t="shared" si="6"/>
        <v>0</v>
      </c>
      <c r="Q16" s="101">
        <f t="shared" si="6"/>
        <v>0</v>
      </c>
      <c r="R16" s="101">
        <f t="shared" si="6"/>
        <v>0</v>
      </c>
      <c r="S16" s="101">
        <f t="shared" si="6"/>
        <v>0</v>
      </c>
      <c r="T16" s="108">
        <f t="shared" si="3"/>
        <v>-0.6716126479837603</v>
      </c>
      <c r="U16" s="103">
        <f t="shared" si="1"/>
        <v>-4.7126174626825994E-2</v>
      </c>
    </row>
    <row r="17" spans="1:24" s="42" customFormat="1" ht="11" x14ac:dyDescent="0.15">
      <c r="A17" s="56"/>
      <c r="B17" s="55" t="s">
        <v>68</v>
      </c>
      <c r="C17" s="119" t="s">
        <v>211</v>
      </c>
      <c r="D17" s="120" t="s">
        <v>212</v>
      </c>
      <c r="E17" s="119" t="s">
        <v>71</v>
      </c>
      <c r="F17" s="119" t="s">
        <v>73</v>
      </c>
      <c r="G17" s="119" t="s">
        <v>76</v>
      </c>
      <c r="I17" s="110"/>
      <c r="J17" s="106"/>
      <c r="K17" s="55" t="s">
        <v>213</v>
      </c>
      <c r="N17" s="101">
        <f t="shared" ref="N17:S17" si="7">SUM(N18:N21)</f>
        <v>-0.15047878449085786</v>
      </c>
      <c r="O17" s="101">
        <f>SUM(O18:O21)</f>
        <v>-0.15047878449085786</v>
      </c>
      <c r="P17" s="101">
        <f t="shared" si="7"/>
        <v>0</v>
      </c>
      <c r="Q17" s="101">
        <f t="shared" si="7"/>
        <v>0</v>
      </c>
      <c r="R17" s="101">
        <f>SUM(R18:R21)</f>
        <v>0</v>
      </c>
      <c r="S17" s="101">
        <f t="shared" si="7"/>
        <v>0</v>
      </c>
      <c r="T17" s="108">
        <f t="shared" si="3"/>
        <v>-0.61731717947042075</v>
      </c>
      <c r="U17" s="103">
        <f t="shared" si="1"/>
        <v>-4.3316333138154611E-2</v>
      </c>
    </row>
    <row r="18" spans="1:24" s="42" customFormat="1" ht="11" x14ac:dyDescent="0.15">
      <c r="A18" s="56">
        <v>1</v>
      </c>
      <c r="B18" s="121" t="s">
        <v>214</v>
      </c>
      <c r="C18" s="122">
        <v>1</v>
      </c>
      <c r="D18" s="123">
        <v>1</v>
      </c>
      <c r="E18" s="124">
        <f>DATA!G9</f>
        <v>0.57430774910730731</v>
      </c>
      <c r="F18" s="125">
        <f>COF!J1</f>
        <v>5.5252161549803613E-2</v>
      </c>
      <c r="G18" s="124">
        <f>E18-F18</f>
        <v>0.51905558755750369</v>
      </c>
      <c r="I18" s="110"/>
      <c r="J18" s="106"/>
      <c r="K18" s="111" t="s">
        <v>105</v>
      </c>
      <c r="N18" s="112">
        <f t="shared" ref="N18:S18" si="8">SUM(N40)</f>
        <v>-5.9634388986462832E-2</v>
      </c>
      <c r="O18" s="112">
        <f t="shared" si="8"/>
        <v>-5.9634388986462832E-2</v>
      </c>
      <c r="P18" s="112">
        <f t="shared" si="8"/>
        <v>0</v>
      </c>
      <c r="Q18" s="112">
        <f t="shared" si="8"/>
        <v>0</v>
      </c>
      <c r="R18" s="112">
        <f t="shared" si="8"/>
        <v>0</v>
      </c>
      <c r="S18" s="112">
        <f t="shared" si="8"/>
        <v>0</v>
      </c>
      <c r="T18" s="113">
        <f t="shared" si="3"/>
        <v>-0.24464134883280972</v>
      </c>
      <c r="U18" s="114">
        <f t="shared" si="1"/>
        <v>-1.7166161120771531E-2</v>
      </c>
    </row>
    <row r="19" spans="1:24" s="42" customFormat="1" ht="10" customHeight="1" x14ac:dyDescent="0.15">
      <c r="A19" s="56">
        <v>2</v>
      </c>
      <c r="B19" s="121" t="s">
        <v>215</v>
      </c>
      <c r="C19" s="122">
        <f>D18+1</f>
        <v>2</v>
      </c>
      <c r="D19" s="123">
        <f>E14</f>
        <v>7</v>
      </c>
      <c r="E19" s="124">
        <f>E18</f>
        <v>0.57430774910730731</v>
      </c>
      <c r="F19" s="125">
        <f>F18</f>
        <v>5.5252161549803613E-2</v>
      </c>
      <c r="G19" s="124">
        <f>E19-F19</f>
        <v>0.51905558755750369</v>
      </c>
      <c r="I19" s="110"/>
      <c r="J19" s="106"/>
      <c r="K19" s="111" t="s">
        <v>216</v>
      </c>
      <c r="N19" s="126">
        <f t="shared" ref="N19:S19" si="9">N44</f>
        <v>-1.8614427784425423E-2</v>
      </c>
      <c r="O19" s="112">
        <f t="shared" si="9"/>
        <v>-1.8614427784425423E-2</v>
      </c>
      <c r="P19" s="126">
        <f t="shared" si="9"/>
        <v>0</v>
      </c>
      <c r="Q19" s="126">
        <f t="shared" si="9"/>
        <v>0</v>
      </c>
      <c r="R19" s="126">
        <f t="shared" si="9"/>
        <v>0</v>
      </c>
      <c r="S19" s="126">
        <f t="shared" si="9"/>
        <v>0</v>
      </c>
      <c r="T19" s="113">
        <f t="shared" si="3"/>
        <v>-7.6362964362165317E-2</v>
      </c>
      <c r="U19" s="114">
        <f t="shared" si="1"/>
        <v>-5.3582885973888173E-3</v>
      </c>
    </row>
    <row r="20" spans="1:24" s="128" customFormat="1" ht="10" customHeight="1" x14ac:dyDescent="0.2">
      <c r="A20" s="127">
        <v>3</v>
      </c>
      <c r="I20" s="129"/>
      <c r="J20" s="130"/>
      <c r="K20" s="131" t="s">
        <v>217</v>
      </c>
      <c r="N20" s="132">
        <f t="shared" ref="N20:S20" si="10">N47</f>
        <v>-7.5830034439315994E-3</v>
      </c>
      <c r="O20" s="132">
        <f t="shared" si="10"/>
        <v>-7.5830034439315994E-3</v>
      </c>
      <c r="P20" s="132">
        <f t="shared" si="10"/>
        <v>0</v>
      </c>
      <c r="Q20" s="132">
        <f t="shared" si="10"/>
        <v>0</v>
      </c>
      <c r="R20" s="132">
        <f t="shared" si="10"/>
        <v>0</v>
      </c>
      <c r="S20" s="132">
        <f t="shared" si="10"/>
        <v>0</v>
      </c>
      <c r="T20" s="133">
        <f t="shared" si="3"/>
        <v>-3.1108161285066317E-2</v>
      </c>
      <c r="U20" s="134">
        <f t="shared" si="1"/>
        <v>-2.182818690863831E-3</v>
      </c>
    </row>
    <row r="21" spans="1:24" s="128" customFormat="1" ht="10" customHeight="1" x14ac:dyDescent="0.2">
      <c r="A21" s="127">
        <v>4</v>
      </c>
      <c r="B21" s="135" t="s">
        <v>86</v>
      </c>
      <c r="C21" s="128" t="s">
        <v>87</v>
      </c>
      <c r="D21" s="136"/>
      <c r="E21" s="137"/>
      <c r="F21" s="138" t="s">
        <v>218</v>
      </c>
      <c r="G21" s="139"/>
      <c r="H21" s="140"/>
      <c r="I21" s="141"/>
      <c r="J21" s="141"/>
      <c r="K21" s="131" t="s">
        <v>219</v>
      </c>
      <c r="N21" s="142">
        <f t="shared" ref="N21:S21" si="11">N51</f>
        <v>-6.4646964276037999E-2</v>
      </c>
      <c r="O21" s="142">
        <f t="shared" si="11"/>
        <v>-6.4646964276037999E-2</v>
      </c>
      <c r="P21" s="142">
        <f t="shared" si="11"/>
        <v>0</v>
      </c>
      <c r="Q21" s="142">
        <f t="shared" si="11"/>
        <v>0</v>
      </c>
      <c r="R21" s="142">
        <f t="shared" si="11"/>
        <v>0</v>
      </c>
      <c r="S21" s="142">
        <f t="shared" si="11"/>
        <v>0</v>
      </c>
      <c r="T21" s="133">
        <f t="shared" si="3"/>
        <v>-0.26520470499037929</v>
      </c>
      <c r="U21" s="134">
        <f t="shared" si="1"/>
        <v>-1.8609064729130431E-2</v>
      </c>
    </row>
    <row r="22" spans="1:24" s="128" customFormat="1" ht="10" customHeight="1" x14ac:dyDescent="0.2">
      <c r="C22" s="128" t="s">
        <v>90</v>
      </c>
      <c r="E22" s="137">
        <f>DATA!H9</f>
        <v>7.984837885377398E-2</v>
      </c>
      <c r="F22" s="138" t="s">
        <v>218</v>
      </c>
      <c r="G22" s="139"/>
      <c r="I22" s="141"/>
      <c r="J22" s="141"/>
      <c r="K22" s="135" t="s">
        <v>220</v>
      </c>
      <c r="N22" s="143">
        <f t="shared" ref="N22:S22" si="12">N12+N16+N17</f>
        <v>4.8756586292396514E-2</v>
      </c>
      <c r="O22" s="143">
        <f t="shared" si="12"/>
        <v>4.8756586292396514E-2</v>
      </c>
      <c r="P22" s="143">
        <f t="shared" si="12"/>
        <v>0</v>
      </c>
      <c r="Q22" s="143">
        <f t="shared" si="12"/>
        <v>0</v>
      </c>
      <c r="R22" s="143">
        <f t="shared" si="12"/>
        <v>0</v>
      </c>
      <c r="S22" s="143">
        <f t="shared" si="12"/>
        <v>0</v>
      </c>
      <c r="T22" s="144">
        <f t="shared" si="3"/>
        <v>0.20001675606608169</v>
      </c>
      <c r="U22" s="145">
        <f t="shared" si="1"/>
        <v>1.4034912241392668E-2</v>
      </c>
    </row>
    <row r="23" spans="1:24" s="128" customFormat="1" ht="10" customHeight="1" x14ac:dyDescent="0.2">
      <c r="A23" s="127">
        <v>5</v>
      </c>
      <c r="B23" s="146"/>
      <c r="C23" s="128" t="s">
        <v>92</v>
      </c>
      <c r="D23" s="141"/>
      <c r="E23" s="137">
        <v>1</v>
      </c>
      <c r="F23" s="138" t="s">
        <v>218</v>
      </c>
      <c r="I23" s="141"/>
      <c r="J23" s="141"/>
      <c r="K23" s="128" t="s">
        <v>221</v>
      </c>
      <c r="N23" s="143">
        <f t="shared" ref="N23:S23" si="13">N22-N21</f>
        <v>0.11340355056843451</v>
      </c>
      <c r="O23" s="142">
        <f t="shared" si="13"/>
        <v>0.11340355056843451</v>
      </c>
      <c r="P23" s="142">
        <f t="shared" si="13"/>
        <v>0</v>
      </c>
      <c r="Q23" s="142">
        <f t="shared" si="13"/>
        <v>0</v>
      </c>
      <c r="R23" s="142">
        <f t="shared" si="13"/>
        <v>0</v>
      </c>
      <c r="S23" s="142">
        <f t="shared" si="13"/>
        <v>0</v>
      </c>
      <c r="T23" s="133">
        <f t="shared" si="3"/>
        <v>0.46522146105646101</v>
      </c>
      <c r="U23" s="134">
        <f t="shared" si="1"/>
        <v>3.2643976970523098E-2</v>
      </c>
      <c r="V23" s="141"/>
    </row>
    <row r="24" spans="1:24" s="128" customFormat="1" ht="10" customHeight="1" x14ac:dyDescent="0.2">
      <c r="A24" s="127"/>
      <c r="C24" s="128" t="s">
        <v>94</v>
      </c>
      <c r="D24" s="136"/>
      <c r="E24" s="137">
        <v>0.85599999999999998</v>
      </c>
      <c r="F24" s="138" t="s">
        <v>218</v>
      </c>
      <c r="H24" s="127" t="s">
        <v>222</v>
      </c>
      <c r="I24" s="141"/>
      <c r="J24" s="141"/>
      <c r="V24" s="147"/>
    </row>
    <row r="25" spans="1:24" s="128" customFormat="1" ht="10" customHeight="1" x14ac:dyDescent="0.2">
      <c r="A25" s="127"/>
      <c r="D25" s="136"/>
      <c r="E25" s="148"/>
      <c r="F25" s="149"/>
      <c r="H25" s="127" t="s">
        <v>222</v>
      </c>
      <c r="I25" s="141"/>
      <c r="J25" s="150"/>
      <c r="X25" s="151"/>
    </row>
    <row r="26" spans="1:24" s="107" customFormat="1" ht="11.25" customHeight="1" thickBot="1" x14ac:dyDescent="0.2">
      <c r="A26" s="56"/>
      <c r="B26" s="55" t="s">
        <v>97</v>
      </c>
      <c r="C26" s="42"/>
      <c r="D26" s="42"/>
      <c r="E26" s="152"/>
      <c r="F26" s="153" t="s">
        <v>223</v>
      </c>
      <c r="G26" s="42"/>
      <c r="H26" s="154"/>
      <c r="I26" s="155"/>
      <c r="J26" s="156"/>
      <c r="K26" s="90" t="s">
        <v>224</v>
      </c>
      <c r="L26" s="91"/>
      <c r="M26" s="91"/>
      <c r="N26" s="91"/>
      <c r="O26" s="91"/>
      <c r="P26" s="91"/>
      <c r="Q26" s="91"/>
      <c r="R26" s="91"/>
      <c r="S26" s="91"/>
      <c r="T26" s="91"/>
      <c r="U26" s="91" t="s">
        <v>194</v>
      </c>
      <c r="V26" s="89"/>
      <c r="W26" s="42"/>
      <c r="X26" s="157"/>
    </row>
    <row r="27" spans="1:24" s="42" customFormat="1" ht="11" x14ac:dyDescent="0.15">
      <c r="A27" s="158"/>
      <c r="E27" s="159"/>
      <c r="F27" s="153" t="s">
        <v>225</v>
      </c>
      <c r="I27" s="70"/>
      <c r="J27" s="156"/>
      <c r="L27" s="160"/>
      <c r="M27" s="160"/>
      <c r="O27" s="160"/>
      <c r="P27" s="160"/>
      <c r="Q27" s="160"/>
      <c r="R27" s="160"/>
      <c r="U27" s="161"/>
      <c r="V27" s="156"/>
      <c r="W27" s="92"/>
      <c r="X27" s="157"/>
    </row>
    <row r="28" spans="1:24" s="42" customFormat="1" ht="11" x14ac:dyDescent="0.15">
      <c r="A28" s="56"/>
      <c r="B28" s="107"/>
      <c r="C28" s="107"/>
      <c r="D28" s="107"/>
      <c r="E28" s="107"/>
      <c r="F28" s="107"/>
      <c r="G28" s="107"/>
      <c r="H28" s="107"/>
      <c r="I28" s="89"/>
      <c r="J28" s="156"/>
      <c r="N28" s="97" t="s">
        <v>196</v>
      </c>
      <c r="O28" s="97" t="s">
        <v>197</v>
      </c>
      <c r="P28" s="97" t="s">
        <v>198</v>
      </c>
      <c r="Q28" s="97" t="s">
        <v>199</v>
      </c>
      <c r="R28" s="97" t="s">
        <v>200</v>
      </c>
      <c r="S28" s="97" t="s">
        <v>201</v>
      </c>
      <c r="T28" s="97" t="s">
        <v>202</v>
      </c>
      <c r="U28" s="162" t="s">
        <v>203</v>
      </c>
      <c r="V28" s="156"/>
      <c r="W28" s="92"/>
      <c r="X28" s="157"/>
    </row>
    <row r="29" spans="1:24" s="42" customFormat="1" ht="14" thickBot="1" x14ac:dyDescent="0.2">
      <c r="A29" s="56"/>
      <c r="B29" s="50" t="s">
        <v>100</v>
      </c>
      <c r="C29" s="87"/>
      <c r="D29" s="88"/>
      <c r="E29" s="87"/>
      <c r="F29" s="87"/>
      <c r="G29" s="87"/>
      <c r="H29" s="87" t="s">
        <v>194</v>
      </c>
      <c r="I29" s="70"/>
      <c r="J29" s="156"/>
      <c r="K29" s="163" t="s">
        <v>205</v>
      </c>
      <c r="N29" s="101">
        <f>SUM(SAP_Speadsheet!$D$48:$BF$48)/COUNTIF(SAP_Speadsheet!$D$48:$BF$48,"&gt;0")</f>
        <v>0.41787858678589856</v>
      </c>
      <c r="O29" s="101">
        <f>IFERROR(SUM(SAP_Speadsheet!$D$48:$P$48)/COUNTIF(SAP_Speadsheet!$D$48:$P$48,"&gt;0"),0)</f>
        <v>0.41787858678589856</v>
      </c>
      <c r="P29" s="101">
        <f>IFERROR(SUM(SAP_Speadsheet!$Q$48:$AB$48)/COUNTIF(SAP_Speadsheet!$Q$48:$AB$48,"&gt;0"),0)</f>
        <v>0</v>
      </c>
      <c r="Q29" s="101">
        <f>IFERROR(SUM(SAP_Speadsheet!$AC$48:$AN$48)/COUNTIF(SAP_Speadsheet!$AC$48:$AN$48,"&gt;0"),0)</f>
        <v>0</v>
      </c>
      <c r="R29" s="101">
        <f>IFERROR(SUM(SAP_Speadsheet!$AO$48:$AZ$48)/COUNTIF(SAP_Speadsheet!$AO$48:$AZ$48,"&gt;0"),0)</f>
        <v>0</v>
      </c>
      <c r="S29" s="101">
        <f>IFERROR(SUM(SAP_Speadsheet!$BA$48:$BF$48)/COUNTIF(SAP_Speadsheet!$BA$48:$BF$48,"&gt;0"),0)</f>
        <v>0</v>
      </c>
      <c r="T29" s="164"/>
      <c r="U29" s="165">
        <f t="shared" ref="U29:U34" si="14">N29/$E$10</f>
        <v>0.12028916991696552</v>
      </c>
      <c r="V29" s="156"/>
      <c r="W29" s="92"/>
      <c r="X29" s="157"/>
    </row>
    <row r="30" spans="1:24" s="42" customFormat="1" thickTop="1" x14ac:dyDescent="0.15">
      <c r="A30" s="56"/>
      <c r="D30" s="89"/>
      <c r="I30" s="70"/>
      <c r="J30" s="156"/>
      <c r="K30" s="55" t="s">
        <v>206</v>
      </c>
      <c r="N30" s="166">
        <f t="shared" ref="N30:N56" si="15">SUM(O30:S30)</f>
        <v>0.36294935490399788</v>
      </c>
      <c r="O30" s="166">
        <f>SUM(SAP_Speadsheet!$E$53:$P$53)</f>
        <v>0.36294935490399788</v>
      </c>
      <c r="P30" s="166">
        <f>SUM(SAP_Speadsheet!$Q$53:$AB$53)</f>
        <v>0</v>
      </c>
      <c r="Q30" s="166">
        <f>SUM(SAP_Speadsheet!$AC$53:$AN$53)</f>
        <v>0</v>
      </c>
      <c r="R30" s="166">
        <f>SUM(SAP_Speadsheet!$AO$53:$AZ$53)</f>
        <v>0</v>
      </c>
      <c r="S30" s="166">
        <f>SUM(SAP_Speadsheet!$BA$53:$BF$53)</f>
        <v>0</v>
      </c>
      <c r="T30" s="108">
        <f t="shared" ref="T30:T56" si="16">N30/$E$14*12/$N$29</f>
        <v>1.4889465835202624</v>
      </c>
      <c r="U30" s="108">
        <f t="shared" si="14"/>
        <v>0.10447742000637326</v>
      </c>
      <c r="V30" s="167"/>
      <c r="W30" s="92"/>
      <c r="X30" s="157"/>
    </row>
    <row r="31" spans="1:24" s="42" customFormat="1" ht="11" x14ac:dyDescent="0.15">
      <c r="A31" s="56"/>
      <c r="B31" s="55" t="s">
        <v>103</v>
      </c>
      <c r="D31" s="89"/>
      <c r="E31" s="168">
        <v>3.5000000000000003E-2</v>
      </c>
      <c r="F31" s="153" t="s">
        <v>226</v>
      </c>
      <c r="I31" s="156"/>
      <c r="J31" s="156"/>
      <c r="K31" s="55" t="s">
        <v>207</v>
      </c>
      <c r="N31" s="166">
        <f t="shared" si="15"/>
        <v>0.14306178657132942</v>
      </c>
      <c r="O31" s="166">
        <f>SUM(SAP_Speadsheet!$E$55:$P$55)</f>
        <v>0.14306178657132942</v>
      </c>
      <c r="P31" s="166">
        <f>SUM(SAP_Speadsheet!$Q$55:$AB$55)</f>
        <v>0</v>
      </c>
      <c r="Q31" s="166">
        <f>SUM(SAP_Speadsheet!$AC$55:$AN$55)</f>
        <v>0</v>
      </c>
      <c r="R31" s="166">
        <f>SUM(SAP_Speadsheet!$AO$55:$AZ$55)</f>
        <v>0</v>
      </c>
      <c r="S31" s="166">
        <f>SUM(SAP_Speadsheet!$BA$55:$BF$55)</f>
        <v>0</v>
      </c>
      <c r="T31" s="108">
        <f t="shared" si="16"/>
        <v>0.5868900315418073</v>
      </c>
      <c r="U31" s="108">
        <f t="shared" si="14"/>
        <v>4.1181300257245E-2</v>
      </c>
      <c r="V31" s="156"/>
      <c r="W31" s="92"/>
      <c r="X31" s="157"/>
    </row>
    <row r="32" spans="1:24" s="42" customFormat="1" ht="11" x14ac:dyDescent="0.15">
      <c r="A32" s="56"/>
      <c r="D32" s="89"/>
      <c r="E32" s="169"/>
      <c r="F32" s="153"/>
      <c r="G32" s="170"/>
      <c r="H32" s="92"/>
      <c r="I32" s="156"/>
      <c r="J32" s="156"/>
      <c r="K32" s="171" t="s">
        <v>227</v>
      </c>
      <c r="N32" s="172">
        <f t="shared" si="15"/>
        <v>0.15653019209608665</v>
      </c>
      <c r="O32" s="172">
        <f>SUM(SAP_Speadsheet!$E$56:$P$56)</f>
        <v>0.15653019209608665</v>
      </c>
      <c r="P32" s="172">
        <f>SUM(SAP_Speadsheet!$Q$56:$AB$56)</f>
        <v>0</v>
      </c>
      <c r="Q32" s="172">
        <f>SUM(SAP_Speadsheet!$AC$56:$AN$56)</f>
        <v>0</v>
      </c>
      <c r="R32" s="172">
        <f>SUM(SAP_Speadsheet!$AO$56:$AZ$56)</f>
        <v>0</v>
      </c>
      <c r="S32" s="172">
        <f>SUM(SAP_Speadsheet!$BA$56:$BF$56)</f>
        <v>0</v>
      </c>
      <c r="T32" s="113">
        <f t="shared" si="16"/>
        <v>0.64214219309161091</v>
      </c>
      <c r="U32" s="113">
        <f t="shared" si="14"/>
        <v>4.5058271635795642E-2</v>
      </c>
      <c r="V32" s="156"/>
      <c r="W32" s="92"/>
      <c r="X32" s="157"/>
    </row>
    <row r="33" spans="1:24" s="42" customFormat="1" ht="11" x14ac:dyDescent="0.15">
      <c r="A33" s="56"/>
      <c r="B33" s="55" t="s">
        <v>105</v>
      </c>
      <c r="C33" s="173"/>
      <c r="D33" s="173"/>
      <c r="E33" s="173"/>
      <c r="F33" s="153"/>
      <c r="G33" s="173"/>
      <c r="H33" s="173"/>
      <c r="I33" s="156"/>
      <c r="J33" s="156"/>
      <c r="K33" s="171" t="s">
        <v>228</v>
      </c>
      <c r="N33" s="172">
        <f t="shared" si="15"/>
        <v>-1.3468405524757225E-2</v>
      </c>
      <c r="O33" s="172">
        <f>SUM(SAP_Speadsheet!$E$57:$P$57)</f>
        <v>-1.3468405524757225E-2</v>
      </c>
      <c r="P33" s="172">
        <f>SUM(SAP_Speadsheet!$Q$57:$AB$57)</f>
        <v>0</v>
      </c>
      <c r="Q33" s="172">
        <f>SUM(SAP_Speadsheet!$AC$57:$AN$57)</f>
        <v>0</v>
      </c>
      <c r="R33" s="172">
        <f>SUM(SAP_Speadsheet!$AO$57:$AZ$57)</f>
        <v>0</v>
      </c>
      <c r="S33" s="172">
        <f>SUM(SAP_Speadsheet!$BA$57:$BF$57)</f>
        <v>0</v>
      </c>
      <c r="T33" s="113">
        <f t="shared" si="16"/>
        <v>-5.525216154980362E-2</v>
      </c>
      <c r="U33" s="113">
        <f t="shared" si="14"/>
        <v>-3.8769713785506412E-3</v>
      </c>
      <c r="V33" s="156"/>
      <c r="W33" s="92"/>
      <c r="X33" s="157"/>
    </row>
    <row r="34" spans="1:24" s="42" customFormat="1" ht="11" x14ac:dyDescent="0.15">
      <c r="A34" s="56"/>
      <c r="B34" s="173"/>
      <c r="C34" s="174" t="s">
        <v>107</v>
      </c>
      <c r="D34" s="173"/>
      <c r="E34" s="175" t="s">
        <v>229</v>
      </c>
      <c r="F34" s="153"/>
      <c r="G34" s="173"/>
      <c r="H34" s="176"/>
      <c r="I34" s="156"/>
      <c r="J34" s="156"/>
      <c r="K34" s="55" t="s">
        <v>208</v>
      </c>
      <c r="N34" s="166">
        <f t="shared" si="15"/>
        <v>0.21988756833266851</v>
      </c>
      <c r="O34" s="166">
        <f>SUM(SAP_Speadsheet!$E$59:$P$59)</f>
        <v>0.21988756833266851</v>
      </c>
      <c r="P34" s="166">
        <f>SUM(SAP_Speadsheet!$Q$59:$AB$59)</f>
        <v>0</v>
      </c>
      <c r="Q34" s="166">
        <f>SUM(SAP_Speadsheet!$AC$59:$AN$59)</f>
        <v>0</v>
      </c>
      <c r="R34" s="166">
        <f>SUM(SAP_Speadsheet!$AO$59:$AZ$59)</f>
        <v>0</v>
      </c>
      <c r="S34" s="166">
        <f>SUM(SAP_Speadsheet!$BA$59:$BF$59)</f>
        <v>0</v>
      </c>
      <c r="T34" s="108">
        <f t="shared" si="16"/>
        <v>0.90205655197845547</v>
      </c>
      <c r="U34" s="108">
        <f t="shared" si="14"/>
        <v>6.3296119749128271E-2</v>
      </c>
      <c r="V34" s="156"/>
      <c r="W34" s="92"/>
      <c r="X34" s="157"/>
    </row>
    <row r="35" spans="1:24" s="42" customFormat="1" ht="11" x14ac:dyDescent="0.15">
      <c r="A35" s="56"/>
      <c r="C35" s="42" t="s">
        <v>109</v>
      </c>
      <c r="D35" s="89"/>
      <c r="E35" s="177">
        <f>DATA!C112</f>
        <v>0.31500271618805725</v>
      </c>
      <c r="F35" s="153" t="s">
        <v>230</v>
      </c>
      <c r="G35" s="178"/>
      <c r="H35" s="173"/>
      <c r="I35" s="156"/>
      <c r="J35" s="156"/>
      <c r="K35" s="171" t="s">
        <v>231</v>
      </c>
      <c r="N35" s="172">
        <f t="shared" si="15"/>
        <v>0.21988756833266851</v>
      </c>
      <c r="O35" s="172">
        <f>SUM(SAP_Speadsheet!$E$60:$P$60)</f>
        <v>0.21988756833266851</v>
      </c>
      <c r="P35" s="172">
        <f>SUM(SAP_Speadsheet!$Q$60:$AB$60)</f>
        <v>0</v>
      </c>
      <c r="Q35" s="172">
        <f>SUM(SAP_Speadsheet!$AC$60:$AN$60)</f>
        <v>0</v>
      </c>
      <c r="R35" s="172">
        <f>SUM(SAP_Speadsheet!$AO$60:$AZ$60)</f>
        <v>0</v>
      </c>
      <c r="S35" s="172">
        <f>SUM(SAP_Speadsheet!$BA$60:$BF$60)</f>
        <v>0</v>
      </c>
      <c r="T35" s="113">
        <f t="shared" si="16"/>
        <v>0.90205655197845547</v>
      </c>
      <c r="U35" s="113">
        <f>N35/$E$10</f>
        <v>6.3296119749128271E-2</v>
      </c>
      <c r="V35" s="156"/>
      <c r="W35" s="92"/>
      <c r="X35" s="157"/>
    </row>
    <row r="36" spans="1:24" s="42" customFormat="1" ht="11" x14ac:dyDescent="0.15">
      <c r="A36" s="56"/>
      <c r="C36" s="42" t="s">
        <v>112</v>
      </c>
      <c r="D36" s="89"/>
      <c r="E36" s="177"/>
      <c r="F36" s="153" t="s">
        <v>230</v>
      </c>
      <c r="G36" s="179"/>
      <c r="I36" s="156"/>
      <c r="J36" s="156"/>
      <c r="K36" s="171" t="s">
        <v>97</v>
      </c>
      <c r="N36" s="172">
        <f t="shared" si="15"/>
        <v>0</v>
      </c>
      <c r="O36" s="172">
        <f>SUM(SAP_Speadsheet!$E$61:$P$61)</f>
        <v>0</v>
      </c>
      <c r="P36" s="172">
        <f>SUM(SAP_Speadsheet!$Q$61:$AB$61)</f>
        <v>0</v>
      </c>
      <c r="Q36" s="172">
        <f>SUM(SAP_Speadsheet!$AC$61:$AN$61)</f>
        <v>0</v>
      </c>
      <c r="R36" s="172">
        <f>SUM(SAP_Speadsheet!$AO$61:$AZ$61)</f>
        <v>0</v>
      </c>
      <c r="S36" s="172">
        <f>SUM(SAP_Speadsheet!$BA$61:$BF$61)</f>
        <v>0</v>
      </c>
      <c r="T36" s="113">
        <f t="shared" si="16"/>
        <v>0</v>
      </c>
      <c r="U36" s="113">
        <f t="shared" ref="U36:U51" si="17">N36/$E$10</f>
        <v>0</v>
      </c>
      <c r="V36" s="156"/>
      <c r="W36" s="92"/>
      <c r="X36" s="157"/>
    </row>
    <row r="37" spans="1:24" s="173" customFormat="1" ht="11" x14ac:dyDescent="0.15">
      <c r="A37" s="56"/>
      <c r="B37" s="42"/>
      <c r="C37" s="42"/>
      <c r="D37" s="42"/>
      <c r="E37" s="176" t="s">
        <v>232</v>
      </c>
      <c r="F37" s="153"/>
      <c r="G37" s="179"/>
      <c r="H37" s="42"/>
      <c r="I37" s="156"/>
      <c r="J37" s="156"/>
      <c r="K37" s="55" t="s">
        <v>209</v>
      </c>
      <c r="M37" s="180"/>
      <c r="N37" s="112">
        <f>SUM(O37:S37)</f>
        <v>0</v>
      </c>
      <c r="O37" s="112">
        <f>SUM(SAP_Speadsheet!$E$63:$P$63)</f>
        <v>0</v>
      </c>
      <c r="P37" s="112">
        <f>SUM(SAP_Speadsheet!$Q$63:$AB$63)</f>
        <v>0</v>
      </c>
      <c r="Q37" s="112">
        <f>SUM(SAP_Speadsheet!$AC$63:$AN$63)</f>
        <v>0</v>
      </c>
      <c r="R37" s="112">
        <f>SUM(SAP_Speadsheet!$AO$63:$AZ$63)</f>
        <v>0</v>
      </c>
      <c r="S37" s="112">
        <f>SUM(SAP_Speadsheet!$BA$63:$BF$63)</f>
        <v>0</v>
      </c>
      <c r="T37" s="113">
        <f t="shared" si="16"/>
        <v>0</v>
      </c>
      <c r="U37" s="113">
        <f t="shared" si="17"/>
        <v>0</v>
      </c>
      <c r="V37" s="156"/>
      <c r="W37" s="92"/>
      <c r="X37" s="157"/>
    </row>
    <row r="38" spans="1:24" s="173" customFormat="1" ht="11" x14ac:dyDescent="0.15">
      <c r="A38" s="56"/>
      <c r="B38" s="42"/>
      <c r="C38" s="42" t="s">
        <v>114</v>
      </c>
      <c r="D38" s="181"/>
      <c r="E38" s="177"/>
      <c r="F38" s="153" t="s">
        <v>230</v>
      </c>
      <c r="G38" s="179"/>
      <c r="H38" s="42"/>
      <c r="I38" s="156"/>
      <c r="J38" s="156"/>
      <c r="K38" s="182" t="s">
        <v>210</v>
      </c>
      <c r="L38" s="55"/>
      <c r="M38" s="55"/>
      <c r="N38" s="166">
        <f t="shared" si="15"/>
        <v>-0.16371398412074356</v>
      </c>
      <c r="O38" s="166">
        <f>SUM(SAP_Speadsheet!$E$175:$P$175)</f>
        <v>-0.16371398412074356</v>
      </c>
      <c r="P38" s="166">
        <f>SUM(SAP_Speadsheet!$Q$175:$AB$175)</f>
        <v>0</v>
      </c>
      <c r="Q38" s="166">
        <f>SUM(SAP_Speadsheet!$AC$175:$AN$175)</f>
        <v>0</v>
      </c>
      <c r="R38" s="166">
        <f>SUM(SAP_Speadsheet!$AO$175:$AZ$175)</f>
        <v>0</v>
      </c>
      <c r="S38" s="166">
        <f>SUM(SAP_Speadsheet!$BA$175:$BF$175)</f>
        <v>0</v>
      </c>
      <c r="T38" s="108">
        <f t="shared" si="16"/>
        <v>-0.6716126479837603</v>
      </c>
      <c r="U38" s="108">
        <f t="shared" si="17"/>
        <v>-4.7126174626825994E-2</v>
      </c>
      <c r="V38" s="156"/>
      <c r="W38" s="92"/>
      <c r="X38" s="157"/>
    </row>
    <row r="39" spans="1:24" s="173" customFormat="1" ht="11" x14ac:dyDescent="0.15">
      <c r="A39" s="56"/>
      <c r="B39" s="42"/>
      <c r="C39" s="42" t="s">
        <v>116</v>
      </c>
      <c r="D39" s="42"/>
      <c r="E39" s="177"/>
      <c r="F39" s="153" t="s">
        <v>230</v>
      </c>
      <c r="G39" s="179"/>
      <c r="H39" s="42"/>
      <c r="K39" s="55" t="s">
        <v>213</v>
      </c>
      <c r="L39" s="42"/>
      <c r="M39" s="42"/>
      <c r="N39" s="166">
        <f t="shared" si="15"/>
        <v>-0.15047878449085786</v>
      </c>
      <c r="O39" s="166">
        <f>+SUM(O40,O44,O47,O51)</f>
        <v>-0.15047878449085786</v>
      </c>
      <c r="P39" s="183">
        <f>+SUM(P40,P44,P47,P51)</f>
        <v>0</v>
      </c>
      <c r="Q39" s="183">
        <f>+SUM(Q40,Q44,Q47,Q51)</f>
        <v>0</v>
      </c>
      <c r="R39" s="183">
        <f>+SUM(R40,R44,R47,R51)</f>
        <v>0</v>
      </c>
      <c r="S39" s="166">
        <f>+SUM(S40,S44,S47,S51)</f>
        <v>0</v>
      </c>
      <c r="T39" s="108">
        <f t="shared" si="16"/>
        <v>-0.61731717947042075</v>
      </c>
      <c r="U39" s="108">
        <f t="shared" si="17"/>
        <v>-4.3316333138154611E-2</v>
      </c>
      <c r="V39" s="156"/>
      <c r="W39" s="92"/>
      <c r="X39" s="157"/>
    </row>
    <row r="40" spans="1:24" s="42" customFormat="1" ht="11" x14ac:dyDescent="0.15">
      <c r="A40" s="56"/>
      <c r="C40" s="42" t="s">
        <v>118</v>
      </c>
      <c r="E40" s="177"/>
      <c r="F40" s="153" t="s">
        <v>230</v>
      </c>
      <c r="G40" s="178"/>
      <c r="H40" s="176"/>
      <c r="K40" s="182" t="s">
        <v>105</v>
      </c>
      <c r="N40" s="166">
        <f t="shared" si="15"/>
        <v>-5.9634388986462832E-2</v>
      </c>
      <c r="O40" s="166">
        <f>SUM(O41:O43)</f>
        <v>-5.9634388986462832E-2</v>
      </c>
      <c r="P40" s="166">
        <f>SUM(P41:P43)</f>
        <v>0</v>
      </c>
      <c r="Q40" s="166">
        <f>SUM(Q41:Q43)</f>
        <v>0</v>
      </c>
      <c r="R40" s="166">
        <f>SUM(R41:R43)</f>
        <v>0</v>
      </c>
      <c r="S40" s="166">
        <f>SUM(S41:S43)</f>
        <v>0</v>
      </c>
      <c r="T40" s="108">
        <f t="shared" si="16"/>
        <v>-0.24464134883280972</v>
      </c>
      <c r="U40" s="108">
        <f t="shared" si="17"/>
        <v>-1.7166161120771531E-2</v>
      </c>
      <c r="V40" s="156"/>
      <c r="W40" s="92"/>
      <c r="X40" s="157"/>
    </row>
    <row r="41" spans="1:24" s="42" customFormat="1" ht="11" x14ac:dyDescent="0.15">
      <c r="A41" s="56"/>
      <c r="C41" s="42" t="s">
        <v>120</v>
      </c>
      <c r="E41" s="177"/>
      <c r="F41" s="153" t="s">
        <v>230</v>
      </c>
      <c r="G41" s="178"/>
      <c r="H41" s="176"/>
      <c r="K41" s="111" t="s">
        <v>233</v>
      </c>
      <c r="L41" s="173"/>
      <c r="N41" s="112">
        <f t="shared" si="15"/>
        <v>-2.5773142621801029E-5</v>
      </c>
      <c r="O41" s="112">
        <f>SUM(SAP_Speadsheet!$E$68:$P$68)</f>
        <v>-2.5773142621801029E-5</v>
      </c>
      <c r="P41" s="112">
        <f>SUM(SAP_Speadsheet!$Q$68:$AB$68)</f>
        <v>0</v>
      </c>
      <c r="Q41" s="112">
        <f>SUM(SAP_Speadsheet!$AC$68:$AN$68)</f>
        <v>0</v>
      </c>
      <c r="R41" s="112">
        <f>SUM(SAP_Speadsheet!$AO$68:$AZ$68)</f>
        <v>0</v>
      </c>
      <c r="S41" s="112">
        <f>SUM(SAP_Speadsheet!$BA$68:$BF$68)</f>
        <v>0</v>
      </c>
      <c r="T41" s="113">
        <f t="shared" si="16"/>
        <v>-1.0573054376542828E-4</v>
      </c>
      <c r="U41" s="113">
        <f t="shared" si="17"/>
        <v>-7.4189729509074433E-6</v>
      </c>
      <c r="V41" s="156"/>
      <c r="W41" s="92"/>
      <c r="X41" s="157"/>
    </row>
    <row r="42" spans="1:24" s="42" customFormat="1" ht="11" x14ac:dyDescent="0.15">
      <c r="A42" s="56"/>
      <c r="C42" s="42" t="s">
        <v>122</v>
      </c>
      <c r="E42" s="177"/>
      <c r="F42" s="153" t="s">
        <v>230</v>
      </c>
      <c r="K42" s="111" t="s">
        <v>234</v>
      </c>
      <c r="N42" s="172">
        <f t="shared" si="15"/>
        <v>-5.8983979650657083E-2</v>
      </c>
      <c r="O42" s="172">
        <f>SUM(SAP_Speadsheet!$E$69:$P$69)</f>
        <v>-5.8983979650657083E-2</v>
      </c>
      <c r="P42" s="172">
        <f>SUM(SAP_Speadsheet!$Q$69:$AB$69)</f>
        <v>0</v>
      </c>
      <c r="Q42" s="172">
        <f>SUM(SAP_Speadsheet!$AC$69:$AN$69)</f>
        <v>0</v>
      </c>
      <c r="R42" s="172">
        <f>SUM(SAP_Speadsheet!$AO$69:$AZ$69)</f>
        <v>0</v>
      </c>
      <c r="S42" s="172">
        <f>SUM(SAP_Speadsheet!$BA$69:$BF$69)</f>
        <v>0</v>
      </c>
      <c r="T42" s="113">
        <f t="shared" si="16"/>
        <v>-0.2419731397690581</v>
      </c>
      <c r="U42" s="113">
        <f t="shared" si="17"/>
        <v>-1.6978936406262763E-2</v>
      </c>
      <c r="V42" s="156"/>
      <c r="W42" s="92"/>
      <c r="X42" s="157"/>
    </row>
    <row r="43" spans="1:24" s="42" customFormat="1" ht="11" x14ac:dyDescent="0.15">
      <c r="A43" s="56"/>
      <c r="F43" s="153"/>
      <c r="K43" s="111" t="s">
        <v>235</v>
      </c>
      <c r="L43" s="173"/>
      <c r="N43" s="112">
        <f t="shared" si="15"/>
        <v>-6.246361931839489E-4</v>
      </c>
      <c r="O43" s="112">
        <f>SUM(SAP_Speadsheet!$E$78:$P$78)</f>
        <v>-6.246361931839489E-4</v>
      </c>
      <c r="P43" s="112">
        <f>SUM(SAP_Speadsheet!$Q$78:$AB$78)</f>
        <v>0</v>
      </c>
      <c r="Q43" s="112">
        <f>SUM(SAP_Speadsheet!$AC$78:$AN$78)</f>
        <v>0</v>
      </c>
      <c r="R43" s="112">
        <f>SUM(SAP_Speadsheet!$AO$78:$AZ$78)</f>
        <v>0</v>
      </c>
      <c r="S43" s="112">
        <f>SUM(SAP_Speadsheet!$BA$78:$BF$78)</f>
        <v>0</v>
      </c>
      <c r="T43" s="113">
        <f t="shared" si="16"/>
        <v>-2.5624785199862029E-3</v>
      </c>
      <c r="U43" s="113">
        <f t="shared" si="17"/>
        <v>-1.7980574155786354E-4</v>
      </c>
      <c r="V43" s="156"/>
      <c r="W43" s="92"/>
      <c r="X43" s="157"/>
    </row>
    <row r="44" spans="1:24" s="42" customFormat="1" ht="11" x14ac:dyDescent="0.15">
      <c r="A44" s="56"/>
      <c r="C44" s="42" t="s">
        <v>124</v>
      </c>
      <c r="D44" s="89"/>
      <c r="E44" s="152"/>
      <c r="F44" s="153" t="s">
        <v>223</v>
      </c>
      <c r="I44" s="184"/>
      <c r="J44" s="156"/>
      <c r="K44" s="182" t="s">
        <v>216</v>
      </c>
      <c r="L44" s="173"/>
      <c r="N44" s="101">
        <f t="shared" si="15"/>
        <v>-1.8614427784425423E-2</v>
      </c>
      <c r="O44" s="101">
        <f>SUM(O45:O46)</f>
        <v>-1.8614427784425423E-2</v>
      </c>
      <c r="P44" s="101">
        <f>SUM(P45:P46)</f>
        <v>0</v>
      </c>
      <c r="Q44" s="101">
        <f>SUM(Q45:Q46)</f>
        <v>0</v>
      </c>
      <c r="R44" s="101">
        <f>SUM(R45:R46)</f>
        <v>0</v>
      </c>
      <c r="S44" s="101">
        <f>SUM(S45:S46)</f>
        <v>0</v>
      </c>
      <c r="T44" s="108">
        <f t="shared" si="16"/>
        <v>-7.6362964362165317E-2</v>
      </c>
      <c r="U44" s="108">
        <f t="shared" si="17"/>
        <v>-5.3582885973888173E-3</v>
      </c>
      <c r="V44" s="156"/>
      <c r="W44" s="92"/>
      <c r="X44" s="157"/>
    </row>
    <row r="45" spans="1:24" s="42" customFormat="1" ht="11" x14ac:dyDescent="0.15">
      <c r="A45" s="56"/>
      <c r="E45" s="159">
        <f>DATA!C113</f>
        <v>7.4189729509074433E-6</v>
      </c>
      <c r="F45" s="153" t="s">
        <v>225</v>
      </c>
      <c r="I45" s="184"/>
      <c r="J45" s="156"/>
      <c r="K45" s="111" t="s">
        <v>236</v>
      </c>
      <c r="N45" s="112">
        <f t="shared" si="15"/>
        <v>-1.0614427784425421E-2</v>
      </c>
      <c r="O45" s="112">
        <f>SUM(SAP_Speadsheet!$E$81:$P$81)</f>
        <v>-1.0614427784425421E-2</v>
      </c>
      <c r="P45" s="112">
        <f>SUM(SAP_Speadsheet!$Q$81:$AB$81)</f>
        <v>0</v>
      </c>
      <c r="Q45" s="112">
        <f>SUM(SAP_Speadsheet!$AC$81:$AN$81)</f>
        <v>0</v>
      </c>
      <c r="R45" s="112">
        <f>SUM(SAP_Speadsheet!$AO$81:$AZ$81)</f>
        <v>0</v>
      </c>
      <c r="S45" s="112">
        <f>SUM(SAP_Speadsheet!$BA$81:$BF$81)</f>
        <v>0</v>
      </c>
      <c r="T45" s="113">
        <f t="shared" si="16"/>
        <v>-4.3544135764680206E-2</v>
      </c>
      <c r="U45" s="113">
        <f t="shared" si="17"/>
        <v>-3.0554346350996019E-3</v>
      </c>
      <c r="V45" s="156"/>
      <c r="W45" s="92"/>
      <c r="X45" s="157"/>
    </row>
    <row r="46" spans="1:24" s="42" customFormat="1" ht="11" x14ac:dyDescent="0.15">
      <c r="A46" s="56"/>
      <c r="F46" s="153"/>
      <c r="I46" s="184"/>
      <c r="J46" s="156"/>
      <c r="K46" s="111" t="s">
        <v>237</v>
      </c>
      <c r="N46" s="112">
        <f t="shared" si="15"/>
        <v>-8.0000000000000002E-3</v>
      </c>
      <c r="O46" s="112">
        <f>SUM(SAP_Speadsheet!$E$82:$P$82)</f>
        <v>-8.0000000000000002E-3</v>
      </c>
      <c r="P46" s="112">
        <f>SUM(SAP_Speadsheet!$Q$82:$AB$82)</f>
        <v>0</v>
      </c>
      <c r="Q46" s="112">
        <f>SUM(SAP_Speadsheet!$AC$82:$AN$82)</f>
        <v>0</v>
      </c>
      <c r="R46" s="112">
        <f>SUM(SAP_Speadsheet!$AO$82:$AZ$82)</f>
        <v>0</v>
      </c>
      <c r="S46" s="112">
        <f>SUM(SAP_Speadsheet!$BA$82:$BF$82)</f>
        <v>0</v>
      </c>
      <c r="T46" s="113">
        <f t="shared" si="16"/>
        <v>-3.2818828597485118E-2</v>
      </c>
      <c r="U46" s="113">
        <f t="shared" si="17"/>
        <v>-2.302853962289215E-3</v>
      </c>
      <c r="V46" s="156"/>
      <c r="W46" s="92"/>
      <c r="X46" s="157"/>
    </row>
    <row r="47" spans="1:24" s="42" customFormat="1" ht="11" x14ac:dyDescent="0.15">
      <c r="A47" s="56"/>
      <c r="C47" s="174" t="s">
        <v>129</v>
      </c>
      <c r="F47" s="153"/>
      <c r="I47" s="184"/>
      <c r="J47" s="156"/>
      <c r="K47" s="182" t="s">
        <v>238</v>
      </c>
      <c r="N47" s="101">
        <f t="shared" si="15"/>
        <v>-7.5830034439315994E-3</v>
      </c>
      <c r="O47" s="101">
        <f>SUM(O48:O50)</f>
        <v>-7.5830034439315994E-3</v>
      </c>
      <c r="P47" s="101">
        <f>SUM(P48:P50)</f>
        <v>0</v>
      </c>
      <c r="Q47" s="101">
        <f>SUM(Q48:Q50)</f>
        <v>0</v>
      </c>
      <c r="R47" s="101">
        <f>SUM(R48:R50)</f>
        <v>0</v>
      </c>
      <c r="S47" s="101">
        <f>SUM(S48:S50)</f>
        <v>0</v>
      </c>
      <c r="T47" s="108">
        <f t="shared" si="16"/>
        <v>-3.1108161285066317E-2</v>
      </c>
      <c r="U47" s="108">
        <f t="shared" si="17"/>
        <v>-2.182818690863831E-3</v>
      </c>
      <c r="V47" s="156"/>
      <c r="W47" s="92"/>
      <c r="X47" s="157"/>
    </row>
    <row r="48" spans="1:24" s="42" customFormat="1" ht="11" x14ac:dyDescent="0.15">
      <c r="A48" s="56"/>
      <c r="C48" s="185"/>
      <c r="D48" s="89"/>
      <c r="E48" s="186"/>
      <c r="F48" s="153"/>
      <c r="G48" s="178"/>
      <c r="H48" s="176"/>
      <c r="J48" s="156"/>
      <c r="K48" s="111" t="s">
        <v>239</v>
      </c>
      <c r="N48" s="112">
        <f t="shared" si="15"/>
        <v>-6.5830034439315994E-3</v>
      </c>
      <c r="O48" s="112">
        <f>SUM(SAP_Speadsheet!$E$88:$P$88)</f>
        <v>-6.5830034439315994E-3</v>
      </c>
      <c r="P48" s="112">
        <f>SUM(SAP_Speadsheet!$Q$88:$AB$88)</f>
        <v>0</v>
      </c>
      <c r="Q48" s="112">
        <f>SUM(SAP_Speadsheet!$AC$88:$AN$88)</f>
        <v>0</v>
      </c>
      <c r="R48" s="112">
        <f>SUM(SAP_Speadsheet!$AO$88:$AZ$88)</f>
        <v>0</v>
      </c>
      <c r="S48" s="112">
        <f>SUM(SAP_Speadsheet!$BA$88:$BF$88)</f>
        <v>0</v>
      </c>
      <c r="T48" s="113">
        <f t="shared" si="16"/>
        <v>-2.7005807710380674E-2</v>
      </c>
      <c r="U48" s="113">
        <f t="shared" si="17"/>
        <v>-1.894961945577679E-3</v>
      </c>
      <c r="V48" s="156"/>
      <c r="W48" s="92"/>
      <c r="X48" s="157"/>
    </row>
    <row r="49" spans="1:24" s="42" customFormat="1" ht="11" x14ac:dyDescent="0.15">
      <c r="A49" s="56"/>
      <c r="C49" s="42" t="s">
        <v>129</v>
      </c>
      <c r="D49" s="89"/>
      <c r="E49" s="152">
        <f>DATA!G100</f>
        <v>6.246361931839489E-4</v>
      </c>
      <c r="F49" s="153" t="s">
        <v>223</v>
      </c>
      <c r="G49" s="178"/>
      <c r="H49" s="179"/>
      <c r="J49" s="156"/>
      <c r="K49" s="111" t="s">
        <v>240</v>
      </c>
      <c r="N49" s="112">
        <f t="shared" si="15"/>
        <v>0</v>
      </c>
      <c r="O49" s="112">
        <f>SUM(SAP_Speadsheet!$E$89:$P$89)</f>
        <v>0</v>
      </c>
      <c r="P49" s="112">
        <f>SUM(SAP_Speadsheet!$Q$89:$AB$89)</f>
        <v>0</v>
      </c>
      <c r="Q49" s="112">
        <f>SUM(SAP_Speadsheet!$AC$89:$AN$89)</f>
        <v>0</v>
      </c>
      <c r="R49" s="112">
        <f>SUM(SAP_Speadsheet!$AO$89:$AZ$89)</f>
        <v>0</v>
      </c>
      <c r="S49" s="112">
        <f>SUM(SAP_Speadsheet!$BA$89:$BF$89)</f>
        <v>0</v>
      </c>
      <c r="T49" s="113">
        <f t="shared" si="16"/>
        <v>0</v>
      </c>
      <c r="U49" s="113">
        <f t="shared" si="17"/>
        <v>0</v>
      </c>
      <c r="V49" s="156"/>
      <c r="W49" s="92"/>
      <c r="X49" s="157"/>
    </row>
    <row r="50" spans="1:24" s="42" customFormat="1" ht="11" x14ac:dyDescent="0.15">
      <c r="A50" s="56"/>
      <c r="C50" s="187"/>
      <c r="F50" s="153"/>
      <c r="J50" s="156"/>
      <c r="K50" s="111" t="s">
        <v>147</v>
      </c>
      <c r="L50" s="173"/>
      <c r="N50" s="112">
        <f t="shared" si="15"/>
        <v>-1E-3</v>
      </c>
      <c r="O50" s="112">
        <f>SUM(SAP_Speadsheet!$E$91:$P$91)</f>
        <v>-1E-3</v>
      </c>
      <c r="P50" s="112">
        <f>SUM(SAP_Speadsheet!$Q$91:$AB$91)</f>
        <v>0</v>
      </c>
      <c r="Q50" s="112">
        <f>SUM(SAP_Speadsheet!$AC$91:$AN$91)</f>
        <v>0</v>
      </c>
      <c r="R50" s="112">
        <f>SUM(SAP_Speadsheet!$AO$91:$AZ$91)</f>
        <v>0</v>
      </c>
      <c r="S50" s="112">
        <f>SUM(SAP_Speadsheet!$BA$91:$BF$91)</f>
        <v>0</v>
      </c>
      <c r="T50" s="113">
        <f t="shared" si="16"/>
        <v>-4.1023535746856398E-3</v>
      </c>
      <c r="U50" s="113">
        <f t="shared" si="17"/>
        <v>-2.8785674528615187E-4</v>
      </c>
      <c r="V50" s="156"/>
      <c r="W50" s="92"/>
      <c r="X50" s="157"/>
    </row>
    <row r="51" spans="1:24" s="42" customFormat="1" ht="11" x14ac:dyDescent="0.15">
      <c r="A51" s="56"/>
      <c r="B51" s="55" t="s">
        <v>131</v>
      </c>
      <c r="C51" s="42" t="s">
        <v>132</v>
      </c>
      <c r="D51" s="89"/>
      <c r="E51" s="188">
        <f>DATA!G101*Leadsheet!E54*Leadsheet!E55</f>
        <v>4.5194535197637933E-3</v>
      </c>
      <c r="F51" s="153" t="s">
        <v>241</v>
      </c>
      <c r="G51" s="189"/>
      <c r="H51" s="179"/>
      <c r="J51" s="156"/>
      <c r="K51" s="182" t="s">
        <v>242</v>
      </c>
      <c r="N51" s="101">
        <f t="shared" si="15"/>
        <v>-6.4646964276037999E-2</v>
      </c>
      <c r="O51" s="101">
        <f>SUM(O52:O55)</f>
        <v>-6.4646964276037999E-2</v>
      </c>
      <c r="P51" s="101">
        <f>SUM(P52:P55)</f>
        <v>0</v>
      </c>
      <c r="Q51" s="101">
        <f>SUM(Q52:Q55)</f>
        <v>0</v>
      </c>
      <c r="R51" s="101">
        <f>SUM(R52:R55)</f>
        <v>0</v>
      </c>
      <c r="S51" s="101">
        <f>SUM(S52:S55)</f>
        <v>0</v>
      </c>
      <c r="T51" s="108">
        <f t="shared" si="16"/>
        <v>-0.26520470499037929</v>
      </c>
      <c r="U51" s="108">
        <f t="shared" si="17"/>
        <v>-1.8609064729130431E-2</v>
      </c>
      <c r="V51" s="156"/>
      <c r="W51" s="92"/>
      <c r="X51" s="157"/>
    </row>
    <row r="52" spans="1:24" s="42" customFormat="1" ht="11" x14ac:dyDescent="0.15">
      <c r="A52" s="56"/>
      <c r="B52" s="55"/>
      <c r="C52" s="42" t="s">
        <v>134</v>
      </c>
      <c r="D52" s="89"/>
      <c r="E52" s="188"/>
      <c r="F52" s="153" t="s">
        <v>243</v>
      </c>
      <c r="G52" s="189"/>
      <c r="J52" s="156"/>
      <c r="K52" s="111" t="s">
        <v>152</v>
      </c>
      <c r="N52" s="112">
        <f t="shared" si="15"/>
        <v>-2.0090012189669309E-2</v>
      </c>
      <c r="O52" s="112">
        <f>SUM(SAP_Speadsheet!$E$96:$P$96)</f>
        <v>-2.0090012189669309E-2</v>
      </c>
      <c r="P52" s="112">
        <f>SUM(SAP_Speadsheet!$Q$96:$AB$96)</f>
        <v>0</v>
      </c>
      <c r="Q52" s="112">
        <f>SUM(SAP_Speadsheet!$AC$96:$AN$96)</f>
        <v>0</v>
      </c>
      <c r="R52" s="112">
        <f>SUM(SAP_Speadsheet!$AO$96:$AZ$96)</f>
        <v>0</v>
      </c>
      <c r="S52" s="112">
        <f>SUM(SAP_Speadsheet!$BA$96:$BF$96)</f>
        <v>0</v>
      </c>
      <c r="T52" s="113">
        <f t="shared" si="16"/>
        <v>-8.2416333321767954E-2</v>
      </c>
      <c r="U52" s="113">
        <f>N52/$E$10</f>
        <v>-5.7830455216773243E-3</v>
      </c>
      <c r="V52" s="156"/>
      <c r="W52" s="92"/>
      <c r="X52" s="157"/>
    </row>
    <row r="53" spans="1:24" s="42" customFormat="1" ht="11" x14ac:dyDescent="0.15">
      <c r="A53" s="56"/>
      <c r="C53" s="42" t="s">
        <v>136</v>
      </c>
      <c r="D53" s="89"/>
      <c r="E53" s="188">
        <v>8.0000000000000002E-3</v>
      </c>
      <c r="F53" s="153" t="s">
        <v>243</v>
      </c>
      <c r="G53" s="179"/>
      <c r="H53" s="179"/>
      <c r="I53" s="190"/>
      <c r="J53" s="89"/>
      <c r="K53" s="111" t="s">
        <v>244</v>
      </c>
      <c r="N53" s="112">
        <f>SUM(O53:S53)</f>
        <v>-1.1815846505735611E-2</v>
      </c>
      <c r="O53" s="112">
        <f>SUM(SAP_Speadsheet!$E$97:$P$97)</f>
        <v>-1.1815846505735611E-2</v>
      </c>
      <c r="P53" s="112">
        <f>SUM(SAP_Speadsheet!$Q$97:$AB$97)</f>
        <v>0</v>
      </c>
      <c r="Q53" s="112">
        <f>SUM(SAP_Speadsheet!$AC$97:$AN$97)</f>
        <v>0</v>
      </c>
      <c r="R53" s="112">
        <f>SUM(SAP_Speadsheet!$AO$97:$AZ$97)</f>
        <v>0</v>
      </c>
      <c r="S53" s="112">
        <f>SUM(SAP_Speadsheet!$BA$97:$BF$97)</f>
        <v>0</v>
      </c>
      <c r="T53" s="113">
        <f t="shared" si="16"/>
        <v>-4.8472780150741315E-2</v>
      </c>
      <c r="U53" s="113">
        <f>N53/$E$10</f>
        <v>-3.4012711179418034E-3</v>
      </c>
      <c r="V53" s="156"/>
      <c r="W53" s="92"/>
    </row>
    <row r="54" spans="1:24" s="42" customFormat="1" ht="11.25" customHeight="1" x14ac:dyDescent="0.15">
      <c r="A54" s="56"/>
      <c r="C54" s="42" t="s">
        <v>138</v>
      </c>
      <c r="D54" s="89"/>
      <c r="E54" s="191">
        <f>DATA!D19</f>
        <v>0.45200000000000001</v>
      </c>
      <c r="F54" s="153" t="s">
        <v>245</v>
      </c>
      <c r="G54" s="192"/>
      <c r="H54" s="179"/>
      <c r="I54" s="190"/>
      <c r="J54" s="89"/>
      <c r="K54" s="111" t="s">
        <v>156</v>
      </c>
      <c r="N54" s="112">
        <f t="shared" si="15"/>
        <v>-1.5590188276446888E-2</v>
      </c>
      <c r="O54" s="112">
        <f>SUM(SAP_Speadsheet!$E$98:$P$98)</f>
        <v>-1.5590188276446888E-2</v>
      </c>
      <c r="P54" s="112">
        <f>SUM(SAP_Speadsheet!$Q$98:$AB$98)</f>
        <v>0</v>
      </c>
      <c r="Q54" s="112">
        <f>SUM(SAP_Speadsheet!$AC$98:$AN$98)</f>
        <v>0</v>
      </c>
      <c r="R54" s="112">
        <f>SUM(SAP_Speadsheet!$AO$98:$AZ$98)</f>
        <v>0</v>
      </c>
      <c r="S54" s="112">
        <f>SUM(SAP_Speadsheet!$BA$98:$BF$98)</f>
        <v>0</v>
      </c>
      <c r="T54" s="113">
        <f t="shared" si="16"/>
        <v>-6.395646460590404E-2</v>
      </c>
      <c r="U54" s="113">
        <f>N54/$E$10</f>
        <v>-4.4877408556563232E-3</v>
      </c>
      <c r="V54" s="156"/>
      <c r="W54" s="92"/>
    </row>
    <row r="55" spans="1:24" s="42" customFormat="1" ht="11.25" customHeight="1" x14ac:dyDescent="0.15">
      <c r="A55" s="56"/>
      <c r="C55" s="42" t="s">
        <v>141</v>
      </c>
      <c r="D55" s="89"/>
      <c r="E55" s="191">
        <f>DATA!D20</f>
        <v>0.94199999999999995</v>
      </c>
      <c r="F55" s="153" t="s">
        <v>246</v>
      </c>
      <c r="G55" s="193"/>
      <c r="H55" s="179"/>
      <c r="I55" s="190"/>
      <c r="J55" s="89"/>
      <c r="K55" s="111" t="s">
        <v>247</v>
      </c>
      <c r="N55" s="112">
        <f t="shared" si="15"/>
        <v>-1.7150917304186188E-2</v>
      </c>
      <c r="O55" s="112">
        <f>SUM(SAP_Speadsheet!$E$99:$P$99)</f>
        <v>-1.7150917304186188E-2</v>
      </c>
      <c r="P55" s="112">
        <f>SUM(SAP_Speadsheet!$Q$99:$AB$99)</f>
        <v>0</v>
      </c>
      <c r="Q55" s="112">
        <f>SUM(SAP_Speadsheet!$AC$99:$AN$99)</f>
        <v>0</v>
      </c>
      <c r="R55" s="112">
        <f>SUM(SAP_Speadsheet!$AO$99:$AZ$99)</f>
        <v>0</v>
      </c>
      <c r="S55" s="112">
        <f>SUM(SAP_Speadsheet!$BA$99:$BF$99)</f>
        <v>0</v>
      </c>
      <c r="T55" s="113">
        <f t="shared" si="16"/>
        <v>-7.0359126911966011E-2</v>
      </c>
      <c r="U55" s="113">
        <f>N55/$E$10</f>
        <v>-4.9370072338549781E-3</v>
      </c>
      <c r="V55" s="156"/>
      <c r="W55" s="92"/>
    </row>
    <row r="56" spans="1:24" s="173" customFormat="1" ht="11.25" customHeight="1" x14ac:dyDescent="0.15">
      <c r="A56" s="56"/>
      <c r="B56" s="42"/>
      <c r="C56" s="42"/>
      <c r="D56" s="42"/>
      <c r="E56" s="42"/>
      <c r="F56" s="153"/>
      <c r="G56" s="42"/>
      <c r="H56" s="192"/>
      <c r="I56" s="163"/>
      <c r="J56" s="181"/>
      <c r="K56" s="55" t="s">
        <v>220</v>
      </c>
      <c r="M56" s="42"/>
      <c r="N56" s="101">
        <f t="shared" si="15"/>
        <v>4.8756586292396528E-2</v>
      </c>
      <c r="O56" s="101">
        <f>SUM(SAP_Speadsheet!$E$181:$P$181)</f>
        <v>4.8756586292396528E-2</v>
      </c>
      <c r="P56" s="101">
        <f>SUM(SAP_Speadsheet!$Q$181:$AB$181)</f>
        <v>0</v>
      </c>
      <c r="Q56" s="101">
        <f>SUM(SAP_Speadsheet!$AC$181:$AN$181)</f>
        <v>0</v>
      </c>
      <c r="R56" s="101">
        <f>SUM(SAP_Speadsheet!$AO$181:$AZ$181)</f>
        <v>0</v>
      </c>
      <c r="S56" s="101">
        <f>SUM(SAP_Speadsheet!$BA$181:$BF$181)</f>
        <v>0</v>
      </c>
      <c r="T56" s="108">
        <f t="shared" si="16"/>
        <v>0.20001675606608177</v>
      </c>
      <c r="U56" s="108">
        <f>N56/$E$10</f>
        <v>1.4034912241392672E-2</v>
      </c>
      <c r="V56" s="156"/>
      <c r="W56" s="92"/>
    </row>
    <row r="57" spans="1:24" s="42" customFormat="1" ht="11.25" customHeight="1" x14ac:dyDescent="0.15">
      <c r="A57" s="56" t="s">
        <v>248</v>
      </c>
      <c r="B57" s="55" t="s">
        <v>144</v>
      </c>
      <c r="C57" s="42" t="s">
        <v>145</v>
      </c>
      <c r="D57" s="89"/>
      <c r="E57" s="194">
        <v>5.0000000000000001E-3</v>
      </c>
      <c r="F57" s="153" t="s">
        <v>249</v>
      </c>
      <c r="G57" s="189"/>
      <c r="H57" s="179"/>
      <c r="I57" s="190"/>
      <c r="J57" s="89"/>
      <c r="V57" s="156"/>
      <c r="W57" s="92"/>
    </row>
    <row r="58" spans="1:24" s="42" customFormat="1" ht="11.25" customHeight="1" x14ac:dyDescent="0.15">
      <c r="A58" s="56"/>
      <c r="C58" s="185" t="s">
        <v>250</v>
      </c>
      <c r="D58" s="89"/>
      <c r="E58" s="195"/>
      <c r="F58" s="153" t="s">
        <v>249</v>
      </c>
      <c r="G58" s="189"/>
      <c r="H58" s="179"/>
      <c r="I58" s="163"/>
      <c r="V58" s="156"/>
      <c r="W58" s="92"/>
    </row>
    <row r="59" spans="1:24" s="42" customFormat="1" ht="11.25" customHeight="1" x14ac:dyDescent="0.15">
      <c r="A59" s="56" t="s">
        <v>251</v>
      </c>
      <c r="C59" s="185" t="s">
        <v>252</v>
      </c>
      <c r="D59" s="89"/>
      <c r="E59" s="196"/>
      <c r="F59" s="153" t="s">
        <v>253</v>
      </c>
      <c r="G59" s="189"/>
      <c r="H59" s="179"/>
      <c r="I59" s="89"/>
      <c r="J59" s="89"/>
      <c r="V59" s="89"/>
    </row>
    <row r="60" spans="1:24" s="42" customFormat="1" ht="11.25" customHeight="1" x14ac:dyDescent="0.15">
      <c r="A60" s="56" t="s">
        <v>254</v>
      </c>
      <c r="C60" s="185" t="s">
        <v>255</v>
      </c>
      <c r="D60" s="89"/>
      <c r="E60" s="196"/>
      <c r="F60" s="153" t="s">
        <v>253</v>
      </c>
      <c r="G60" s="189"/>
      <c r="H60" s="179"/>
      <c r="I60" s="89"/>
      <c r="J60" s="89"/>
      <c r="V60" s="89"/>
    </row>
    <row r="61" spans="1:24" s="42" customFormat="1" ht="11.25" customHeight="1" x14ac:dyDescent="0.15">
      <c r="A61" s="56" t="s">
        <v>256</v>
      </c>
      <c r="C61" s="185" t="s">
        <v>257</v>
      </c>
      <c r="D61" s="89"/>
      <c r="E61" s="196"/>
      <c r="F61" s="153" t="s">
        <v>253</v>
      </c>
      <c r="G61" s="189"/>
      <c r="H61" s="179"/>
      <c r="J61" s="89"/>
      <c r="V61" s="89"/>
    </row>
    <row r="62" spans="1:24" s="42" customFormat="1" ht="11" x14ac:dyDescent="0.15">
      <c r="A62" s="56" t="s">
        <v>258</v>
      </c>
      <c r="F62" s="153"/>
      <c r="I62" s="89"/>
      <c r="V62" s="89"/>
    </row>
    <row r="63" spans="1:24" s="42" customFormat="1" ht="11" x14ac:dyDescent="0.15">
      <c r="A63" s="56"/>
      <c r="B63" s="55" t="s">
        <v>147</v>
      </c>
      <c r="F63" s="153"/>
      <c r="I63" s="89"/>
      <c r="J63" s="89"/>
      <c r="K63" s="55"/>
      <c r="L63" s="55"/>
      <c r="M63" s="55"/>
      <c r="N63" s="197"/>
      <c r="O63" s="197"/>
      <c r="P63" s="197"/>
      <c r="Q63" s="197"/>
      <c r="R63" s="197"/>
      <c r="S63" s="197"/>
      <c r="T63" s="198"/>
      <c r="U63" s="199"/>
      <c r="V63" s="89"/>
    </row>
    <row r="64" spans="1:24" s="42" customFormat="1" ht="11" x14ac:dyDescent="0.15">
      <c r="A64" s="89"/>
      <c r="C64" s="42" t="s">
        <v>148</v>
      </c>
      <c r="E64" s="194">
        <v>1E-3</v>
      </c>
      <c r="F64" s="153" t="s">
        <v>249</v>
      </c>
      <c r="I64" s="89"/>
      <c r="J64" s="89"/>
      <c r="K64" s="55"/>
      <c r="L64" s="55"/>
      <c r="M64" s="55"/>
      <c r="N64" s="197"/>
      <c r="O64" s="197"/>
      <c r="P64" s="197"/>
      <c r="Q64" s="197"/>
      <c r="R64" s="197"/>
      <c r="S64" s="197"/>
      <c r="T64" s="198"/>
      <c r="U64" s="199"/>
      <c r="V64" s="89"/>
    </row>
    <row r="65" spans="1:22" s="42" customFormat="1" ht="11" x14ac:dyDescent="0.15">
      <c r="A65" s="89"/>
      <c r="F65" s="153"/>
      <c r="I65" s="89"/>
      <c r="J65" s="89"/>
      <c r="K65" s="55"/>
      <c r="L65" s="55"/>
      <c r="M65" s="55"/>
      <c r="N65" s="197"/>
      <c r="O65" s="197"/>
      <c r="P65" s="197"/>
      <c r="Q65" s="197"/>
      <c r="R65" s="197"/>
      <c r="S65" s="197"/>
      <c r="T65" s="198"/>
      <c r="U65" s="199"/>
      <c r="V65" s="89"/>
    </row>
    <row r="66" spans="1:22" s="42" customFormat="1" ht="11" x14ac:dyDescent="0.15">
      <c r="A66" s="89"/>
      <c r="F66" s="153"/>
      <c r="I66" s="89"/>
      <c r="J66" s="89"/>
      <c r="K66" s="55"/>
      <c r="L66" s="55"/>
      <c r="M66" s="55"/>
      <c r="N66" s="197"/>
      <c r="O66" s="197"/>
      <c r="P66" s="197"/>
      <c r="Q66" s="197"/>
      <c r="R66" s="197"/>
      <c r="S66" s="197"/>
      <c r="T66" s="198"/>
      <c r="U66" s="199"/>
      <c r="V66" s="89"/>
    </row>
    <row r="67" spans="1:22" s="42" customFormat="1" ht="11" x14ac:dyDescent="0.15">
      <c r="A67" s="89"/>
      <c r="B67" s="55" t="s">
        <v>150</v>
      </c>
      <c r="C67" s="42" t="s">
        <v>152</v>
      </c>
      <c r="D67" s="89"/>
      <c r="E67" s="200">
        <v>2.0090012189669309E-2</v>
      </c>
      <c r="F67" s="153" t="s">
        <v>249</v>
      </c>
      <c r="I67" s="89"/>
      <c r="J67" s="89"/>
      <c r="K67" s="55"/>
      <c r="L67" s="55"/>
      <c r="M67" s="55"/>
      <c r="N67" s="197"/>
      <c r="O67" s="197"/>
      <c r="P67" s="197"/>
      <c r="Q67" s="197"/>
      <c r="R67" s="201"/>
      <c r="S67" s="197"/>
      <c r="T67" s="198"/>
      <c r="U67" s="161"/>
      <c r="V67" s="89"/>
    </row>
    <row r="68" spans="1:22" s="42" customFormat="1" ht="11" x14ac:dyDescent="0.15">
      <c r="A68" s="56"/>
      <c r="B68" s="55"/>
      <c r="C68" s="42" t="s">
        <v>154</v>
      </c>
      <c r="E68" s="200">
        <v>1.1815846505735611E-2</v>
      </c>
      <c r="F68" s="153" t="s">
        <v>249</v>
      </c>
      <c r="G68" s="189"/>
      <c r="I68" s="89"/>
      <c r="J68" s="89"/>
      <c r="K68" s="55"/>
      <c r="L68" s="55"/>
      <c r="M68" s="55"/>
      <c r="N68" s="197"/>
      <c r="O68" s="197"/>
      <c r="P68" s="197"/>
      <c r="Q68" s="197"/>
      <c r="R68" s="201"/>
      <c r="S68" s="197"/>
      <c r="T68" s="198"/>
      <c r="U68" s="161"/>
      <c r="V68" s="89"/>
    </row>
    <row r="69" spans="1:22" s="42" customFormat="1" ht="11" x14ac:dyDescent="0.15">
      <c r="A69" s="56"/>
      <c r="B69" s="55"/>
      <c r="C69" s="42" t="s">
        <v>156</v>
      </c>
      <c r="D69" s="89"/>
      <c r="E69" s="200">
        <v>1.5590188276446888E-2</v>
      </c>
      <c r="F69" s="153" t="s">
        <v>249</v>
      </c>
      <c r="G69" s="189"/>
      <c r="I69" s="89"/>
      <c r="J69" s="89"/>
      <c r="K69" s="55"/>
      <c r="L69" s="55"/>
      <c r="M69" s="55"/>
      <c r="N69" s="197"/>
      <c r="O69" s="197"/>
      <c r="P69" s="197"/>
      <c r="Q69" s="197"/>
      <c r="R69" s="201"/>
      <c r="S69" s="197"/>
      <c r="T69" s="198"/>
      <c r="U69" s="161"/>
      <c r="V69" s="89"/>
    </row>
    <row r="70" spans="1:22" s="42" customFormat="1" ht="11" x14ac:dyDescent="0.15">
      <c r="A70" s="56"/>
      <c r="B70" s="55"/>
      <c r="C70" s="42" t="s">
        <v>158</v>
      </c>
      <c r="D70" s="89"/>
      <c r="E70" s="200">
        <v>1.7150917304186188E-2</v>
      </c>
      <c r="F70" s="153" t="s">
        <v>249</v>
      </c>
      <c r="G70" s="189"/>
      <c r="I70" s="89"/>
      <c r="J70" s="89"/>
      <c r="K70" s="55"/>
      <c r="L70" s="55"/>
      <c r="M70" s="55"/>
      <c r="N70" s="197"/>
      <c r="O70" s="197"/>
      <c r="P70" s="197"/>
      <c r="Q70" s="197"/>
      <c r="R70" s="201"/>
      <c r="S70" s="197"/>
      <c r="T70" s="198"/>
      <c r="U70" s="161"/>
      <c r="V70" s="89"/>
    </row>
    <row r="71" spans="1:22" s="42" customFormat="1" ht="11" x14ac:dyDescent="0.15">
      <c r="A71" s="56"/>
      <c r="J71" s="89"/>
      <c r="U71" s="161"/>
      <c r="V71" s="89"/>
    </row>
    <row r="72" spans="1:22" s="42" customFormat="1" ht="11" x14ac:dyDescent="0.15">
      <c r="A72" s="56" t="s">
        <v>259</v>
      </c>
      <c r="D72" s="89"/>
      <c r="J72" s="89"/>
      <c r="U72" s="93"/>
      <c r="V72" s="89"/>
    </row>
    <row r="73" spans="1:22" s="42" customFormat="1" ht="14" thickBot="1" x14ac:dyDescent="0.2">
      <c r="A73" s="56"/>
      <c r="B73" s="50" t="s">
        <v>160</v>
      </c>
      <c r="C73" s="51"/>
      <c r="D73" s="49"/>
      <c r="E73" s="51"/>
      <c r="F73" s="51"/>
      <c r="G73" s="51"/>
      <c r="H73" s="51"/>
      <c r="I73" s="49"/>
      <c r="J73" s="80"/>
      <c r="K73" s="73"/>
      <c r="L73" s="73"/>
      <c r="M73" s="73"/>
      <c r="N73" s="73"/>
      <c r="O73" s="73"/>
      <c r="P73" s="73"/>
      <c r="Q73" s="73"/>
      <c r="R73" s="73"/>
      <c r="S73" s="73"/>
      <c r="T73" s="96"/>
      <c r="U73" s="93"/>
      <c r="V73" s="89"/>
    </row>
    <row r="74" spans="1:22" s="42" customFormat="1" ht="13" thickTop="1" x14ac:dyDescent="0.15">
      <c r="A74" s="56"/>
      <c r="B74" s="96"/>
      <c r="C74" s="96"/>
      <c r="D74" s="80"/>
      <c r="E74" s="96"/>
      <c r="F74" s="73"/>
      <c r="G74" s="96"/>
      <c r="H74" s="73"/>
      <c r="J74" s="163"/>
      <c r="L74" s="55"/>
      <c r="N74" s="55"/>
      <c r="P74" s="55"/>
      <c r="Q74" s="55"/>
      <c r="R74" s="55"/>
      <c r="S74" s="55"/>
      <c r="U74" s="93"/>
      <c r="V74" s="89"/>
    </row>
    <row r="75" spans="1:22" s="42" customFormat="1" ht="11" x14ac:dyDescent="0.15">
      <c r="A75" s="56"/>
      <c r="B75" s="202" t="s">
        <v>260</v>
      </c>
      <c r="C75" s="55"/>
      <c r="D75" s="203" t="s">
        <v>161</v>
      </c>
      <c r="E75" s="203" t="s">
        <v>13</v>
      </c>
      <c r="F75" s="203" t="s">
        <v>164</v>
      </c>
      <c r="G75" s="93"/>
      <c r="H75" s="204"/>
    </row>
    <row r="76" spans="1:22" s="42" customFormat="1" ht="11" x14ac:dyDescent="0.15">
      <c r="A76" s="68"/>
      <c r="B76" s="205"/>
      <c r="C76" s="55" t="s">
        <v>261</v>
      </c>
      <c r="D76" s="206">
        <v>7.5999999999999998E-2</v>
      </c>
      <c r="E76" s="207">
        <f>PRODUCT(D76:$D$89)</f>
        <v>5.0576499367561048E-2</v>
      </c>
      <c r="F76" s="208">
        <f>E76*(1-$E$95)*(1-$E$96)*(1-$E$97)*(1-$E$98)</f>
        <v>4.7126174626825987E-2</v>
      </c>
      <c r="G76" s="70"/>
      <c r="H76" s="209">
        <f>PRODUCT(D76:D79)</f>
        <v>5.186272077411961E-2</v>
      </c>
    </row>
    <row r="77" spans="1:22" s="42" customFormat="1" ht="11" x14ac:dyDescent="0.15">
      <c r="A77" s="56"/>
      <c r="B77" s="205"/>
      <c r="C77" s="55" t="s">
        <v>262</v>
      </c>
      <c r="D77" s="206">
        <f>DATA!F76</f>
        <v>0.77</v>
      </c>
      <c r="E77" s="207">
        <f>PRODUCT(D77:$D$89)</f>
        <v>0.66548025483632978</v>
      </c>
      <c r="F77" s="208">
        <f t="shared" ref="F77:F83" si="18">E77*(1-$E$95)*(1-$E$96)*(1-$E$97)*(1-$E$98)</f>
        <v>0.62008124508981566</v>
      </c>
      <c r="G77" s="70"/>
      <c r="H77" s="209"/>
    </row>
    <row r="78" spans="1:22" s="42" customFormat="1" ht="11" x14ac:dyDescent="0.15">
      <c r="A78" s="56"/>
      <c r="B78" s="205"/>
      <c r="C78" s="55" t="s">
        <v>263</v>
      </c>
      <c r="D78" s="206">
        <f>DATA!F77</f>
        <v>0.91364870894644545</v>
      </c>
      <c r="E78" s="207">
        <f>PRODUCT(D78:$D$89)</f>
        <v>0.86426007121601245</v>
      </c>
      <c r="F78" s="208">
        <f t="shared" si="18"/>
        <v>0.80530031829846171</v>
      </c>
      <c r="G78" s="70"/>
      <c r="H78" s="209"/>
    </row>
    <row r="79" spans="1:22" s="42" customFormat="1" ht="11" x14ac:dyDescent="0.15">
      <c r="A79" s="56"/>
      <c r="B79" s="205"/>
      <c r="C79" s="55" t="s">
        <v>264</v>
      </c>
      <c r="D79" s="206">
        <v>0.97</v>
      </c>
      <c r="E79" s="207">
        <f>PRODUCT(D79:$D$89)</f>
        <v>0.94594351499999985</v>
      </c>
      <c r="F79" s="208">
        <f t="shared" si="18"/>
        <v>0.88141132408218092</v>
      </c>
      <c r="G79" s="70"/>
      <c r="H79" s="209"/>
    </row>
    <row r="80" spans="1:22" s="42" customFormat="1" ht="11" x14ac:dyDescent="0.15">
      <c r="A80" s="56"/>
      <c r="B80" s="205"/>
      <c r="C80" s="55" t="s">
        <v>265</v>
      </c>
      <c r="D80" s="206">
        <v>0.99</v>
      </c>
      <c r="E80" s="207">
        <f>PRODUCT(D80:$D$89)</f>
        <v>0.9751995</v>
      </c>
      <c r="F80" s="208">
        <f t="shared" si="18"/>
        <v>0.90867146812596</v>
      </c>
      <c r="G80" s="70"/>
      <c r="H80" s="209"/>
    </row>
    <row r="81" spans="1:22" s="42" customFormat="1" ht="11" x14ac:dyDescent="0.15">
      <c r="A81" s="56"/>
      <c r="B81" s="205"/>
      <c r="C81" s="55" t="s">
        <v>266</v>
      </c>
      <c r="D81" s="206">
        <v>0.99</v>
      </c>
      <c r="E81" s="207">
        <f>PRODUCT(D81:$D$89)</f>
        <v>0.98504999999999998</v>
      </c>
      <c r="F81" s="208">
        <f t="shared" si="18"/>
        <v>0.91784996780400008</v>
      </c>
      <c r="G81" s="70"/>
      <c r="H81" s="209"/>
    </row>
    <row r="82" spans="1:22" s="42" customFormat="1" ht="11" x14ac:dyDescent="0.15">
      <c r="A82" s="56"/>
      <c r="B82" s="205"/>
      <c r="C82" s="55" t="s">
        <v>267</v>
      </c>
      <c r="D82" s="206">
        <v>0.995</v>
      </c>
      <c r="E82" s="207">
        <f>PRODUCT(D82:$D$89)</f>
        <v>0.995</v>
      </c>
      <c r="F82" s="208">
        <f t="shared" si="18"/>
        <v>0.92712117959999996</v>
      </c>
      <c r="G82" s="70"/>
      <c r="H82" s="209"/>
    </row>
    <row r="83" spans="1:22" s="42" customFormat="1" ht="11" x14ac:dyDescent="0.15">
      <c r="A83" s="56"/>
      <c r="B83" s="205"/>
      <c r="C83" s="55" t="s">
        <v>268</v>
      </c>
      <c r="D83" s="206">
        <v>1</v>
      </c>
      <c r="E83" s="207">
        <f>PRODUCT(D83:$D$89)</f>
        <v>1</v>
      </c>
      <c r="F83" s="208">
        <f t="shared" si="18"/>
        <v>0.9317800799999999</v>
      </c>
      <c r="G83" s="70"/>
      <c r="H83" s="209"/>
    </row>
    <row r="84" spans="1:22" s="42" customFormat="1" ht="11" x14ac:dyDescent="0.15">
      <c r="A84" s="56"/>
      <c r="B84" s="205"/>
      <c r="C84" s="55" t="s">
        <v>269</v>
      </c>
      <c r="D84" s="206">
        <v>1</v>
      </c>
      <c r="E84" s="207">
        <f>PRODUCT(D84:$D$89)</f>
        <v>1</v>
      </c>
      <c r="F84" s="208">
        <f>E84*(1-$E$96)*(1-$E$97)*(1-$E$98)</f>
        <v>0.95079599999999986</v>
      </c>
      <c r="G84" s="70"/>
      <c r="H84" s="209"/>
    </row>
    <row r="85" spans="1:22" s="42" customFormat="1" ht="11" x14ac:dyDescent="0.15">
      <c r="A85" s="56"/>
      <c r="B85" s="205"/>
      <c r="C85" s="55" t="s">
        <v>270</v>
      </c>
      <c r="D85" s="206">
        <v>1</v>
      </c>
      <c r="E85" s="207">
        <f>PRODUCT(D85:$D$89)</f>
        <v>1</v>
      </c>
      <c r="F85" s="208">
        <f>E85*(1-$E$96)*(1-$E$97)*(1-$E$98)</f>
        <v>0.95079599999999986</v>
      </c>
      <c r="G85" s="70"/>
      <c r="H85" s="209"/>
    </row>
    <row r="86" spans="1:22" s="42" customFormat="1" ht="11" x14ac:dyDescent="0.15">
      <c r="A86" s="56"/>
      <c r="B86" s="205"/>
      <c r="C86" s="55" t="s">
        <v>271</v>
      </c>
      <c r="D86" s="206">
        <v>1</v>
      </c>
      <c r="E86" s="207">
        <f>PRODUCT(D86:$D$89)</f>
        <v>1</v>
      </c>
      <c r="F86" s="208">
        <f>E86*(1-$E$96)*(1-$E$97)*(1-$E$98)</f>
        <v>0.95079599999999986</v>
      </c>
      <c r="G86" s="70"/>
      <c r="H86" s="209"/>
    </row>
    <row r="87" spans="1:22" s="42" customFormat="1" ht="11" x14ac:dyDescent="0.15">
      <c r="A87" s="56"/>
      <c r="B87" s="205"/>
      <c r="C87" s="55" t="s">
        <v>272</v>
      </c>
      <c r="D87" s="206">
        <v>1</v>
      </c>
      <c r="E87" s="207">
        <f>PRODUCT(D87:$D$89)</f>
        <v>1</v>
      </c>
      <c r="F87" s="208">
        <f>E87*(1-$E$96)*(1-$E$97)*(1-$E$98)</f>
        <v>0.95079599999999986</v>
      </c>
      <c r="G87" s="70"/>
      <c r="H87" s="209"/>
    </row>
    <row r="88" spans="1:22" s="42" customFormat="1" ht="11" x14ac:dyDescent="0.15">
      <c r="A88" s="56"/>
      <c r="B88" s="205"/>
      <c r="C88" s="55" t="s">
        <v>273</v>
      </c>
      <c r="D88" s="206">
        <v>1</v>
      </c>
      <c r="E88" s="207">
        <f>PRODUCT(D88:$D$89)</f>
        <v>1</v>
      </c>
      <c r="F88" s="208">
        <f>E88*(1-$E$96)*(1-$E$97)*(1-$E$98)</f>
        <v>0.95079599999999986</v>
      </c>
      <c r="G88" s="70"/>
      <c r="H88" s="209"/>
      <c r="I88" s="89"/>
    </row>
    <row r="89" spans="1:22" s="42" customFormat="1" ht="11" x14ac:dyDescent="0.15">
      <c r="A89" s="56"/>
      <c r="B89" s="205"/>
      <c r="C89" s="210" t="s">
        <v>274</v>
      </c>
      <c r="D89" s="207"/>
      <c r="E89" s="207"/>
      <c r="F89" s="208">
        <f>(1-$E$96)*(1-$E$97)*(1-$E$98)</f>
        <v>0.95079599999999986</v>
      </c>
      <c r="G89" s="70"/>
      <c r="H89" s="89"/>
      <c r="I89" s="89"/>
    </row>
    <row r="90" spans="1:22" s="42" customFormat="1" ht="11" x14ac:dyDescent="0.15">
      <c r="A90" s="56"/>
      <c r="C90" s="210" t="s">
        <v>275</v>
      </c>
      <c r="D90" s="207"/>
      <c r="E90" s="207"/>
      <c r="F90" s="208">
        <f>(1-$E$97)*(1-$E$98)</f>
        <v>0.97019999999999995</v>
      </c>
      <c r="I90" s="89"/>
      <c r="J90" s="89"/>
      <c r="U90" s="70"/>
      <c r="V90" s="89"/>
    </row>
    <row r="91" spans="1:22" s="42" customFormat="1" ht="11" x14ac:dyDescent="0.15">
      <c r="A91" s="56"/>
      <c r="C91" s="210" t="s">
        <v>276</v>
      </c>
      <c r="D91" s="207"/>
      <c r="E91" s="207"/>
      <c r="F91" s="208">
        <f>(1-$E$98)</f>
        <v>0.99</v>
      </c>
      <c r="I91" s="89"/>
      <c r="J91" s="89"/>
      <c r="U91" s="70"/>
      <c r="V91" s="89"/>
    </row>
    <row r="92" spans="1:22" s="42" customFormat="1" ht="11" x14ac:dyDescent="0.15">
      <c r="A92" s="56" t="s">
        <v>277</v>
      </c>
      <c r="C92" s="42" t="s">
        <v>278</v>
      </c>
      <c r="D92" s="211">
        <f>N38/E10</f>
        <v>-4.7126174626825994E-2</v>
      </c>
      <c r="I92" s="89"/>
      <c r="J92" s="89"/>
      <c r="U92" s="93"/>
      <c r="V92" s="89"/>
    </row>
    <row r="93" spans="1:22" s="42" customFormat="1" ht="11" x14ac:dyDescent="0.15">
      <c r="A93" s="56" t="s">
        <v>279</v>
      </c>
      <c r="C93" s="42" t="s">
        <v>280</v>
      </c>
      <c r="D93" s="212">
        <f>T38</f>
        <v>-0.6716126479837603</v>
      </c>
      <c r="I93" s="89"/>
      <c r="J93" s="89"/>
      <c r="U93" s="93"/>
      <c r="V93" s="89"/>
    </row>
    <row r="94" spans="1:22" s="42" customFormat="1" x14ac:dyDescent="0.15">
      <c r="A94" s="56" t="s">
        <v>281</v>
      </c>
      <c r="H94" s="73"/>
      <c r="I94" s="89"/>
      <c r="J94" s="89"/>
      <c r="U94" s="93"/>
      <c r="V94" s="89"/>
    </row>
    <row r="95" spans="1:22" s="42" customFormat="1" ht="11" x14ac:dyDescent="0.15">
      <c r="A95" s="56"/>
      <c r="B95" s="55" t="s">
        <v>166</v>
      </c>
      <c r="C95" s="42" t="s">
        <v>282</v>
      </c>
      <c r="E95" s="213">
        <v>0.02</v>
      </c>
      <c r="I95" s="89"/>
      <c r="J95" s="89"/>
      <c r="U95" s="161"/>
      <c r="V95" s="89"/>
    </row>
    <row r="96" spans="1:22" s="42" customFormat="1" x14ac:dyDescent="0.15">
      <c r="A96" s="56"/>
      <c r="B96" s="55"/>
      <c r="C96" s="42" t="s">
        <v>274</v>
      </c>
      <c r="D96" s="56" t="s">
        <v>277</v>
      </c>
      <c r="E96" s="213">
        <v>0.02</v>
      </c>
      <c r="H96" s="73"/>
      <c r="I96" s="89"/>
      <c r="J96" s="89"/>
      <c r="U96" s="93"/>
      <c r="V96" s="89"/>
    </row>
    <row r="97" spans="1:22" s="42" customFormat="1" x14ac:dyDescent="0.15">
      <c r="A97" s="56"/>
      <c r="C97" s="42" t="s">
        <v>283</v>
      </c>
      <c r="D97" s="56" t="s">
        <v>279</v>
      </c>
      <c r="E97" s="213">
        <v>0.02</v>
      </c>
      <c r="I97" s="80"/>
      <c r="J97" s="89"/>
      <c r="U97" s="161"/>
      <c r="V97" s="89"/>
    </row>
    <row r="98" spans="1:22" s="42" customFormat="1" x14ac:dyDescent="0.15">
      <c r="A98" s="214"/>
      <c r="C98" s="42" t="s">
        <v>276</v>
      </c>
      <c r="D98" s="56" t="s">
        <v>281</v>
      </c>
      <c r="E98" s="213">
        <v>0.01</v>
      </c>
      <c r="F98" s="73"/>
      <c r="G98" s="73"/>
      <c r="J98" s="89"/>
      <c r="U98" s="161"/>
      <c r="V98" s="89"/>
    </row>
    <row r="99" spans="1:22" x14ac:dyDescent="0.15">
      <c r="D99" s="215"/>
      <c r="F99" s="42"/>
      <c r="G99" s="42"/>
      <c r="I99" s="73"/>
      <c r="U99" s="216"/>
    </row>
    <row r="100" spans="1:22" x14ac:dyDescent="0.15">
      <c r="B100" s="55" t="s">
        <v>284</v>
      </c>
      <c r="C100" s="42"/>
      <c r="D100" s="89"/>
      <c r="E100" s="113">
        <f>1-D77</f>
        <v>0.22999999999999998</v>
      </c>
      <c r="U100" s="216"/>
    </row>
    <row r="101" spans="1:22" x14ac:dyDescent="0.15">
      <c r="B101" s="42"/>
      <c r="C101" s="42"/>
      <c r="D101" s="89"/>
      <c r="U101" s="216"/>
    </row>
    <row r="102" spans="1:22" x14ac:dyDescent="0.15">
      <c r="B102" s="55" t="s">
        <v>168</v>
      </c>
      <c r="C102" s="42" t="s">
        <v>169</v>
      </c>
      <c r="E102" s="177"/>
      <c r="F102" s="153" t="s">
        <v>285</v>
      </c>
      <c r="U102" s="216"/>
    </row>
    <row r="103" spans="1:22" x14ac:dyDescent="0.15">
      <c r="U103" s="216"/>
    </row>
    <row r="104" spans="1:22" collapsed="1" x14ac:dyDescent="0.15"/>
  </sheetData>
  <dataConsolidate/>
  <conditionalFormatting sqref="E18:G19">
    <cfRule type="cellIs" dxfId="0" priority="1" operator="equal">
      <formula>0</formula>
    </cfRule>
  </conditionalFormatting>
  <hyperlinks>
    <hyperlink ref="L4" location="NOTE!B3" display="Disclaimer" xr:uid="{46BB69A6-7DF6-FD44-B80F-0E1F34D1E29D}"/>
    <hyperlink ref="L5" location="NOTE!B19" display="Instruction" xr:uid="{30CEB801-7F9B-7C41-BC9D-B4B321A31015}"/>
    <hyperlink ref="L6" location="NOTE!B33" display="Legend" xr:uid="{A5FD1D22-B53E-9B4B-9C99-C93A89BF366B}"/>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3A5E4BAB-0882-BE44-9BF4-1755A9101C1A}">
          <x14:formula1>
            <xm:f>NOTE!$B$120:$B$121</xm:f>
          </x14:formula1>
          <xm:sqref>G5</xm:sqref>
        </x14:dataValidation>
        <x14:dataValidation type="list" allowBlank="1" showInputMessage="1" showErrorMessage="1" xr:uid="{B035B3C3-7EDA-5145-BE7F-39198F341941}">
          <x14:formula1>
            <xm:f>NOTE!$E$120:$E$121</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45148-BA9D-EC4D-994A-CD9F23D5D2CD}">
  <sheetPr codeName="Sheet5"/>
  <dimension ref="B2:N482"/>
  <sheetViews>
    <sheetView topLeftCell="A52" workbookViewId="0">
      <selection activeCell="J1" sqref="J1"/>
    </sheetView>
  </sheetViews>
  <sheetFormatPr baseColWidth="10" defaultColWidth="8.83203125" defaultRowHeight="15" x14ac:dyDescent="0.2"/>
  <cols>
    <col min="1" max="1" width="8.83203125" style="1"/>
    <col min="2" max="2" width="22.5" style="1" bestFit="1" customWidth="1"/>
    <col min="3" max="3" width="16.1640625" style="1" bestFit="1" customWidth="1"/>
    <col min="4" max="4" width="11.83203125" style="1" bestFit="1" customWidth="1"/>
    <col min="5" max="8" width="15.83203125" style="1" bestFit="1" customWidth="1"/>
    <col min="9" max="25" width="11.83203125" style="1" bestFit="1" customWidth="1"/>
    <col min="26" max="16384" width="8.83203125" style="1"/>
  </cols>
  <sheetData>
    <row r="2" spans="2:11" x14ac:dyDescent="0.2">
      <c r="B2" s="217" t="s">
        <v>286</v>
      </c>
    </row>
    <row r="3" spans="2:11" ht="16" x14ac:dyDescent="0.2">
      <c r="K3" s="218"/>
    </row>
    <row r="4" spans="2:11" x14ac:dyDescent="0.2">
      <c r="B4" s="219" t="s">
        <v>287</v>
      </c>
      <c r="C4" s="219" t="s">
        <v>288</v>
      </c>
      <c r="D4" s="219" t="s">
        <v>289</v>
      </c>
      <c r="E4" s="219" t="s">
        <v>290</v>
      </c>
      <c r="F4" s="219" t="s">
        <v>291</v>
      </c>
      <c r="G4" s="219" t="s">
        <v>292</v>
      </c>
      <c r="H4" s="219" t="s">
        <v>293</v>
      </c>
      <c r="I4" s="219" t="s">
        <v>294</v>
      </c>
    </row>
    <row r="5" spans="2:11" ht="16" x14ac:dyDescent="0.2">
      <c r="B5" s="220">
        <v>45901</v>
      </c>
      <c r="C5" s="219">
        <v>137891</v>
      </c>
      <c r="D5" s="221">
        <v>468373996000</v>
      </c>
      <c r="E5" s="221">
        <v>3396697.3624094301</v>
      </c>
      <c r="F5" s="222">
        <v>35.4411455424937</v>
      </c>
      <c r="G5" s="219">
        <v>57.1053223198033</v>
      </c>
      <c r="H5" s="221">
        <v>34644786000</v>
      </c>
      <c r="I5" s="223">
        <v>1</v>
      </c>
      <c r="J5" s="1">
        <v>1</v>
      </c>
      <c r="K5" s="218"/>
    </row>
    <row r="6" spans="2:11" ht="16" x14ac:dyDescent="0.2">
      <c r="B6" s="220">
        <v>45870</v>
      </c>
      <c r="C6" s="219">
        <v>92113</v>
      </c>
      <c r="D6" s="221">
        <v>314000196000</v>
      </c>
      <c r="E6" s="221">
        <v>3408858.64101701</v>
      </c>
      <c r="F6" s="222">
        <v>35.575760207571101</v>
      </c>
      <c r="G6" s="219">
        <v>57.115065191666702</v>
      </c>
      <c r="H6" s="221">
        <v>23212896000</v>
      </c>
      <c r="I6" s="223">
        <v>1</v>
      </c>
      <c r="J6" s="1">
        <v>1</v>
      </c>
      <c r="K6" s="218"/>
    </row>
    <row r="7" spans="2:11" ht="16" x14ac:dyDescent="0.2">
      <c r="B7" s="220">
        <v>45839</v>
      </c>
      <c r="C7" s="219">
        <v>63333</v>
      </c>
      <c r="D7" s="221">
        <v>236663940000</v>
      </c>
      <c r="E7" s="221">
        <v>3736818.7200985202</v>
      </c>
      <c r="F7" s="222">
        <v>34.315285869925603</v>
      </c>
      <c r="G7" s="219">
        <v>58.071937220722198</v>
      </c>
      <c r="H7" s="221">
        <v>17494140000</v>
      </c>
      <c r="I7" s="223">
        <v>1</v>
      </c>
      <c r="J7" s="1">
        <v>1</v>
      </c>
      <c r="K7" s="218"/>
    </row>
    <row r="9" spans="2:11" ht="16" x14ac:dyDescent="0.2">
      <c r="B9" s="1" t="s">
        <v>295</v>
      </c>
      <c r="C9" s="1">
        <f>SUM(C5:C7)</f>
        <v>293337</v>
      </c>
      <c r="D9" s="224">
        <f>SUM(D5:D7)</f>
        <v>1019038132000</v>
      </c>
      <c r="E9" s="225">
        <f>SUM(D5:D7)/SUM(C5:C7)</f>
        <v>3473950.2074405886</v>
      </c>
      <c r="F9" s="226">
        <v>1</v>
      </c>
      <c r="G9" s="227">
        <f>AVERAGE(G5:G7)/100</f>
        <v>0.57430774910730731</v>
      </c>
      <c r="H9" s="228">
        <f>SUM(H5:H7)/(SUM(D5:D7)-SUM(H5:H7))</f>
        <v>7.984837885377398E-2</v>
      </c>
      <c r="J9" s="229"/>
    </row>
    <row r="10" spans="2:11" x14ac:dyDescent="0.2">
      <c r="J10" s="229"/>
    </row>
    <row r="13" spans="2:11" x14ac:dyDescent="0.2">
      <c r="B13" s="217" t="s">
        <v>296</v>
      </c>
    </row>
    <row r="16" spans="2:11" x14ac:dyDescent="0.2">
      <c r="C16" s="1" t="s">
        <v>297</v>
      </c>
      <c r="D16" s="1" t="s">
        <v>298</v>
      </c>
      <c r="E16" s="1" t="s">
        <v>299</v>
      </c>
    </row>
    <row r="19" spans="3:4" ht="16" x14ac:dyDescent="0.2">
      <c r="C19" s="1" t="s">
        <v>300</v>
      </c>
      <c r="D19" s="230">
        <v>0.45200000000000001</v>
      </c>
    </row>
    <row r="20" spans="3:4" ht="16" x14ac:dyDescent="0.2">
      <c r="C20" s="1" t="s">
        <v>301</v>
      </c>
      <c r="D20" s="230">
        <v>0.94199999999999995</v>
      </c>
    </row>
    <row r="36" spans="2:14" x14ac:dyDescent="0.2">
      <c r="B36" s="217" t="s">
        <v>302</v>
      </c>
    </row>
    <row r="37" spans="2:14" x14ac:dyDescent="0.2">
      <c r="B37" s="217"/>
    </row>
    <row r="38" spans="2:14" x14ac:dyDescent="0.2">
      <c r="B38" s="1" t="s">
        <v>303</v>
      </c>
      <c r="C38" s="1" t="s">
        <v>304</v>
      </c>
      <c r="L38" s="1" t="s">
        <v>305</v>
      </c>
      <c r="M38" s="1" t="s">
        <v>306</v>
      </c>
      <c r="N38" s="1" t="s">
        <v>307</v>
      </c>
    </row>
    <row r="39" spans="2:14" x14ac:dyDescent="0.2">
      <c r="B39" s="1" t="s">
        <v>308</v>
      </c>
      <c r="C39" s="1">
        <v>202506</v>
      </c>
      <c r="D39" s="1">
        <v>202507</v>
      </c>
      <c r="E39" s="1">
        <v>202508</v>
      </c>
      <c r="F39" s="1">
        <v>202509</v>
      </c>
      <c r="G39" s="1" t="s">
        <v>309</v>
      </c>
      <c r="L39" s="1" t="s">
        <v>310</v>
      </c>
      <c r="M39" s="1">
        <v>202403</v>
      </c>
      <c r="N39" s="1">
        <v>53525927234</v>
      </c>
    </row>
    <row r="40" spans="2:14" x14ac:dyDescent="0.2">
      <c r="B40" s="5" t="s">
        <v>310</v>
      </c>
      <c r="C40" s="1">
        <v>131698673529</v>
      </c>
      <c r="D40" s="1">
        <v>187078083967</v>
      </c>
      <c r="E40" s="1">
        <v>236445987551</v>
      </c>
      <c r="F40" s="1">
        <v>369412593653</v>
      </c>
      <c r="G40" s="1">
        <v>924635338700</v>
      </c>
      <c r="L40" s="1" t="s">
        <v>310</v>
      </c>
      <c r="M40" s="1">
        <v>202410</v>
      </c>
      <c r="N40" s="1">
        <v>110489281129</v>
      </c>
    </row>
    <row r="41" spans="2:14" x14ac:dyDescent="0.2">
      <c r="B41" s="5" t="s">
        <v>311</v>
      </c>
      <c r="C41" s="1">
        <v>8562993399</v>
      </c>
      <c r="D41" s="1">
        <v>8321080207</v>
      </c>
      <c r="E41" s="1">
        <v>16841740137</v>
      </c>
      <c r="F41" s="1">
        <v>19418748894</v>
      </c>
      <c r="G41" s="1">
        <v>53144562637</v>
      </c>
      <c r="L41" s="1" t="s">
        <v>310</v>
      </c>
      <c r="M41" s="1">
        <v>202412</v>
      </c>
      <c r="N41" s="1">
        <v>140915432312</v>
      </c>
    </row>
    <row r="42" spans="2:14" x14ac:dyDescent="0.2">
      <c r="B42" s="5" t="s">
        <v>312</v>
      </c>
      <c r="C42" s="1">
        <v>6582155229</v>
      </c>
      <c r="D42" s="1">
        <v>6771584609</v>
      </c>
      <c r="E42" s="1">
        <v>6490477859</v>
      </c>
      <c r="F42" s="1">
        <v>12894830241</v>
      </c>
      <c r="G42" s="1">
        <v>32739047938</v>
      </c>
      <c r="L42" s="1" t="s">
        <v>310</v>
      </c>
      <c r="M42" s="1">
        <v>202502</v>
      </c>
      <c r="N42" s="1">
        <v>120454958029</v>
      </c>
    </row>
    <row r="43" spans="2:14" x14ac:dyDescent="0.2">
      <c r="B43" s="5" t="s">
        <v>313</v>
      </c>
      <c r="C43" s="1">
        <v>5344986249</v>
      </c>
      <c r="D43" s="1">
        <v>5791073866</v>
      </c>
      <c r="E43" s="1">
        <v>6188608797</v>
      </c>
      <c r="F43" s="1">
        <v>6147932392</v>
      </c>
      <c r="G43" s="1">
        <v>23472601304</v>
      </c>
      <c r="L43" s="1" t="s">
        <v>310</v>
      </c>
      <c r="M43" s="1">
        <v>202401</v>
      </c>
      <c r="N43" s="1">
        <v>39352047960</v>
      </c>
    </row>
    <row r="44" spans="2:14" x14ac:dyDescent="0.2">
      <c r="B44" s="5" t="s">
        <v>314</v>
      </c>
      <c r="C44" s="1">
        <v>5550425405</v>
      </c>
      <c r="D44" s="1">
        <v>5493579313</v>
      </c>
      <c r="E44" s="1">
        <v>5883465410</v>
      </c>
      <c r="F44" s="1">
        <v>5987506756</v>
      </c>
      <c r="G44" s="1">
        <v>22914976884</v>
      </c>
      <c r="L44" s="1" t="s">
        <v>310</v>
      </c>
      <c r="M44" s="1">
        <v>202509</v>
      </c>
      <c r="N44" s="1">
        <v>369412593653</v>
      </c>
    </row>
    <row r="45" spans="2:14" x14ac:dyDescent="0.2">
      <c r="B45" s="5" t="s">
        <v>315</v>
      </c>
      <c r="C45" s="1">
        <v>7003321164</v>
      </c>
      <c r="D45" s="1">
        <v>5317975948</v>
      </c>
      <c r="E45" s="1">
        <v>5364248366</v>
      </c>
      <c r="F45" s="1">
        <v>5783462054</v>
      </c>
      <c r="G45" s="1">
        <v>23469007532</v>
      </c>
      <c r="L45" s="1" t="s">
        <v>310</v>
      </c>
      <c r="M45" s="1">
        <v>202506</v>
      </c>
      <c r="N45" s="1">
        <v>131698673529</v>
      </c>
    </row>
    <row r="46" spans="2:14" x14ac:dyDescent="0.2">
      <c r="B46" s="5" t="s">
        <v>316</v>
      </c>
      <c r="C46" s="1">
        <v>7227004819</v>
      </c>
      <c r="D46" s="1">
        <v>7213434708</v>
      </c>
      <c r="E46" s="1">
        <v>5293575080</v>
      </c>
      <c r="F46" s="1">
        <v>5291955522</v>
      </c>
      <c r="G46" s="1">
        <v>25025970129</v>
      </c>
      <c r="L46" s="1" t="s">
        <v>310</v>
      </c>
      <c r="M46" s="1">
        <v>202504</v>
      </c>
      <c r="N46" s="1">
        <v>130882226527</v>
      </c>
    </row>
    <row r="47" spans="2:14" x14ac:dyDescent="0.2">
      <c r="B47" s="5" t="s">
        <v>317</v>
      </c>
      <c r="C47" s="1">
        <v>4256572638</v>
      </c>
      <c r="D47" s="1">
        <v>6633430860</v>
      </c>
      <c r="E47" s="1">
        <v>7290287879</v>
      </c>
      <c r="F47" s="1">
        <v>5217146152</v>
      </c>
      <c r="G47" s="1">
        <v>23397437529</v>
      </c>
      <c r="L47" s="1" t="s">
        <v>310</v>
      </c>
      <c r="M47" s="1">
        <v>202407</v>
      </c>
      <c r="N47" s="1">
        <v>96238663386</v>
      </c>
    </row>
    <row r="48" spans="2:14" x14ac:dyDescent="0.2">
      <c r="B48" s="5" t="s">
        <v>318</v>
      </c>
      <c r="C48" s="1">
        <v>3923487920</v>
      </c>
      <c r="D48" s="1">
        <v>4547706832</v>
      </c>
      <c r="E48" s="1">
        <v>6247258058</v>
      </c>
      <c r="F48" s="1">
        <v>7217481891</v>
      </c>
      <c r="G48" s="1">
        <v>21935934701</v>
      </c>
      <c r="L48" s="1" t="s">
        <v>310</v>
      </c>
      <c r="M48" s="1">
        <v>202510</v>
      </c>
      <c r="N48" s="1">
        <v>342280626842</v>
      </c>
    </row>
    <row r="49" spans="2:14" x14ac:dyDescent="0.2">
      <c r="B49" s="5" t="s">
        <v>319</v>
      </c>
      <c r="C49" s="1">
        <v>4477782016</v>
      </c>
      <c r="D49" s="1">
        <v>4065255065</v>
      </c>
      <c r="E49" s="1">
        <v>4667227695</v>
      </c>
      <c r="F49" s="1">
        <v>6247258058</v>
      </c>
      <c r="G49" s="1">
        <v>19457522834</v>
      </c>
      <c r="L49" s="1" t="s">
        <v>310</v>
      </c>
      <c r="M49" s="1">
        <v>202503</v>
      </c>
      <c r="N49" s="1">
        <v>124804871704</v>
      </c>
    </row>
    <row r="50" spans="2:14" x14ac:dyDescent="0.2">
      <c r="B50" s="5" t="s">
        <v>320</v>
      </c>
      <c r="C50" s="1">
        <v>4648422654</v>
      </c>
      <c r="D50" s="1">
        <v>4276488143</v>
      </c>
      <c r="E50" s="1">
        <v>3923514411</v>
      </c>
      <c r="F50" s="1">
        <v>4667227695</v>
      </c>
      <c r="G50" s="1">
        <v>17515652903</v>
      </c>
      <c r="L50" s="1" t="s">
        <v>310</v>
      </c>
      <c r="M50" s="1">
        <v>202405</v>
      </c>
      <c r="N50" s="1">
        <v>68692214339</v>
      </c>
    </row>
    <row r="51" spans="2:14" x14ac:dyDescent="0.2">
      <c r="B51" s="5" t="s">
        <v>321</v>
      </c>
      <c r="C51" s="1">
        <v>3882239181</v>
      </c>
      <c r="D51" s="1">
        <v>4275758471</v>
      </c>
      <c r="E51" s="1">
        <v>4391942818</v>
      </c>
      <c r="F51" s="1">
        <v>3923514411</v>
      </c>
      <c r="G51" s="1">
        <v>16473454881</v>
      </c>
      <c r="L51" s="1" t="s">
        <v>310</v>
      </c>
      <c r="M51" s="1">
        <v>202501</v>
      </c>
      <c r="N51" s="1">
        <v>125736974174</v>
      </c>
    </row>
    <row r="52" spans="2:14" x14ac:dyDescent="0.2">
      <c r="B52" s="5" t="s">
        <v>322</v>
      </c>
      <c r="C52" s="1">
        <v>3155867356</v>
      </c>
      <c r="D52" s="1">
        <v>4105407285</v>
      </c>
      <c r="E52" s="1">
        <v>4233200406</v>
      </c>
      <c r="F52" s="1">
        <v>4391942818</v>
      </c>
      <c r="G52" s="1">
        <v>15886417865</v>
      </c>
      <c r="L52" s="1" t="s">
        <v>310</v>
      </c>
      <c r="M52" s="1">
        <v>202408</v>
      </c>
      <c r="N52" s="1">
        <v>102917027574</v>
      </c>
    </row>
    <row r="53" spans="2:14" x14ac:dyDescent="0.2">
      <c r="B53" s="5" t="s">
        <v>323</v>
      </c>
      <c r="C53" s="1">
        <v>2898267732</v>
      </c>
      <c r="D53" s="1">
        <v>3381581195</v>
      </c>
      <c r="E53" s="1">
        <v>4178326840</v>
      </c>
      <c r="F53" s="1">
        <v>4233200406</v>
      </c>
      <c r="G53" s="1">
        <v>14691376173</v>
      </c>
      <c r="L53" s="1" t="s">
        <v>310</v>
      </c>
      <c r="M53" s="1">
        <v>202404</v>
      </c>
      <c r="N53" s="1">
        <v>61774567080</v>
      </c>
    </row>
    <row r="54" spans="2:14" x14ac:dyDescent="0.2">
      <c r="B54" s="5" t="s">
        <v>324</v>
      </c>
      <c r="C54" s="1">
        <v>2288167659</v>
      </c>
      <c r="D54" s="1">
        <v>2913943164</v>
      </c>
      <c r="E54" s="1">
        <v>3491593486</v>
      </c>
      <c r="F54" s="1">
        <v>4178326840</v>
      </c>
      <c r="G54" s="1">
        <v>12872031149</v>
      </c>
      <c r="L54" s="1" t="s">
        <v>310</v>
      </c>
      <c r="M54" s="1">
        <v>202409</v>
      </c>
      <c r="N54" s="1">
        <v>105643467744</v>
      </c>
    </row>
    <row r="55" spans="2:14" x14ac:dyDescent="0.2">
      <c r="B55" s="5" t="s">
        <v>325</v>
      </c>
      <c r="C55" s="1">
        <v>1988169275</v>
      </c>
      <c r="D55" s="1">
        <v>2310270399</v>
      </c>
      <c r="E55" s="1">
        <v>2821493164</v>
      </c>
      <c r="F55" s="1">
        <v>3491593486</v>
      </c>
      <c r="G55" s="1">
        <v>10611526324</v>
      </c>
      <c r="L55" s="1" t="s">
        <v>310</v>
      </c>
      <c r="M55" s="1">
        <v>202406</v>
      </c>
      <c r="N55" s="1">
        <v>82139005584</v>
      </c>
    </row>
    <row r="56" spans="2:14" x14ac:dyDescent="0.2">
      <c r="B56" s="5" t="s">
        <v>326</v>
      </c>
      <c r="C56" s="1">
        <v>1787739662</v>
      </c>
      <c r="D56" s="1">
        <v>2068519275</v>
      </c>
      <c r="E56" s="1">
        <v>2348920399</v>
      </c>
      <c r="F56" s="1">
        <v>2821493164</v>
      </c>
      <c r="G56" s="1">
        <v>9026672500</v>
      </c>
      <c r="L56" s="1" t="s">
        <v>310</v>
      </c>
      <c r="M56" s="1">
        <v>202508</v>
      </c>
      <c r="N56" s="1">
        <v>236445987551</v>
      </c>
    </row>
    <row r="57" spans="2:14" x14ac:dyDescent="0.2">
      <c r="B57" s="5" t="s">
        <v>327</v>
      </c>
      <c r="C57" s="1">
        <v>2585164319</v>
      </c>
      <c r="D57" s="1">
        <v>1701536374</v>
      </c>
      <c r="E57" s="1">
        <v>1993527072</v>
      </c>
      <c r="F57" s="1">
        <v>2348920399</v>
      </c>
      <c r="G57" s="1">
        <v>8629148164</v>
      </c>
      <c r="L57" s="1" t="s">
        <v>310</v>
      </c>
      <c r="M57" s="1">
        <v>202411</v>
      </c>
      <c r="N57" s="1">
        <v>108183945508</v>
      </c>
    </row>
    <row r="58" spans="2:14" x14ac:dyDescent="0.2">
      <c r="B58" s="5" t="s">
        <v>328</v>
      </c>
      <c r="C58" s="1">
        <v>2674030800</v>
      </c>
      <c r="D58" s="1">
        <v>2584440264</v>
      </c>
      <c r="E58" s="1">
        <v>1763328577</v>
      </c>
      <c r="F58" s="1">
        <v>1993527072</v>
      </c>
      <c r="G58" s="1">
        <v>9015326713</v>
      </c>
      <c r="L58" s="1" t="s">
        <v>310</v>
      </c>
      <c r="M58" s="1">
        <v>202402</v>
      </c>
      <c r="N58" s="1">
        <v>42374875041</v>
      </c>
    </row>
    <row r="59" spans="2:14" x14ac:dyDescent="0.2">
      <c r="B59" s="5" t="s">
        <v>329</v>
      </c>
      <c r="C59" s="1">
        <v>2500920461</v>
      </c>
      <c r="D59" s="1">
        <v>2529617159</v>
      </c>
      <c r="E59" s="1">
        <v>2651440264</v>
      </c>
      <c r="F59" s="1">
        <v>1763328577</v>
      </c>
      <c r="G59" s="1">
        <v>9445306461</v>
      </c>
      <c r="L59" s="1" t="s">
        <v>310</v>
      </c>
      <c r="M59" s="1">
        <v>202507</v>
      </c>
      <c r="N59" s="1">
        <v>187078083967</v>
      </c>
    </row>
    <row r="60" spans="2:14" x14ac:dyDescent="0.2">
      <c r="B60" s="5" t="s">
        <v>330</v>
      </c>
      <c r="C60" s="1">
        <v>2352656686</v>
      </c>
      <c r="D60" s="1">
        <v>2611725630</v>
      </c>
      <c r="E60" s="1">
        <v>2469577301</v>
      </c>
      <c r="F60" s="1">
        <v>2651440264</v>
      </c>
      <c r="G60" s="1">
        <v>10085399881</v>
      </c>
      <c r="L60" s="1" t="s">
        <v>310</v>
      </c>
      <c r="M60" s="1">
        <v>202505</v>
      </c>
      <c r="N60" s="1">
        <v>132576792356</v>
      </c>
    </row>
    <row r="61" spans="2:14" x14ac:dyDescent="0.2">
      <c r="B61" s="5" t="s">
        <v>331</v>
      </c>
      <c r="C61" s="1">
        <v>2042438388</v>
      </c>
      <c r="D61" s="1">
        <v>2361983489</v>
      </c>
      <c r="E61" s="1">
        <v>2671765488</v>
      </c>
      <c r="F61" s="1">
        <v>2469577301</v>
      </c>
      <c r="G61" s="1">
        <v>9545764666</v>
      </c>
      <c r="L61" s="1" t="s">
        <v>311</v>
      </c>
      <c r="M61" s="1">
        <v>202403</v>
      </c>
      <c r="N61" s="1">
        <v>2847803991</v>
      </c>
    </row>
    <row r="62" spans="2:14" x14ac:dyDescent="0.2">
      <c r="B62" s="5" t="s">
        <v>332</v>
      </c>
      <c r="C62" s="1">
        <v>1238949061</v>
      </c>
      <c r="D62" s="1">
        <v>2112601387</v>
      </c>
      <c r="E62" s="1">
        <v>2296233489</v>
      </c>
      <c r="F62" s="1">
        <v>2671765488</v>
      </c>
      <c r="G62" s="1">
        <v>8319549425</v>
      </c>
      <c r="L62" s="1" t="s">
        <v>311</v>
      </c>
      <c r="M62" s="1">
        <v>202410</v>
      </c>
      <c r="N62" s="1">
        <v>7702626249</v>
      </c>
    </row>
    <row r="63" spans="2:14" x14ac:dyDescent="0.2">
      <c r="B63" s="5" t="s">
        <v>333</v>
      </c>
      <c r="C63" s="1">
        <v>1304001668</v>
      </c>
      <c r="D63" s="1">
        <v>1279995074</v>
      </c>
      <c r="E63" s="1">
        <v>2133351387</v>
      </c>
      <c r="F63" s="1">
        <v>2296233489</v>
      </c>
      <c r="G63" s="1">
        <v>7013581618</v>
      </c>
      <c r="L63" s="1" t="s">
        <v>311</v>
      </c>
      <c r="M63" s="1">
        <v>202412</v>
      </c>
      <c r="N63" s="1">
        <v>8049379348</v>
      </c>
    </row>
    <row r="64" spans="2:14" x14ac:dyDescent="0.2">
      <c r="B64" s="5" t="s">
        <v>334</v>
      </c>
      <c r="C64" s="1">
        <v>1366301248</v>
      </c>
      <c r="D64" s="1">
        <v>1257417668</v>
      </c>
      <c r="E64" s="1">
        <v>1228373064</v>
      </c>
      <c r="F64" s="1">
        <v>2133351387</v>
      </c>
      <c r="G64" s="1">
        <v>5985443367</v>
      </c>
      <c r="L64" s="1" t="s">
        <v>311</v>
      </c>
      <c r="M64" s="1">
        <v>202502</v>
      </c>
      <c r="N64" s="1">
        <v>9678486086</v>
      </c>
    </row>
    <row r="65" spans="2:14" x14ac:dyDescent="0.2">
      <c r="B65" s="5" t="s">
        <v>335</v>
      </c>
      <c r="C65" s="1">
        <v>927475497</v>
      </c>
      <c r="D65" s="1">
        <v>1382285248</v>
      </c>
      <c r="E65" s="1">
        <v>1316039678</v>
      </c>
      <c r="F65" s="1">
        <v>1228373064</v>
      </c>
      <c r="G65" s="1">
        <v>4854173487</v>
      </c>
      <c r="L65" s="1" t="s">
        <v>311</v>
      </c>
      <c r="M65" s="1">
        <v>202401</v>
      </c>
      <c r="N65" s="1">
        <v>4035632295</v>
      </c>
    </row>
    <row r="66" spans="2:14" x14ac:dyDescent="0.2">
      <c r="B66" s="5" t="s">
        <v>336</v>
      </c>
      <c r="C66" s="1">
        <v>99257496</v>
      </c>
      <c r="D66" s="1">
        <v>906527807</v>
      </c>
      <c r="E66" s="1">
        <v>1370035303</v>
      </c>
      <c r="F66" s="1">
        <v>1316039678</v>
      </c>
      <c r="G66" s="1">
        <v>3691860284</v>
      </c>
      <c r="L66" s="1" t="s">
        <v>311</v>
      </c>
      <c r="M66" s="1">
        <v>202509</v>
      </c>
      <c r="N66" s="1">
        <v>19418748894</v>
      </c>
    </row>
    <row r="67" spans="2:14" x14ac:dyDescent="0.2">
      <c r="B67" s="5" t="s">
        <v>337</v>
      </c>
      <c r="D67" s="1">
        <v>150805186</v>
      </c>
      <c r="E67" s="1">
        <v>911793752</v>
      </c>
      <c r="F67" s="1">
        <v>1370035303</v>
      </c>
      <c r="G67" s="1">
        <v>2432634241</v>
      </c>
      <c r="L67" s="1" t="s">
        <v>311</v>
      </c>
      <c r="M67" s="1">
        <v>202506</v>
      </c>
      <c r="N67" s="1">
        <v>8562993399</v>
      </c>
    </row>
    <row r="68" spans="2:14" x14ac:dyDescent="0.2">
      <c r="B68" s="5" t="s">
        <v>338</v>
      </c>
      <c r="E68" s="1">
        <v>195789186</v>
      </c>
      <c r="F68" s="1">
        <v>911793752</v>
      </c>
      <c r="G68" s="1">
        <v>1107582938</v>
      </c>
      <c r="L68" s="1" t="s">
        <v>311</v>
      </c>
      <c r="M68" s="1">
        <v>202504</v>
      </c>
      <c r="N68" s="1">
        <v>7406106547</v>
      </c>
    </row>
    <row r="69" spans="2:14" x14ac:dyDescent="0.2">
      <c r="B69" s="5" t="s">
        <v>339</v>
      </c>
      <c r="F69" s="1">
        <v>195789186</v>
      </c>
      <c r="G69" s="1">
        <v>195789186</v>
      </c>
      <c r="L69" s="1" t="s">
        <v>311</v>
      </c>
      <c r="M69" s="1">
        <v>202407</v>
      </c>
      <c r="N69" s="1">
        <v>5416018045</v>
      </c>
    </row>
    <row r="70" spans="2:14" x14ac:dyDescent="0.2">
      <c r="B70" s="5" t="s">
        <v>309</v>
      </c>
      <c r="C70" s="1">
        <v>222367471511</v>
      </c>
      <c r="D70" s="1">
        <v>283444108593</v>
      </c>
      <c r="E70" s="1">
        <v>347103122917</v>
      </c>
      <c r="F70" s="1">
        <v>494676389393</v>
      </c>
      <c r="G70" s="1">
        <v>1347591092414</v>
      </c>
      <c r="L70" s="1" t="s">
        <v>311</v>
      </c>
      <c r="M70" s="1">
        <v>202510</v>
      </c>
      <c r="N70" s="1">
        <v>27566527723</v>
      </c>
    </row>
    <row r="71" spans="2:14" ht="16" x14ac:dyDescent="0.2">
      <c r="C71" s="231"/>
      <c r="D71" s="231"/>
      <c r="E71" s="231"/>
      <c r="L71" s="1" t="s">
        <v>311</v>
      </c>
      <c r="M71" s="1">
        <v>202503</v>
      </c>
      <c r="N71" s="1">
        <v>8032313372</v>
      </c>
    </row>
    <row r="72" spans="2:14" ht="16" x14ac:dyDescent="0.2">
      <c r="C72" s="231"/>
      <c r="D72" s="231"/>
      <c r="E72" s="231"/>
      <c r="L72" s="1" t="s">
        <v>311</v>
      </c>
      <c r="M72" s="1">
        <v>202405</v>
      </c>
      <c r="N72" s="1">
        <v>3958274941</v>
      </c>
    </row>
    <row r="73" spans="2:14" ht="16" x14ac:dyDescent="0.2">
      <c r="C73" s="232"/>
      <c r="D73" s="232"/>
      <c r="E73" s="232"/>
      <c r="L73" s="1" t="s">
        <v>311</v>
      </c>
      <c r="M73" s="1">
        <v>202501</v>
      </c>
      <c r="N73" s="1">
        <v>10438070154</v>
      </c>
    </row>
    <row r="74" spans="2:14" x14ac:dyDescent="0.2">
      <c r="B74" s="1" t="s">
        <v>308</v>
      </c>
      <c r="C74" s="1">
        <v>202507</v>
      </c>
      <c r="D74" s="1">
        <v>202508</v>
      </c>
      <c r="E74" s="1">
        <v>202509</v>
      </c>
      <c r="L74" s="1" t="s">
        <v>311</v>
      </c>
      <c r="M74" s="1">
        <v>202408</v>
      </c>
      <c r="N74" s="1">
        <v>6368791795</v>
      </c>
    </row>
    <row r="75" spans="2:14" ht="16" x14ac:dyDescent="0.2">
      <c r="B75" s="1">
        <v>0</v>
      </c>
      <c r="C75" s="232">
        <f>H76/G75</f>
        <v>6.3182718428577797E-2</v>
      </c>
      <c r="D75" s="232">
        <f>I76/H75</f>
        <v>9.0025190443851405E-2</v>
      </c>
      <c r="E75" s="232">
        <f>J76/I75</f>
        <v>8.2127631325574893E-2</v>
      </c>
      <c r="F75" s="233">
        <f t="shared" ref="F75:F83" si="0">AVERAGE(C75:E75)</f>
        <v>7.844518006600136E-2</v>
      </c>
      <c r="G75" s="1">
        <v>131698673529</v>
      </c>
      <c r="H75" s="1">
        <v>187078083967</v>
      </c>
      <c r="I75" s="1">
        <v>236445987551</v>
      </c>
      <c r="J75" s="1">
        <v>369412593653</v>
      </c>
      <c r="L75" s="1" t="s">
        <v>311</v>
      </c>
      <c r="M75" s="1">
        <v>202404</v>
      </c>
      <c r="N75" s="1">
        <v>3672521113</v>
      </c>
    </row>
    <row r="76" spans="2:14" ht="16" x14ac:dyDescent="0.2">
      <c r="B76" s="1">
        <v>1</v>
      </c>
      <c r="C76" s="232">
        <f t="shared" ref="C76:E84" si="1">H77/G76</f>
        <v>0.79079642987822418</v>
      </c>
      <c r="D76" s="232">
        <f t="shared" si="1"/>
        <v>0.78000424194204621</v>
      </c>
      <c r="E76" s="232">
        <f t="shared" si="1"/>
        <v>0.76564714430375613</v>
      </c>
      <c r="F76" s="233">
        <v>0.77</v>
      </c>
      <c r="G76" s="1">
        <v>8562993399</v>
      </c>
      <c r="H76" s="1">
        <v>8321080207</v>
      </c>
      <c r="I76" s="1">
        <v>16841740137</v>
      </c>
      <c r="J76" s="1">
        <v>19418748894</v>
      </c>
      <c r="L76" s="1" t="s">
        <v>311</v>
      </c>
      <c r="M76" s="1">
        <v>202409</v>
      </c>
      <c r="N76" s="1">
        <v>7091212819</v>
      </c>
    </row>
    <row r="77" spans="2:14" ht="16" x14ac:dyDescent="0.2">
      <c r="B77" s="1">
        <v>2</v>
      </c>
      <c r="C77" s="232">
        <f t="shared" si="1"/>
        <v>0.87981423477911724</v>
      </c>
      <c r="D77" s="232">
        <f t="shared" si="1"/>
        <v>0.91390850950526759</v>
      </c>
      <c r="E77" s="232">
        <f t="shared" si="1"/>
        <v>0.94722338255495153</v>
      </c>
      <c r="F77" s="233">
        <f t="shared" si="0"/>
        <v>0.91364870894644545</v>
      </c>
      <c r="G77" s="1">
        <v>6582155229</v>
      </c>
      <c r="H77" s="1">
        <v>6771584609</v>
      </c>
      <c r="I77" s="1">
        <v>6490477859</v>
      </c>
      <c r="J77" s="1">
        <v>12894830241</v>
      </c>
      <c r="L77" s="1" t="s">
        <v>311</v>
      </c>
      <c r="M77" s="1">
        <v>202406</v>
      </c>
      <c r="N77" s="1">
        <v>4302043622</v>
      </c>
    </row>
    <row r="78" spans="2:14" ht="16" x14ac:dyDescent="0.2">
      <c r="B78" s="1">
        <v>3</v>
      </c>
      <c r="C78" s="232">
        <f t="shared" si="1"/>
        <v>1.0278004576770989</v>
      </c>
      <c r="D78" s="232">
        <f t="shared" si="1"/>
        <v>1.0159541297759023</v>
      </c>
      <c r="E78" s="232">
        <f t="shared" si="1"/>
        <v>0.96750448322125537</v>
      </c>
      <c r="F78" s="233">
        <f t="shared" si="0"/>
        <v>1.0037530235580856</v>
      </c>
      <c r="G78" s="1">
        <v>5344986249</v>
      </c>
      <c r="H78" s="1">
        <v>5791073866</v>
      </c>
      <c r="I78" s="1">
        <v>6188608797</v>
      </c>
      <c r="J78" s="1">
        <v>6147932392</v>
      </c>
      <c r="L78" s="1" t="s">
        <v>311</v>
      </c>
      <c r="M78" s="1">
        <v>202508</v>
      </c>
      <c r="N78" s="1">
        <v>16841740137</v>
      </c>
    </row>
    <row r="79" spans="2:14" ht="16" x14ac:dyDescent="0.2">
      <c r="B79" s="1">
        <v>4</v>
      </c>
      <c r="C79" s="232">
        <f t="shared" si="1"/>
        <v>0.95812042500551364</v>
      </c>
      <c r="D79" s="232">
        <f t="shared" si="1"/>
        <v>0.97645779925413079</v>
      </c>
      <c r="E79" s="232">
        <f t="shared" si="1"/>
        <v>0.9830026440148647</v>
      </c>
      <c r="F79" s="233">
        <v>0.97</v>
      </c>
      <c r="G79" s="1">
        <v>5550425405</v>
      </c>
      <c r="H79" s="1">
        <v>5493579313</v>
      </c>
      <c r="I79" s="1">
        <v>5883465410</v>
      </c>
      <c r="J79" s="1">
        <v>5987506756</v>
      </c>
      <c r="L79" s="1" t="s">
        <v>311</v>
      </c>
      <c r="M79" s="1">
        <v>202411</v>
      </c>
      <c r="N79" s="1">
        <v>6533997439</v>
      </c>
    </row>
    <row r="80" spans="2:14" ht="16" x14ac:dyDescent="0.2">
      <c r="B80" s="1">
        <v>5</v>
      </c>
      <c r="C80" s="232">
        <f t="shared" si="1"/>
        <v>1.0300019860691341</v>
      </c>
      <c r="D80" s="232">
        <f t="shared" si="1"/>
        <v>0.99541162497939151</v>
      </c>
      <c r="E80" s="232">
        <f t="shared" si="1"/>
        <v>0.98652321088296158</v>
      </c>
      <c r="F80" s="233">
        <f t="shared" si="0"/>
        <v>1.0039789406438289</v>
      </c>
      <c r="G80" s="1">
        <v>7003321164</v>
      </c>
      <c r="H80" s="1">
        <v>5317975948</v>
      </c>
      <c r="I80" s="1">
        <v>5364248366</v>
      </c>
      <c r="J80" s="1">
        <v>5783462054</v>
      </c>
      <c r="L80" s="1" t="s">
        <v>311</v>
      </c>
      <c r="M80" s="1">
        <v>202507</v>
      </c>
      <c r="N80" s="1">
        <v>8321080207</v>
      </c>
    </row>
    <row r="81" spans="2:14" ht="16" x14ac:dyDescent="0.2">
      <c r="B81" s="1">
        <v>6</v>
      </c>
      <c r="C81" s="232">
        <f t="shared" si="1"/>
        <v>0.91786722523838959</v>
      </c>
      <c r="D81" s="232">
        <f t="shared" si="1"/>
        <v>1.0106541715716602</v>
      </c>
      <c r="E81" s="232">
        <f t="shared" si="1"/>
        <v>0.98556194502865158</v>
      </c>
      <c r="F81" s="233">
        <f t="shared" si="0"/>
        <v>0.9713611139462337</v>
      </c>
      <c r="G81" s="1">
        <v>7227004819</v>
      </c>
      <c r="H81" s="1">
        <v>7213434708</v>
      </c>
      <c r="I81" s="1">
        <v>5293575080</v>
      </c>
      <c r="J81" s="1">
        <v>5291955522</v>
      </c>
      <c r="L81" s="1" t="s">
        <v>311</v>
      </c>
      <c r="M81" s="1">
        <v>202505</v>
      </c>
      <c r="N81" s="1">
        <v>8351092769</v>
      </c>
    </row>
    <row r="82" spans="2:14" ht="16" x14ac:dyDescent="0.2">
      <c r="B82" s="1">
        <v>7</v>
      </c>
      <c r="C82" s="232">
        <f t="shared" si="1"/>
        <v>1.0683963880707537</v>
      </c>
      <c r="D82" s="232">
        <f t="shared" si="1"/>
        <v>0.94178385059703484</v>
      </c>
      <c r="E82" s="232">
        <f t="shared" si="1"/>
        <v>0.99001329039286357</v>
      </c>
      <c r="F82" s="233">
        <f t="shared" si="0"/>
        <v>1.0000645096868841</v>
      </c>
      <c r="G82" s="1">
        <v>4256572638</v>
      </c>
      <c r="H82" s="1">
        <v>6633430860</v>
      </c>
      <c r="I82" s="1">
        <v>7290287879</v>
      </c>
      <c r="J82" s="1">
        <v>5217146152</v>
      </c>
      <c r="L82" s="1" t="s">
        <v>311</v>
      </c>
      <c r="M82" s="1">
        <v>202402</v>
      </c>
      <c r="N82" s="1">
        <v>4209955262</v>
      </c>
    </row>
    <row r="83" spans="2:14" ht="16" x14ac:dyDescent="0.2">
      <c r="B83" s="1">
        <v>8</v>
      </c>
      <c r="C83" s="232">
        <f t="shared" si="1"/>
        <v>1.0361329378070316</v>
      </c>
      <c r="D83" s="232">
        <f t="shared" si="1"/>
        <v>1.026281567263525</v>
      </c>
      <c r="E83" s="232">
        <f t="shared" si="1"/>
        <v>1</v>
      </c>
      <c r="F83" s="233">
        <f t="shared" si="0"/>
        <v>1.0208048350235188</v>
      </c>
      <c r="G83" s="1">
        <v>3923487920</v>
      </c>
      <c r="H83" s="1">
        <v>4547706832</v>
      </c>
      <c r="I83" s="1">
        <v>6247258058</v>
      </c>
      <c r="J83" s="1">
        <v>7217481891</v>
      </c>
      <c r="L83" s="1" t="s">
        <v>312</v>
      </c>
      <c r="M83" s="1">
        <v>202404</v>
      </c>
      <c r="N83" s="1">
        <v>2233498458</v>
      </c>
    </row>
    <row r="84" spans="2:14" ht="16" x14ac:dyDescent="0.2">
      <c r="C84" s="232">
        <f t="shared" si="1"/>
        <v>0.95504607587400703</v>
      </c>
      <c r="D84" s="232">
        <f t="shared" si="1"/>
        <v>0.96513363817677211</v>
      </c>
      <c r="E84" s="232">
        <f t="shared" si="1"/>
        <v>1</v>
      </c>
      <c r="G84" s="1">
        <v>4477782016</v>
      </c>
      <c r="H84" s="1">
        <v>4065255065</v>
      </c>
      <c r="I84" s="1">
        <v>4667227695</v>
      </c>
      <c r="J84" s="1">
        <v>6247258058</v>
      </c>
      <c r="L84" s="1" t="s">
        <v>312</v>
      </c>
      <c r="M84" s="1">
        <v>202409</v>
      </c>
      <c r="N84" s="1">
        <v>4904293943</v>
      </c>
    </row>
    <row r="85" spans="2:14" x14ac:dyDescent="0.2">
      <c r="G85" s="1">
        <v>4648422654</v>
      </c>
      <c r="H85" s="1">
        <v>4276488143</v>
      </c>
      <c r="I85" s="1">
        <v>3923514411</v>
      </c>
      <c r="J85" s="1">
        <v>4667227695</v>
      </c>
      <c r="L85" s="1" t="s">
        <v>312</v>
      </c>
      <c r="M85" s="1">
        <v>202406</v>
      </c>
      <c r="N85" s="1">
        <v>2852934539</v>
      </c>
    </row>
    <row r="86" spans="2:14" x14ac:dyDescent="0.2">
      <c r="G86" s="1">
        <v>3882239181</v>
      </c>
      <c r="H86" s="1">
        <v>4275758471</v>
      </c>
      <c r="I86" s="1">
        <v>4391942818</v>
      </c>
      <c r="J86" s="1">
        <v>3923514411</v>
      </c>
      <c r="L86" s="1" t="s">
        <v>312</v>
      </c>
      <c r="M86" s="1">
        <v>202403</v>
      </c>
      <c r="N86" s="1">
        <v>3316646636</v>
      </c>
    </row>
    <row r="87" spans="2:14" x14ac:dyDescent="0.2">
      <c r="G87" s="1">
        <v>3155867356</v>
      </c>
      <c r="H87" s="1">
        <v>4105407285</v>
      </c>
      <c r="I87" s="1">
        <v>4233200406</v>
      </c>
      <c r="J87" s="1">
        <v>4391942818</v>
      </c>
      <c r="L87" s="1" t="s">
        <v>312</v>
      </c>
      <c r="M87" s="1">
        <v>202410</v>
      </c>
      <c r="N87" s="1">
        <v>5139898244</v>
      </c>
    </row>
    <row r="88" spans="2:14" x14ac:dyDescent="0.2">
      <c r="L88" s="1" t="s">
        <v>312</v>
      </c>
      <c r="M88" s="1">
        <v>202412</v>
      </c>
      <c r="N88" s="1">
        <v>4435792144</v>
      </c>
    </row>
    <row r="89" spans="2:14" x14ac:dyDescent="0.2">
      <c r="L89" s="1" t="s">
        <v>312</v>
      </c>
      <c r="M89" s="1">
        <v>202502</v>
      </c>
      <c r="N89" s="1">
        <v>8603511000</v>
      </c>
    </row>
    <row r="90" spans="2:14" x14ac:dyDescent="0.2">
      <c r="L90" s="1" t="s">
        <v>312</v>
      </c>
      <c r="M90" s="1">
        <v>202401</v>
      </c>
      <c r="N90" s="1">
        <v>2778427359</v>
      </c>
    </row>
    <row r="91" spans="2:14" x14ac:dyDescent="0.2">
      <c r="L91" s="1" t="s">
        <v>312</v>
      </c>
      <c r="M91" s="1">
        <v>202509</v>
      </c>
      <c r="N91" s="1">
        <v>12894830241</v>
      </c>
    </row>
    <row r="92" spans="2:14" x14ac:dyDescent="0.2">
      <c r="L92" s="1" t="s">
        <v>312</v>
      </c>
      <c r="M92" s="1">
        <v>202506</v>
      </c>
      <c r="N92" s="1">
        <v>6582155229</v>
      </c>
    </row>
    <row r="93" spans="2:14" x14ac:dyDescent="0.2">
      <c r="L93" s="1" t="s">
        <v>312</v>
      </c>
      <c r="M93" s="1">
        <v>202504</v>
      </c>
      <c r="N93" s="1">
        <v>5772933753</v>
      </c>
    </row>
    <row r="94" spans="2:14" x14ac:dyDescent="0.2">
      <c r="L94" s="1" t="s">
        <v>312</v>
      </c>
      <c r="M94" s="1">
        <v>202508</v>
      </c>
      <c r="N94" s="1">
        <v>6490477859</v>
      </c>
    </row>
    <row r="95" spans="2:14" x14ac:dyDescent="0.2">
      <c r="L95" s="1" t="s">
        <v>312</v>
      </c>
      <c r="M95" s="1">
        <v>202411</v>
      </c>
      <c r="N95" s="1">
        <v>5391653568</v>
      </c>
    </row>
    <row r="96" spans="2:14" x14ac:dyDescent="0.2">
      <c r="B96" s="1" t="s">
        <v>340</v>
      </c>
      <c r="L96" s="1" t="s">
        <v>312</v>
      </c>
      <c r="M96" s="1">
        <v>202402</v>
      </c>
      <c r="N96" s="1">
        <v>3174370625</v>
      </c>
    </row>
    <row r="97" spans="2:14" x14ac:dyDescent="0.2">
      <c r="C97" s="1">
        <v>7</v>
      </c>
      <c r="D97" s="1">
        <v>8</v>
      </c>
      <c r="E97" s="1">
        <v>9</v>
      </c>
      <c r="L97" s="1" t="s">
        <v>312</v>
      </c>
      <c r="M97" s="1">
        <v>202507</v>
      </c>
      <c r="N97" s="1">
        <v>6771584609</v>
      </c>
    </row>
    <row r="98" spans="2:14" x14ac:dyDescent="0.2">
      <c r="B98" s="1" t="s">
        <v>341</v>
      </c>
      <c r="C98" s="1">
        <v>63333</v>
      </c>
      <c r="D98" s="1">
        <v>92113</v>
      </c>
      <c r="E98" s="1">
        <v>137891</v>
      </c>
      <c r="L98" s="1" t="s">
        <v>312</v>
      </c>
      <c r="M98" s="1">
        <v>202505</v>
      </c>
      <c r="N98" s="1">
        <v>5658194523</v>
      </c>
    </row>
    <row r="99" spans="2:14" x14ac:dyDescent="0.2">
      <c r="L99" s="1" t="s">
        <v>312</v>
      </c>
      <c r="M99" s="1">
        <v>202407</v>
      </c>
      <c r="N99" s="1">
        <v>3484982082</v>
      </c>
    </row>
    <row r="100" spans="2:14" ht="16" x14ac:dyDescent="0.2">
      <c r="B100" s="1" t="s">
        <v>342</v>
      </c>
      <c r="C100" s="1">
        <v>40000000</v>
      </c>
      <c r="D100" s="1">
        <v>138824927</v>
      </c>
      <c r="E100" s="1">
        <v>4403980</v>
      </c>
      <c r="G100" s="234">
        <f>SUM(C100:E100)/SUM(C98:E98)/10^6</f>
        <v>6.246361931839489E-4</v>
      </c>
      <c r="L100" s="1" t="s">
        <v>312</v>
      </c>
      <c r="M100" s="1">
        <v>202510</v>
      </c>
      <c r="N100" s="1">
        <v>16338694781</v>
      </c>
    </row>
    <row r="101" spans="2:14" ht="16" x14ac:dyDescent="0.2">
      <c r="B101" s="1" t="s">
        <v>343</v>
      </c>
      <c r="C101" s="1">
        <v>774600187</v>
      </c>
      <c r="D101" s="1">
        <v>1088893327</v>
      </c>
      <c r="E101" s="1">
        <v>1250110888.9999998</v>
      </c>
      <c r="G101" s="235">
        <f>SUM(C101:E101)/SUM(C98:E98)/10^6</f>
        <v>1.0614427784425421E-2</v>
      </c>
      <c r="L101" s="1" t="s">
        <v>312</v>
      </c>
      <c r="M101" s="1">
        <v>202503</v>
      </c>
      <c r="N101" s="1">
        <v>7709919446</v>
      </c>
    </row>
    <row r="102" spans="2:14" x14ac:dyDescent="0.2">
      <c r="L102" s="1" t="s">
        <v>312</v>
      </c>
      <c r="M102" s="1">
        <v>202405</v>
      </c>
      <c r="N102" s="1">
        <v>2391107621</v>
      </c>
    </row>
    <row r="103" spans="2:14" x14ac:dyDescent="0.2">
      <c r="L103" s="1" t="s">
        <v>312</v>
      </c>
      <c r="M103" s="1">
        <v>202501</v>
      </c>
      <c r="N103" s="1">
        <v>4896829780</v>
      </c>
    </row>
    <row r="104" spans="2:14" x14ac:dyDescent="0.2">
      <c r="L104" s="1" t="s">
        <v>312</v>
      </c>
      <c r="M104" s="1">
        <v>202408</v>
      </c>
      <c r="N104" s="1">
        <v>3975055706</v>
      </c>
    </row>
    <row r="105" spans="2:14" x14ac:dyDescent="0.2">
      <c r="B105" s="236" t="s">
        <v>344</v>
      </c>
      <c r="C105" s="236" t="s">
        <v>345</v>
      </c>
      <c r="D105" s="236" t="s">
        <v>346</v>
      </c>
      <c r="E105" s="237">
        <v>45839</v>
      </c>
      <c r="F105" s="237">
        <v>45870</v>
      </c>
      <c r="G105" s="237">
        <v>45901</v>
      </c>
      <c r="I105" s="1" t="s">
        <v>347</v>
      </c>
      <c r="J105" s="1" t="s">
        <v>348</v>
      </c>
      <c r="L105" s="1" t="s">
        <v>313</v>
      </c>
      <c r="M105" s="1">
        <v>202407</v>
      </c>
      <c r="N105" s="1">
        <v>2532202957</v>
      </c>
    </row>
    <row r="106" spans="2:14" ht="16" x14ac:dyDescent="0.2">
      <c r="B106" s="238" t="s">
        <v>349</v>
      </c>
      <c r="C106" s="238" t="s">
        <v>350</v>
      </c>
      <c r="D106" s="239" t="s">
        <v>351</v>
      </c>
      <c r="E106" s="240">
        <v>181103580000</v>
      </c>
      <c r="F106" s="240">
        <v>188150580000</v>
      </c>
      <c r="G106" s="240">
        <v>269540028000</v>
      </c>
      <c r="H106" s="224">
        <f>SUM(E106:G106)</f>
        <v>638794188000</v>
      </c>
      <c r="I106" s="241">
        <v>0.5</v>
      </c>
      <c r="J106" s="218">
        <v>0</v>
      </c>
      <c r="L106" s="1" t="s">
        <v>313</v>
      </c>
      <c r="M106" s="1">
        <v>202510</v>
      </c>
      <c r="N106" s="1">
        <v>6728427628</v>
      </c>
    </row>
    <row r="107" spans="2:14" ht="16" x14ac:dyDescent="0.2">
      <c r="B107" s="238" t="s">
        <v>352</v>
      </c>
      <c r="C107" s="238" t="s">
        <v>350</v>
      </c>
      <c r="D107" s="239" t="s">
        <v>351</v>
      </c>
      <c r="E107" s="240">
        <v>894000000</v>
      </c>
      <c r="F107" s="242">
        <v>1104000000</v>
      </c>
      <c r="G107" s="242">
        <v>1189000000</v>
      </c>
      <c r="H107" s="224">
        <f>SUM(E107:G107)</f>
        <v>3187000000</v>
      </c>
      <c r="I107" s="241">
        <v>0.5</v>
      </c>
      <c r="J107" s="218">
        <v>0</v>
      </c>
      <c r="L107" s="1" t="s">
        <v>313</v>
      </c>
      <c r="M107" s="1">
        <v>202503</v>
      </c>
      <c r="N107" s="1">
        <v>7759016797</v>
      </c>
    </row>
    <row r="108" spans="2:14" ht="16" x14ac:dyDescent="0.2">
      <c r="B108" s="238" t="s">
        <v>349</v>
      </c>
      <c r="C108" s="238" t="s">
        <v>353</v>
      </c>
      <c r="D108" s="239" t="s">
        <v>351</v>
      </c>
      <c r="E108" s="240">
        <v>54643680000</v>
      </c>
      <c r="F108" s="242">
        <v>124745616000</v>
      </c>
      <c r="G108" s="242">
        <v>196882488000</v>
      </c>
      <c r="H108" s="224">
        <f>SUM(E108:G108)</f>
        <v>376271784000</v>
      </c>
      <c r="I108" s="218">
        <v>0</v>
      </c>
      <c r="J108" s="218">
        <v>0</v>
      </c>
      <c r="L108" s="1" t="s">
        <v>313</v>
      </c>
      <c r="M108" s="1">
        <v>202405</v>
      </c>
      <c r="N108" s="1">
        <v>2130402607</v>
      </c>
    </row>
    <row r="109" spans="2:14" ht="16" x14ac:dyDescent="0.2">
      <c r="B109" s="238" t="s">
        <v>349</v>
      </c>
      <c r="C109" s="238" t="s">
        <v>354</v>
      </c>
      <c r="D109" s="239" t="s">
        <v>351</v>
      </c>
      <c r="E109" s="240">
        <v>0</v>
      </c>
      <c r="F109" s="242">
        <v>0</v>
      </c>
      <c r="G109" s="242">
        <v>756000000</v>
      </c>
      <c r="H109" s="224">
        <f>SUM(E109:G109)</f>
        <v>756000000</v>
      </c>
      <c r="I109" s="218">
        <v>0</v>
      </c>
      <c r="J109" s="241">
        <v>0.01</v>
      </c>
      <c r="L109" s="1" t="s">
        <v>313</v>
      </c>
      <c r="M109" s="1">
        <v>202501</v>
      </c>
      <c r="N109" s="1">
        <v>4313905587</v>
      </c>
    </row>
    <row r="110" spans="2:14" x14ac:dyDescent="0.2">
      <c r="L110" s="1" t="s">
        <v>313</v>
      </c>
      <c r="M110" s="1">
        <v>202408</v>
      </c>
      <c r="N110" s="1">
        <v>3378967115</v>
      </c>
    </row>
    <row r="111" spans="2:14" x14ac:dyDescent="0.2">
      <c r="L111" s="1" t="s">
        <v>313</v>
      </c>
      <c r="M111" s="1">
        <v>202508</v>
      </c>
      <c r="N111" s="1">
        <v>6188608797</v>
      </c>
    </row>
    <row r="112" spans="2:14" ht="16" x14ac:dyDescent="0.2">
      <c r="B112" s="243" t="s">
        <v>355</v>
      </c>
      <c r="C112" s="244">
        <f>SUMPRODUCT(H106:H109,I106:I109)/SUM(H106:H109)</f>
        <v>0.31500271618805725</v>
      </c>
      <c r="L112" s="1" t="s">
        <v>313</v>
      </c>
      <c r="M112" s="1">
        <v>202411</v>
      </c>
      <c r="N112" s="1">
        <v>4877191404</v>
      </c>
    </row>
    <row r="113" spans="2:14" ht="16" x14ac:dyDescent="0.2">
      <c r="B113" s="243" t="s">
        <v>348</v>
      </c>
      <c r="C113" s="230">
        <f>SUMPRODUCT(J106:J109,H106:H109)/SUM(H106:H109)</f>
        <v>7.4189729509074433E-6</v>
      </c>
      <c r="L113" s="1" t="s">
        <v>313</v>
      </c>
      <c r="M113" s="1">
        <v>202402</v>
      </c>
      <c r="N113" s="1">
        <v>2765711490</v>
      </c>
    </row>
    <row r="114" spans="2:14" x14ac:dyDescent="0.2">
      <c r="L114" s="1" t="s">
        <v>313</v>
      </c>
      <c r="M114" s="1">
        <v>202507</v>
      </c>
      <c r="N114" s="1">
        <v>5791073866</v>
      </c>
    </row>
    <row r="115" spans="2:14" x14ac:dyDescent="0.2">
      <c r="L115" s="1" t="s">
        <v>313</v>
      </c>
      <c r="M115" s="1">
        <v>202505</v>
      </c>
      <c r="N115" s="1">
        <v>5691588454</v>
      </c>
    </row>
    <row r="116" spans="2:14" x14ac:dyDescent="0.2">
      <c r="L116" s="1" t="s">
        <v>313</v>
      </c>
      <c r="M116" s="1">
        <v>202403</v>
      </c>
      <c r="N116" s="1">
        <v>3086059713</v>
      </c>
    </row>
    <row r="117" spans="2:14" x14ac:dyDescent="0.2">
      <c r="L117" s="1" t="s">
        <v>313</v>
      </c>
      <c r="M117" s="1">
        <v>202410</v>
      </c>
      <c r="N117" s="1">
        <v>4494646673</v>
      </c>
    </row>
    <row r="118" spans="2:14" x14ac:dyDescent="0.2">
      <c r="L118" s="1" t="s">
        <v>313</v>
      </c>
      <c r="M118" s="1">
        <v>202412</v>
      </c>
      <c r="N118" s="1">
        <v>5098774496</v>
      </c>
    </row>
    <row r="119" spans="2:14" x14ac:dyDescent="0.2">
      <c r="L119" s="1" t="s">
        <v>313</v>
      </c>
      <c r="M119" s="1">
        <v>202502</v>
      </c>
      <c r="N119" s="1">
        <v>4713700431</v>
      </c>
    </row>
    <row r="120" spans="2:14" x14ac:dyDescent="0.2">
      <c r="L120" s="1" t="s">
        <v>313</v>
      </c>
      <c r="M120" s="1">
        <v>202401</v>
      </c>
      <c r="N120" s="1">
        <v>2819801637</v>
      </c>
    </row>
    <row r="121" spans="2:14" x14ac:dyDescent="0.2">
      <c r="L121" s="1" t="s">
        <v>313</v>
      </c>
      <c r="M121" s="1">
        <v>202509</v>
      </c>
      <c r="N121" s="1">
        <v>6147932392</v>
      </c>
    </row>
    <row r="122" spans="2:14" x14ac:dyDescent="0.2">
      <c r="L122" s="1" t="s">
        <v>313</v>
      </c>
      <c r="M122" s="1">
        <v>202506</v>
      </c>
      <c r="N122" s="1">
        <v>5344986249</v>
      </c>
    </row>
    <row r="123" spans="2:14" x14ac:dyDescent="0.2">
      <c r="L123" s="1" t="s">
        <v>313</v>
      </c>
      <c r="M123" s="1">
        <v>202504</v>
      </c>
      <c r="N123" s="1">
        <v>7334038550</v>
      </c>
    </row>
    <row r="124" spans="2:14" x14ac:dyDescent="0.2">
      <c r="L124" s="1" t="s">
        <v>313</v>
      </c>
      <c r="M124" s="1">
        <v>202409</v>
      </c>
      <c r="N124" s="1">
        <v>3718124379</v>
      </c>
    </row>
    <row r="125" spans="2:14" x14ac:dyDescent="0.2">
      <c r="L125" s="1" t="s">
        <v>313</v>
      </c>
      <c r="M125" s="1">
        <v>202406</v>
      </c>
      <c r="N125" s="1">
        <v>2200806316</v>
      </c>
    </row>
    <row r="126" spans="2:14" x14ac:dyDescent="0.2">
      <c r="L126" s="1" t="s">
        <v>313</v>
      </c>
      <c r="M126" s="1">
        <v>202404</v>
      </c>
      <c r="N126" s="1">
        <v>3106789415</v>
      </c>
    </row>
    <row r="127" spans="2:14" x14ac:dyDescent="0.2">
      <c r="L127" s="1" t="s">
        <v>314</v>
      </c>
      <c r="M127" s="1">
        <v>202508</v>
      </c>
      <c r="N127" s="1">
        <v>5883465410</v>
      </c>
    </row>
    <row r="128" spans="2:14" x14ac:dyDescent="0.2">
      <c r="L128" s="1" t="s">
        <v>314</v>
      </c>
      <c r="M128" s="1">
        <v>202411</v>
      </c>
      <c r="N128" s="1">
        <v>4382332566</v>
      </c>
    </row>
    <row r="129" spans="12:14" x14ac:dyDescent="0.2">
      <c r="L129" s="1" t="s">
        <v>314</v>
      </c>
      <c r="M129" s="1">
        <v>202402</v>
      </c>
      <c r="N129" s="1">
        <v>2760522034</v>
      </c>
    </row>
    <row r="130" spans="12:14" x14ac:dyDescent="0.2">
      <c r="L130" s="1" t="s">
        <v>314</v>
      </c>
      <c r="M130" s="1">
        <v>202507</v>
      </c>
      <c r="N130" s="1">
        <v>5493579313</v>
      </c>
    </row>
    <row r="131" spans="12:14" x14ac:dyDescent="0.2">
      <c r="L131" s="1" t="s">
        <v>314</v>
      </c>
      <c r="M131" s="1">
        <v>202505</v>
      </c>
      <c r="N131" s="1">
        <v>7136869634</v>
      </c>
    </row>
    <row r="132" spans="12:14" x14ac:dyDescent="0.2">
      <c r="L132" s="1" t="s">
        <v>314</v>
      </c>
      <c r="M132" s="1">
        <v>202404</v>
      </c>
      <c r="N132" s="1">
        <v>3031088643</v>
      </c>
    </row>
    <row r="133" spans="12:14" x14ac:dyDescent="0.2">
      <c r="L133" s="1" t="s">
        <v>314</v>
      </c>
      <c r="M133" s="1">
        <v>202409</v>
      </c>
      <c r="N133" s="1">
        <v>3252923978</v>
      </c>
    </row>
    <row r="134" spans="12:14" x14ac:dyDescent="0.2">
      <c r="L134" s="1" t="s">
        <v>314</v>
      </c>
      <c r="M134" s="1">
        <v>202406</v>
      </c>
      <c r="N134" s="1">
        <v>2041350945</v>
      </c>
    </row>
    <row r="135" spans="12:14" x14ac:dyDescent="0.2">
      <c r="L135" s="1" t="s">
        <v>314</v>
      </c>
      <c r="M135" s="1">
        <v>202407</v>
      </c>
      <c r="N135" s="1">
        <v>2291794701</v>
      </c>
    </row>
    <row r="136" spans="12:14" x14ac:dyDescent="0.2">
      <c r="L136" s="1" t="s">
        <v>314</v>
      </c>
      <c r="M136" s="1">
        <v>202510</v>
      </c>
      <c r="N136" s="1">
        <v>5907977141</v>
      </c>
    </row>
    <row r="137" spans="12:14" x14ac:dyDescent="0.2">
      <c r="L137" s="1" t="s">
        <v>314</v>
      </c>
      <c r="M137" s="1">
        <v>202503</v>
      </c>
      <c r="N137" s="1">
        <v>4758990057</v>
      </c>
    </row>
    <row r="138" spans="12:14" x14ac:dyDescent="0.2">
      <c r="L138" s="1" t="s">
        <v>314</v>
      </c>
      <c r="M138" s="1">
        <v>202405</v>
      </c>
      <c r="N138" s="1">
        <v>3046897699</v>
      </c>
    </row>
    <row r="139" spans="12:14" x14ac:dyDescent="0.2">
      <c r="L139" s="1" t="s">
        <v>314</v>
      </c>
      <c r="M139" s="1">
        <v>202501</v>
      </c>
      <c r="N139" s="1">
        <v>4888975408</v>
      </c>
    </row>
    <row r="140" spans="12:14" x14ac:dyDescent="0.2">
      <c r="L140" s="1" t="s">
        <v>314</v>
      </c>
      <c r="M140" s="1">
        <v>202408</v>
      </c>
      <c r="N140" s="1">
        <v>2347545137</v>
      </c>
    </row>
    <row r="141" spans="12:14" x14ac:dyDescent="0.2">
      <c r="L141" s="1" t="s">
        <v>314</v>
      </c>
      <c r="M141" s="1">
        <v>202410</v>
      </c>
      <c r="N141" s="1">
        <v>3550433410</v>
      </c>
    </row>
    <row r="142" spans="12:14" x14ac:dyDescent="0.2">
      <c r="L142" s="1" t="s">
        <v>314</v>
      </c>
      <c r="M142" s="1">
        <v>202412</v>
      </c>
      <c r="N142" s="1">
        <v>4790023788</v>
      </c>
    </row>
    <row r="143" spans="12:14" x14ac:dyDescent="0.2">
      <c r="L143" s="1" t="s">
        <v>314</v>
      </c>
      <c r="M143" s="1">
        <v>202502</v>
      </c>
      <c r="N143" s="1">
        <v>4169222252</v>
      </c>
    </row>
    <row r="144" spans="12:14" x14ac:dyDescent="0.2">
      <c r="L144" s="1" t="s">
        <v>314</v>
      </c>
      <c r="M144" s="1">
        <v>202509</v>
      </c>
      <c r="N144" s="1">
        <v>5987506756</v>
      </c>
    </row>
    <row r="145" spans="12:14" x14ac:dyDescent="0.2">
      <c r="L145" s="1" t="s">
        <v>314</v>
      </c>
      <c r="M145" s="1">
        <v>202506</v>
      </c>
      <c r="N145" s="1">
        <v>5550425405</v>
      </c>
    </row>
    <row r="146" spans="12:14" x14ac:dyDescent="0.2">
      <c r="L146" s="1" t="s">
        <v>314</v>
      </c>
      <c r="M146" s="1">
        <v>202504</v>
      </c>
      <c r="N146" s="1">
        <v>7503611443</v>
      </c>
    </row>
    <row r="147" spans="12:14" x14ac:dyDescent="0.2">
      <c r="L147" s="1" t="s">
        <v>314</v>
      </c>
      <c r="M147" s="1">
        <v>202403</v>
      </c>
      <c r="N147" s="1">
        <v>2592769789</v>
      </c>
    </row>
    <row r="148" spans="12:14" x14ac:dyDescent="0.2">
      <c r="L148" s="1" t="s">
        <v>314</v>
      </c>
      <c r="M148" s="1">
        <v>202401</v>
      </c>
      <c r="N148" s="1">
        <v>1875793104</v>
      </c>
    </row>
    <row r="149" spans="12:14" x14ac:dyDescent="0.2">
      <c r="L149" s="1" t="s">
        <v>315</v>
      </c>
      <c r="M149" s="1">
        <v>202508</v>
      </c>
      <c r="N149" s="1">
        <v>5364248366</v>
      </c>
    </row>
    <row r="150" spans="12:14" x14ac:dyDescent="0.2">
      <c r="L150" s="1" t="s">
        <v>315</v>
      </c>
      <c r="M150" s="1">
        <v>202411</v>
      </c>
      <c r="N150" s="1">
        <v>3462312311</v>
      </c>
    </row>
    <row r="151" spans="12:14" x14ac:dyDescent="0.2">
      <c r="L151" s="1" t="s">
        <v>315</v>
      </c>
      <c r="M151" s="1">
        <v>202402</v>
      </c>
      <c r="N151" s="1">
        <v>1770256597</v>
      </c>
    </row>
    <row r="152" spans="12:14" x14ac:dyDescent="0.2">
      <c r="L152" s="1" t="s">
        <v>315</v>
      </c>
      <c r="M152" s="1">
        <v>202507</v>
      </c>
      <c r="N152" s="1">
        <v>5317975948</v>
      </c>
    </row>
    <row r="153" spans="12:14" x14ac:dyDescent="0.2">
      <c r="L153" s="1" t="s">
        <v>315</v>
      </c>
      <c r="M153" s="1">
        <v>202505</v>
      </c>
      <c r="N153" s="1">
        <v>7330457696</v>
      </c>
    </row>
    <row r="154" spans="12:14" x14ac:dyDescent="0.2">
      <c r="L154" s="1" t="s">
        <v>315</v>
      </c>
      <c r="M154" s="1">
        <v>202404</v>
      </c>
      <c r="N154" s="1">
        <v>2551771056</v>
      </c>
    </row>
    <row r="155" spans="12:14" x14ac:dyDescent="0.2">
      <c r="L155" s="1" t="s">
        <v>315</v>
      </c>
      <c r="M155" s="1">
        <v>202409</v>
      </c>
      <c r="N155" s="1">
        <v>2291195344</v>
      </c>
    </row>
    <row r="156" spans="12:14" x14ac:dyDescent="0.2">
      <c r="L156" s="1" t="s">
        <v>315</v>
      </c>
      <c r="M156" s="1">
        <v>202406</v>
      </c>
      <c r="N156" s="1">
        <v>2963141268</v>
      </c>
    </row>
    <row r="157" spans="12:14" x14ac:dyDescent="0.2">
      <c r="L157" s="1" t="s">
        <v>315</v>
      </c>
      <c r="M157" s="1">
        <v>202407</v>
      </c>
      <c r="N157" s="1">
        <v>2047638273</v>
      </c>
    </row>
    <row r="158" spans="12:14" x14ac:dyDescent="0.2">
      <c r="L158" s="1" t="s">
        <v>315</v>
      </c>
      <c r="M158" s="1">
        <v>202510</v>
      </c>
      <c r="N158" s="1">
        <v>5973336287</v>
      </c>
    </row>
    <row r="159" spans="12:14" x14ac:dyDescent="0.2">
      <c r="L159" s="1" t="s">
        <v>315</v>
      </c>
      <c r="M159" s="1">
        <v>202503</v>
      </c>
      <c r="N159" s="1">
        <v>3925917203</v>
      </c>
    </row>
    <row r="160" spans="12:14" x14ac:dyDescent="0.2">
      <c r="L160" s="1" t="s">
        <v>315</v>
      </c>
      <c r="M160" s="1">
        <v>202405</v>
      </c>
      <c r="N160" s="1">
        <v>2732835840</v>
      </c>
    </row>
    <row r="161" spans="12:14" x14ac:dyDescent="0.2">
      <c r="L161" s="1" t="s">
        <v>315</v>
      </c>
      <c r="M161" s="1">
        <v>202501</v>
      </c>
      <c r="N161" s="1">
        <v>4934745342</v>
      </c>
    </row>
    <row r="162" spans="12:14" x14ac:dyDescent="0.2">
      <c r="L162" s="1" t="s">
        <v>315</v>
      </c>
      <c r="M162" s="1">
        <v>202408</v>
      </c>
      <c r="N162" s="1">
        <v>2196388918</v>
      </c>
    </row>
    <row r="163" spans="12:14" x14ac:dyDescent="0.2">
      <c r="L163" s="1" t="s">
        <v>315</v>
      </c>
      <c r="M163" s="1">
        <v>202410</v>
      </c>
      <c r="N163" s="1">
        <v>3123277810</v>
      </c>
    </row>
    <row r="164" spans="12:14" x14ac:dyDescent="0.2">
      <c r="L164" s="1" t="s">
        <v>315</v>
      </c>
      <c r="M164" s="1">
        <v>202412</v>
      </c>
      <c r="N164" s="1">
        <v>4124645905</v>
      </c>
    </row>
    <row r="165" spans="12:14" x14ac:dyDescent="0.2">
      <c r="L165" s="1" t="s">
        <v>315</v>
      </c>
      <c r="M165" s="1">
        <v>202509</v>
      </c>
      <c r="N165" s="1">
        <v>5783462054</v>
      </c>
    </row>
    <row r="166" spans="12:14" x14ac:dyDescent="0.2">
      <c r="L166" s="1" t="s">
        <v>315</v>
      </c>
      <c r="M166" s="1">
        <v>202504</v>
      </c>
      <c r="N166" s="1">
        <v>4662271901</v>
      </c>
    </row>
    <row r="167" spans="12:14" x14ac:dyDescent="0.2">
      <c r="L167" s="1" t="s">
        <v>315</v>
      </c>
      <c r="M167" s="1">
        <v>202403</v>
      </c>
      <c r="N167" s="1">
        <v>2731967485</v>
      </c>
    </row>
    <row r="168" spans="12:14" x14ac:dyDescent="0.2">
      <c r="L168" s="1" t="s">
        <v>315</v>
      </c>
      <c r="M168" s="1">
        <v>202502</v>
      </c>
      <c r="N168" s="1">
        <v>4778161995</v>
      </c>
    </row>
    <row r="169" spans="12:14" x14ac:dyDescent="0.2">
      <c r="L169" s="1" t="s">
        <v>315</v>
      </c>
      <c r="M169" s="1">
        <v>202401</v>
      </c>
      <c r="N169" s="1">
        <v>1355563763</v>
      </c>
    </row>
    <row r="170" spans="12:14" x14ac:dyDescent="0.2">
      <c r="L170" s="1" t="s">
        <v>315</v>
      </c>
      <c r="M170" s="1">
        <v>202506</v>
      </c>
      <c r="N170" s="1">
        <v>7003321164</v>
      </c>
    </row>
    <row r="171" spans="12:14" x14ac:dyDescent="0.2">
      <c r="L171" s="1" t="s">
        <v>316</v>
      </c>
      <c r="M171" s="1">
        <v>202407</v>
      </c>
      <c r="N171" s="1">
        <v>2775705386</v>
      </c>
    </row>
    <row r="172" spans="12:14" x14ac:dyDescent="0.2">
      <c r="L172" s="1" t="s">
        <v>316</v>
      </c>
      <c r="M172" s="1">
        <v>202510</v>
      </c>
      <c r="N172" s="1">
        <v>5280346176</v>
      </c>
    </row>
    <row r="173" spans="12:14" x14ac:dyDescent="0.2">
      <c r="L173" s="1" t="s">
        <v>316</v>
      </c>
      <c r="M173" s="1">
        <v>202503</v>
      </c>
      <c r="N173" s="1">
        <v>4721019466</v>
      </c>
    </row>
    <row r="174" spans="12:14" x14ac:dyDescent="0.2">
      <c r="L174" s="1" t="s">
        <v>316</v>
      </c>
      <c r="M174" s="1">
        <v>202405</v>
      </c>
      <c r="N174" s="1">
        <v>2826994152</v>
      </c>
    </row>
    <row r="175" spans="12:14" x14ac:dyDescent="0.2">
      <c r="L175" s="1" t="s">
        <v>316</v>
      </c>
      <c r="M175" s="1">
        <v>202501</v>
      </c>
      <c r="N175" s="1">
        <v>4087432848</v>
      </c>
    </row>
    <row r="176" spans="12:14" x14ac:dyDescent="0.2">
      <c r="L176" s="1" t="s">
        <v>316</v>
      </c>
      <c r="M176" s="1">
        <v>202408</v>
      </c>
      <c r="N176" s="1">
        <v>1949463239</v>
      </c>
    </row>
    <row r="177" spans="12:14" x14ac:dyDescent="0.2">
      <c r="L177" s="1" t="s">
        <v>316</v>
      </c>
      <c r="M177" s="1">
        <v>202508</v>
      </c>
      <c r="N177" s="1">
        <v>5293575080</v>
      </c>
    </row>
    <row r="178" spans="12:14" x14ac:dyDescent="0.2">
      <c r="L178" s="1" t="s">
        <v>316</v>
      </c>
      <c r="M178" s="1">
        <v>202411</v>
      </c>
      <c r="N178" s="1">
        <v>3085474825</v>
      </c>
    </row>
    <row r="179" spans="12:14" x14ac:dyDescent="0.2">
      <c r="L179" s="1" t="s">
        <v>316</v>
      </c>
      <c r="M179" s="1">
        <v>202402</v>
      </c>
      <c r="N179" s="1">
        <v>1316343933</v>
      </c>
    </row>
    <row r="180" spans="12:14" x14ac:dyDescent="0.2">
      <c r="L180" s="1" t="s">
        <v>316</v>
      </c>
      <c r="M180" s="1">
        <v>202507</v>
      </c>
      <c r="N180" s="1">
        <v>7213434708</v>
      </c>
    </row>
    <row r="181" spans="12:14" x14ac:dyDescent="0.2">
      <c r="L181" s="1" t="s">
        <v>316</v>
      </c>
      <c r="M181" s="1">
        <v>202505</v>
      </c>
      <c r="N181" s="1">
        <v>4311181112</v>
      </c>
    </row>
    <row r="182" spans="12:14" x14ac:dyDescent="0.2">
      <c r="L182" s="1" t="s">
        <v>316</v>
      </c>
      <c r="M182" s="1">
        <v>202403</v>
      </c>
      <c r="N182" s="1">
        <v>1826811582</v>
      </c>
    </row>
    <row r="183" spans="12:14" x14ac:dyDescent="0.2">
      <c r="L183" s="1" t="s">
        <v>316</v>
      </c>
      <c r="M183" s="1">
        <v>202410</v>
      </c>
      <c r="N183" s="1">
        <v>2356101572</v>
      </c>
    </row>
    <row r="184" spans="12:14" x14ac:dyDescent="0.2">
      <c r="L184" s="1" t="s">
        <v>316</v>
      </c>
      <c r="M184" s="1">
        <v>202412</v>
      </c>
      <c r="N184" s="1">
        <v>3444566681</v>
      </c>
    </row>
    <row r="185" spans="12:14" x14ac:dyDescent="0.2">
      <c r="L185" s="1" t="s">
        <v>316</v>
      </c>
      <c r="M185" s="1">
        <v>202502</v>
      </c>
      <c r="N185" s="1">
        <v>4501563793</v>
      </c>
    </row>
    <row r="186" spans="12:14" x14ac:dyDescent="0.2">
      <c r="L186" s="1" t="s">
        <v>316</v>
      </c>
      <c r="M186" s="1">
        <v>202401</v>
      </c>
      <c r="N186" s="1">
        <v>1380968541</v>
      </c>
    </row>
    <row r="187" spans="12:14" x14ac:dyDescent="0.2">
      <c r="L187" s="1" t="s">
        <v>316</v>
      </c>
      <c r="M187" s="1">
        <v>202509</v>
      </c>
      <c r="N187" s="1">
        <v>5291955522</v>
      </c>
    </row>
    <row r="188" spans="12:14" x14ac:dyDescent="0.2">
      <c r="L188" s="1" t="s">
        <v>316</v>
      </c>
      <c r="M188" s="1">
        <v>202506</v>
      </c>
      <c r="N188" s="1">
        <v>7227004819</v>
      </c>
    </row>
    <row r="189" spans="12:14" x14ac:dyDescent="0.2">
      <c r="L189" s="1" t="s">
        <v>316</v>
      </c>
      <c r="M189" s="1">
        <v>202504</v>
      </c>
      <c r="N189" s="1">
        <v>3874714147</v>
      </c>
    </row>
    <row r="190" spans="12:14" x14ac:dyDescent="0.2">
      <c r="L190" s="1" t="s">
        <v>316</v>
      </c>
      <c r="M190" s="1">
        <v>202409</v>
      </c>
      <c r="N190" s="1">
        <v>2163950798</v>
      </c>
    </row>
    <row r="191" spans="12:14" x14ac:dyDescent="0.2">
      <c r="L191" s="1" t="s">
        <v>316</v>
      </c>
      <c r="M191" s="1">
        <v>202404</v>
      </c>
      <c r="N191" s="1">
        <v>2685243875</v>
      </c>
    </row>
    <row r="192" spans="12:14" x14ac:dyDescent="0.2">
      <c r="L192" s="1" t="s">
        <v>316</v>
      </c>
      <c r="M192" s="1">
        <v>202406</v>
      </c>
      <c r="N192" s="1">
        <v>2708836553</v>
      </c>
    </row>
    <row r="193" spans="12:14" x14ac:dyDescent="0.2">
      <c r="L193" s="1" t="s">
        <v>317</v>
      </c>
      <c r="M193" s="1">
        <v>202404</v>
      </c>
      <c r="N193" s="1">
        <v>1812462582</v>
      </c>
    </row>
    <row r="194" spans="12:14" x14ac:dyDescent="0.2">
      <c r="L194" s="1" t="s">
        <v>317</v>
      </c>
      <c r="M194" s="1">
        <v>202409</v>
      </c>
      <c r="N194" s="1">
        <v>1918454209</v>
      </c>
    </row>
    <row r="195" spans="12:14" x14ac:dyDescent="0.2">
      <c r="L195" s="1" t="s">
        <v>317</v>
      </c>
      <c r="M195" s="1">
        <v>202406</v>
      </c>
      <c r="N195" s="1">
        <v>2821810652</v>
      </c>
    </row>
    <row r="196" spans="12:14" x14ac:dyDescent="0.2">
      <c r="L196" s="1" t="s">
        <v>317</v>
      </c>
      <c r="M196" s="1">
        <v>202403</v>
      </c>
      <c r="N196" s="1">
        <v>1330596806</v>
      </c>
    </row>
    <row r="197" spans="12:14" x14ac:dyDescent="0.2">
      <c r="L197" s="1" t="s">
        <v>317</v>
      </c>
      <c r="M197" s="1">
        <v>202410</v>
      </c>
      <c r="N197" s="1">
        <v>2119902022</v>
      </c>
    </row>
    <row r="198" spans="12:14" x14ac:dyDescent="0.2">
      <c r="L198" s="1" t="s">
        <v>317</v>
      </c>
      <c r="M198" s="1">
        <v>202412</v>
      </c>
      <c r="N198" s="1">
        <v>3056608221</v>
      </c>
    </row>
    <row r="199" spans="12:14" x14ac:dyDescent="0.2">
      <c r="L199" s="1" t="s">
        <v>317</v>
      </c>
      <c r="M199" s="1">
        <v>202502</v>
      </c>
      <c r="N199" s="1">
        <v>4187173007</v>
      </c>
    </row>
    <row r="200" spans="12:14" x14ac:dyDescent="0.2">
      <c r="L200" s="1" t="s">
        <v>317</v>
      </c>
      <c r="M200" s="1">
        <v>202401</v>
      </c>
      <c r="N200" s="1">
        <v>1317168543</v>
      </c>
    </row>
    <row r="201" spans="12:14" x14ac:dyDescent="0.2">
      <c r="L201" s="1" t="s">
        <v>317</v>
      </c>
      <c r="M201" s="1">
        <v>202509</v>
      </c>
      <c r="N201" s="1">
        <v>5217146152</v>
      </c>
    </row>
    <row r="202" spans="12:14" x14ac:dyDescent="0.2">
      <c r="L202" s="1" t="s">
        <v>317</v>
      </c>
      <c r="M202" s="1">
        <v>202506</v>
      </c>
      <c r="N202" s="1">
        <v>4256572638</v>
      </c>
    </row>
    <row r="203" spans="12:14" x14ac:dyDescent="0.2">
      <c r="L203" s="1" t="s">
        <v>317</v>
      </c>
      <c r="M203" s="1">
        <v>202504</v>
      </c>
      <c r="N203" s="1">
        <v>4660876514</v>
      </c>
    </row>
    <row r="204" spans="12:14" x14ac:dyDescent="0.2">
      <c r="L204" s="1" t="s">
        <v>317</v>
      </c>
      <c r="M204" s="1">
        <v>202508</v>
      </c>
      <c r="N204" s="1">
        <v>7290287879</v>
      </c>
    </row>
    <row r="205" spans="12:14" x14ac:dyDescent="0.2">
      <c r="L205" s="1" t="s">
        <v>317</v>
      </c>
      <c r="M205" s="1">
        <v>202411</v>
      </c>
      <c r="N205" s="1">
        <v>2334830218</v>
      </c>
    </row>
    <row r="206" spans="12:14" x14ac:dyDescent="0.2">
      <c r="L206" s="1" t="s">
        <v>317</v>
      </c>
      <c r="M206" s="1">
        <v>202402</v>
      </c>
      <c r="N206" s="1">
        <v>1400327709</v>
      </c>
    </row>
    <row r="207" spans="12:14" x14ac:dyDescent="0.2">
      <c r="L207" s="1" t="s">
        <v>317</v>
      </c>
      <c r="M207" s="1">
        <v>202507</v>
      </c>
      <c r="N207" s="1">
        <v>6633430860</v>
      </c>
    </row>
    <row r="208" spans="12:14" x14ac:dyDescent="0.2">
      <c r="L208" s="1" t="s">
        <v>317</v>
      </c>
      <c r="M208" s="1">
        <v>202505</v>
      </c>
      <c r="N208" s="1">
        <v>3976394669</v>
      </c>
    </row>
    <row r="209" spans="12:14" x14ac:dyDescent="0.2">
      <c r="L209" s="1" t="s">
        <v>317</v>
      </c>
      <c r="M209" s="1">
        <v>202510</v>
      </c>
      <c r="N209" s="1">
        <v>5465983094</v>
      </c>
    </row>
    <row r="210" spans="12:14" x14ac:dyDescent="0.2">
      <c r="L210" s="1" t="s">
        <v>317</v>
      </c>
      <c r="M210" s="1">
        <v>202501</v>
      </c>
      <c r="N210" s="1">
        <v>3297912124</v>
      </c>
    </row>
    <row r="211" spans="12:14" x14ac:dyDescent="0.2">
      <c r="L211" s="1" t="s">
        <v>317</v>
      </c>
      <c r="M211" s="1">
        <v>202407</v>
      </c>
      <c r="N211" s="1">
        <v>2728316474</v>
      </c>
    </row>
    <row r="212" spans="12:14" x14ac:dyDescent="0.2">
      <c r="L212" s="1" t="s">
        <v>317</v>
      </c>
      <c r="M212" s="1">
        <v>202503</v>
      </c>
      <c r="N212" s="1">
        <v>4597721703</v>
      </c>
    </row>
    <row r="213" spans="12:14" x14ac:dyDescent="0.2">
      <c r="L213" s="1" t="s">
        <v>317</v>
      </c>
      <c r="M213" s="1">
        <v>202405</v>
      </c>
      <c r="N213" s="1">
        <v>2515384227</v>
      </c>
    </row>
    <row r="214" spans="12:14" x14ac:dyDescent="0.2">
      <c r="L214" s="1" t="s">
        <v>317</v>
      </c>
      <c r="M214" s="1">
        <v>202408</v>
      </c>
      <c r="N214" s="1">
        <v>2732001716</v>
      </c>
    </row>
    <row r="215" spans="12:14" x14ac:dyDescent="0.2">
      <c r="L215" s="1" t="s">
        <v>318</v>
      </c>
      <c r="M215" s="1">
        <v>202403</v>
      </c>
      <c r="N215" s="1">
        <v>1342963129</v>
      </c>
    </row>
    <row r="216" spans="12:14" x14ac:dyDescent="0.2">
      <c r="L216" s="1" t="s">
        <v>318</v>
      </c>
      <c r="M216" s="1">
        <v>202410</v>
      </c>
      <c r="N216" s="1">
        <v>1929543056</v>
      </c>
    </row>
    <row r="217" spans="12:14" x14ac:dyDescent="0.2">
      <c r="L217" s="1" t="s">
        <v>318</v>
      </c>
      <c r="M217" s="1">
        <v>202412</v>
      </c>
      <c r="N217" s="1">
        <v>2403947249</v>
      </c>
    </row>
    <row r="218" spans="12:14" x14ac:dyDescent="0.2">
      <c r="L218" s="1" t="s">
        <v>318</v>
      </c>
      <c r="M218" s="1">
        <v>202502</v>
      </c>
      <c r="N218" s="1">
        <v>3236949504</v>
      </c>
    </row>
    <row r="219" spans="12:14" x14ac:dyDescent="0.2">
      <c r="L219" s="1" t="s">
        <v>318</v>
      </c>
      <c r="M219" s="1">
        <v>202401</v>
      </c>
      <c r="N219" s="1">
        <v>865930990</v>
      </c>
    </row>
    <row r="220" spans="12:14" x14ac:dyDescent="0.2">
      <c r="L220" s="1" t="s">
        <v>318</v>
      </c>
      <c r="M220" s="1">
        <v>202509</v>
      </c>
      <c r="N220" s="1">
        <v>7217481891</v>
      </c>
    </row>
    <row r="221" spans="12:14" x14ac:dyDescent="0.2">
      <c r="L221" s="1" t="s">
        <v>318</v>
      </c>
      <c r="M221" s="1">
        <v>202506</v>
      </c>
      <c r="N221" s="1">
        <v>3923487920</v>
      </c>
    </row>
    <row r="222" spans="12:14" x14ac:dyDescent="0.2">
      <c r="L222" s="1" t="s">
        <v>318</v>
      </c>
      <c r="M222" s="1">
        <v>202504</v>
      </c>
      <c r="N222" s="1">
        <v>4461110951</v>
      </c>
    </row>
    <row r="223" spans="12:14" x14ac:dyDescent="0.2">
      <c r="L223" s="1" t="s">
        <v>318</v>
      </c>
      <c r="M223" s="1">
        <v>202407</v>
      </c>
      <c r="N223" s="1">
        <v>2725144959</v>
      </c>
    </row>
    <row r="224" spans="12:14" x14ac:dyDescent="0.2">
      <c r="L224" s="1" t="s">
        <v>318</v>
      </c>
      <c r="M224" s="1">
        <v>202510</v>
      </c>
      <c r="N224" s="1">
        <v>4811503155</v>
      </c>
    </row>
    <row r="225" spans="12:14" x14ac:dyDescent="0.2">
      <c r="L225" s="1" t="s">
        <v>318</v>
      </c>
      <c r="M225" s="1">
        <v>202503</v>
      </c>
      <c r="N225" s="1">
        <v>3892428064</v>
      </c>
    </row>
    <row r="226" spans="12:14" x14ac:dyDescent="0.2">
      <c r="L226" s="1" t="s">
        <v>318</v>
      </c>
      <c r="M226" s="1">
        <v>202405</v>
      </c>
      <c r="N226" s="1">
        <v>1884742664</v>
      </c>
    </row>
    <row r="227" spans="12:14" x14ac:dyDescent="0.2">
      <c r="L227" s="1" t="s">
        <v>318</v>
      </c>
      <c r="M227" s="1">
        <v>202501</v>
      </c>
      <c r="N227" s="1">
        <v>3032344975</v>
      </c>
    </row>
    <row r="228" spans="12:14" x14ac:dyDescent="0.2">
      <c r="L228" s="1" t="s">
        <v>318</v>
      </c>
      <c r="M228" s="1">
        <v>202408</v>
      </c>
      <c r="N228" s="1">
        <v>2776345730</v>
      </c>
    </row>
    <row r="229" spans="12:14" x14ac:dyDescent="0.2">
      <c r="L229" s="1" t="s">
        <v>318</v>
      </c>
      <c r="M229" s="1">
        <v>202404</v>
      </c>
      <c r="N229" s="1">
        <v>1327356801</v>
      </c>
    </row>
    <row r="230" spans="12:14" x14ac:dyDescent="0.2">
      <c r="L230" s="1" t="s">
        <v>318</v>
      </c>
      <c r="M230" s="1">
        <v>202409</v>
      </c>
      <c r="N230" s="1">
        <v>2710466601</v>
      </c>
    </row>
    <row r="231" spans="12:14" x14ac:dyDescent="0.2">
      <c r="L231" s="1" t="s">
        <v>318</v>
      </c>
      <c r="M231" s="1">
        <v>202406</v>
      </c>
      <c r="N231" s="1">
        <v>2491352879</v>
      </c>
    </row>
    <row r="232" spans="12:14" x14ac:dyDescent="0.2">
      <c r="L232" s="1" t="s">
        <v>318</v>
      </c>
      <c r="M232" s="1">
        <v>202508</v>
      </c>
      <c r="N232" s="1">
        <v>6247258058</v>
      </c>
    </row>
    <row r="233" spans="12:14" x14ac:dyDescent="0.2">
      <c r="L233" s="1" t="s">
        <v>318</v>
      </c>
      <c r="M233" s="1">
        <v>202411</v>
      </c>
      <c r="N233" s="1">
        <v>2115203348</v>
      </c>
    </row>
    <row r="234" spans="12:14" x14ac:dyDescent="0.2">
      <c r="L234" s="1" t="s">
        <v>318</v>
      </c>
      <c r="M234" s="1">
        <v>202507</v>
      </c>
      <c r="N234" s="1">
        <v>4547706832</v>
      </c>
    </row>
    <row r="235" spans="12:14" x14ac:dyDescent="0.2">
      <c r="L235" s="1" t="s">
        <v>318</v>
      </c>
      <c r="M235" s="1">
        <v>202402</v>
      </c>
      <c r="N235" s="1">
        <v>1297383379</v>
      </c>
    </row>
    <row r="236" spans="12:14" x14ac:dyDescent="0.2">
      <c r="L236" s="1" t="s">
        <v>318</v>
      </c>
      <c r="M236" s="1">
        <v>202505</v>
      </c>
      <c r="N236" s="1">
        <v>4512102970</v>
      </c>
    </row>
    <row r="237" spans="12:14" x14ac:dyDescent="0.2">
      <c r="L237" s="1" t="s">
        <v>319</v>
      </c>
      <c r="M237" s="1">
        <v>202403</v>
      </c>
      <c r="N237" s="1">
        <v>1307133543</v>
      </c>
    </row>
    <row r="238" spans="12:14" x14ac:dyDescent="0.2">
      <c r="L238" s="1" t="s">
        <v>319</v>
      </c>
      <c r="M238" s="1">
        <v>202410</v>
      </c>
      <c r="N238" s="1">
        <v>2758647801</v>
      </c>
    </row>
    <row r="239" spans="12:14" x14ac:dyDescent="0.2">
      <c r="L239" s="1" t="s">
        <v>319</v>
      </c>
      <c r="M239" s="1">
        <v>202412</v>
      </c>
      <c r="N239" s="1">
        <v>1992845181</v>
      </c>
    </row>
    <row r="240" spans="12:14" x14ac:dyDescent="0.2">
      <c r="L240" s="1" t="s">
        <v>319</v>
      </c>
      <c r="M240" s="1">
        <v>202502</v>
      </c>
      <c r="N240" s="1">
        <v>2889811426</v>
      </c>
    </row>
    <row r="241" spans="12:14" x14ac:dyDescent="0.2">
      <c r="L241" s="1" t="s">
        <v>319</v>
      </c>
      <c r="M241" s="1">
        <v>202509</v>
      </c>
      <c r="N241" s="1">
        <v>6247258058</v>
      </c>
    </row>
    <row r="242" spans="12:14" x14ac:dyDescent="0.2">
      <c r="L242" s="1" t="s">
        <v>319</v>
      </c>
      <c r="M242" s="1">
        <v>202506</v>
      </c>
      <c r="N242" s="1">
        <v>4477782016</v>
      </c>
    </row>
    <row r="243" spans="12:14" x14ac:dyDescent="0.2">
      <c r="L243" s="1" t="s">
        <v>319</v>
      </c>
      <c r="M243" s="1">
        <v>202504</v>
      </c>
      <c r="N243" s="1">
        <v>3882239181</v>
      </c>
    </row>
    <row r="244" spans="12:14" x14ac:dyDescent="0.2">
      <c r="L244" s="1" t="s">
        <v>319</v>
      </c>
      <c r="M244" s="1">
        <v>202407</v>
      </c>
      <c r="N244" s="1">
        <v>2503309924</v>
      </c>
    </row>
    <row r="245" spans="12:14" x14ac:dyDescent="0.2">
      <c r="L245" s="1" t="s">
        <v>319</v>
      </c>
      <c r="M245" s="1">
        <v>202510</v>
      </c>
      <c r="N245" s="1">
        <v>7198626673</v>
      </c>
    </row>
    <row r="246" spans="12:14" x14ac:dyDescent="0.2">
      <c r="L246" s="1" t="s">
        <v>319</v>
      </c>
      <c r="M246" s="1">
        <v>202503</v>
      </c>
      <c r="N246" s="1">
        <v>3269115245</v>
      </c>
    </row>
    <row r="247" spans="12:14" x14ac:dyDescent="0.2">
      <c r="L247" s="1" t="s">
        <v>319</v>
      </c>
      <c r="M247" s="1">
        <v>202405</v>
      </c>
      <c r="N247" s="1">
        <v>1370267471</v>
      </c>
    </row>
    <row r="248" spans="12:14" x14ac:dyDescent="0.2">
      <c r="L248" s="1" t="s">
        <v>319</v>
      </c>
      <c r="M248" s="1">
        <v>202501</v>
      </c>
      <c r="N248" s="1">
        <v>2364770807</v>
      </c>
    </row>
    <row r="249" spans="12:14" x14ac:dyDescent="0.2">
      <c r="L249" s="1" t="s">
        <v>319</v>
      </c>
      <c r="M249" s="1">
        <v>202408</v>
      </c>
      <c r="N249" s="1">
        <v>2702559535</v>
      </c>
    </row>
    <row r="250" spans="12:14" x14ac:dyDescent="0.2">
      <c r="L250" s="1" t="s">
        <v>319</v>
      </c>
      <c r="M250" s="1">
        <v>202404</v>
      </c>
      <c r="N250" s="1">
        <v>1331633561</v>
      </c>
    </row>
    <row r="251" spans="12:14" x14ac:dyDescent="0.2">
      <c r="L251" s="1" t="s">
        <v>319</v>
      </c>
      <c r="M251" s="1">
        <v>202409</v>
      </c>
      <c r="N251" s="1">
        <v>2744433034</v>
      </c>
    </row>
    <row r="252" spans="12:14" x14ac:dyDescent="0.2">
      <c r="L252" s="1" t="s">
        <v>319</v>
      </c>
      <c r="M252" s="1">
        <v>202406</v>
      </c>
      <c r="N252" s="1">
        <v>1881032068</v>
      </c>
    </row>
    <row r="253" spans="12:14" x14ac:dyDescent="0.2">
      <c r="L253" s="1" t="s">
        <v>319</v>
      </c>
      <c r="M253" s="1">
        <v>202508</v>
      </c>
      <c r="N253" s="1">
        <v>4667227695</v>
      </c>
    </row>
    <row r="254" spans="12:14" x14ac:dyDescent="0.2">
      <c r="L254" s="1" t="s">
        <v>319</v>
      </c>
      <c r="M254" s="1">
        <v>202411</v>
      </c>
      <c r="N254" s="1">
        <v>1913310266</v>
      </c>
    </row>
    <row r="255" spans="12:14" x14ac:dyDescent="0.2">
      <c r="L255" s="1" t="s">
        <v>319</v>
      </c>
      <c r="M255" s="1">
        <v>202507</v>
      </c>
      <c r="N255" s="1">
        <v>4065255065</v>
      </c>
    </row>
    <row r="256" spans="12:14" x14ac:dyDescent="0.2">
      <c r="L256" s="1" t="s">
        <v>319</v>
      </c>
      <c r="M256" s="1">
        <v>202402</v>
      </c>
      <c r="N256" s="1">
        <v>841830990</v>
      </c>
    </row>
    <row r="257" spans="12:14" x14ac:dyDescent="0.2">
      <c r="L257" s="1" t="s">
        <v>319</v>
      </c>
      <c r="M257" s="1">
        <v>202505</v>
      </c>
      <c r="N257" s="1">
        <v>4648422654</v>
      </c>
    </row>
    <row r="258" spans="12:14" x14ac:dyDescent="0.2">
      <c r="L258" s="1" t="s">
        <v>320</v>
      </c>
      <c r="M258" s="1">
        <v>202407</v>
      </c>
      <c r="N258" s="1">
        <v>1949028084</v>
      </c>
    </row>
    <row r="259" spans="12:14" x14ac:dyDescent="0.2">
      <c r="L259" s="1" t="s">
        <v>320</v>
      </c>
      <c r="M259" s="1">
        <v>202510</v>
      </c>
      <c r="N259" s="1">
        <v>6538579952</v>
      </c>
    </row>
    <row r="260" spans="12:14" x14ac:dyDescent="0.2">
      <c r="L260" s="1" t="s">
        <v>320</v>
      </c>
      <c r="M260" s="1">
        <v>202503</v>
      </c>
      <c r="N260" s="1">
        <v>2904491822</v>
      </c>
    </row>
    <row r="261" spans="12:14" x14ac:dyDescent="0.2">
      <c r="L261" s="1" t="s">
        <v>320</v>
      </c>
      <c r="M261" s="1">
        <v>202405</v>
      </c>
      <c r="N261" s="1">
        <v>1266458414</v>
      </c>
    </row>
    <row r="262" spans="12:14" x14ac:dyDescent="0.2">
      <c r="L262" s="1" t="s">
        <v>320</v>
      </c>
      <c r="M262" s="1">
        <v>202501</v>
      </c>
      <c r="N262" s="1">
        <v>2029094278</v>
      </c>
    </row>
    <row r="263" spans="12:14" x14ac:dyDescent="0.2">
      <c r="L263" s="1" t="s">
        <v>320</v>
      </c>
      <c r="M263" s="1">
        <v>202408</v>
      </c>
      <c r="N263" s="1">
        <v>2547496130</v>
      </c>
    </row>
    <row r="264" spans="12:14" x14ac:dyDescent="0.2">
      <c r="L264" s="1" t="s">
        <v>320</v>
      </c>
      <c r="M264" s="1">
        <v>202508</v>
      </c>
      <c r="N264" s="1">
        <v>3923514411</v>
      </c>
    </row>
    <row r="265" spans="12:14" x14ac:dyDescent="0.2">
      <c r="L265" s="1" t="s">
        <v>320</v>
      </c>
      <c r="M265" s="1">
        <v>202411</v>
      </c>
      <c r="N265" s="1">
        <v>2738648503</v>
      </c>
    </row>
    <row r="266" spans="12:14" x14ac:dyDescent="0.2">
      <c r="L266" s="1" t="s">
        <v>320</v>
      </c>
      <c r="M266" s="1">
        <v>202507</v>
      </c>
      <c r="N266" s="1">
        <v>4276488143</v>
      </c>
    </row>
    <row r="267" spans="12:14" x14ac:dyDescent="0.2">
      <c r="L267" s="1" t="s">
        <v>320</v>
      </c>
      <c r="M267" s="1">
        <v>202505</v>
      </c>
      <c r="N267" s="1">
        <v>3882239181</v>
      </c>
    </row>
    <row r="268" spans="12:14" x14ac:dyDescent="0.2">
      <c r="L268" s="1" t="s">
        <v>320</v>
      </c>
      <c r="M268" s="1">
        <v>202403</v>
      </c>
      <c r="N268" s="1">
        <v>855437913</v>
      </c>
    </row>
    <row r="269" spans="12:14" x14ac:dyDescent="0.2">
      <c r="L269" s="1" t="s">
        <v>320</v>
      </c>
      <c r="M269" s="1">
        <v>202410</v>
      </c>
      <c r="N269" s="1">
        <v>2632550160</v>
      </c>
    </row>
    <row r="270" spans="12:14" x14ac:dyDescent="0.2">
      <c r="L270" s="1" t="s">
        <v>320</v>
      </c>
      <c r="M270" s="1">
        <v>202412</v>
      </c>
      <c r="N270" s="1">
        <v>1893505610</v>
      </c>
    </row>
    <row r="271" spans="12:14" x14ac:dyDescent="0.2">
      <c r="L271" s="1" t="s">
        <v>320</v>
      </c>
      <c r="M271" s="1">
        <v>202502</v>
      </c>
      <c r="N271" s="1">
        <v>2203438735</v>
      </c>
    </row>
    <row r="272" spans="12:14" x14ac:dyDescent="0.2">
      <c r="L272" s="1" t="s">
        <v>320</v>
      </c>
      <c r="M272" s="1">
        <v>202509</v>
      </c>
      <c r="N272" s="1">
        <v>4667227695</v>
      </c>
    </row>
    <row r="273" spans="12:14" x14ac:dyDescent="0.2">
      <c r="L273" s="1" t="s">
        <v>320</v>
      </c>
      <c r="M273" s="1">
        <v>202506</v>
      </c>
      <c r="N273" s="1">
        <v>4648422654</v>
      </c>
    </row>
    <row r="274" spans="12:14" x14ac:dyDescent="0.2">
      <c r="L274" s="1" t="s">
        <v>320</v>
      </c>
      <c r="M274" s="1">
        <v>202504</v>
      </c>
      <c r="N274" s="1">
        <v>3269115245</v>
      </c>
    </row>
    <row r="275" spans="12:14" x14ac:dyDescent="0.2">
      <c r="L275" s="1" t="s">
        <v>320</v>
      </c>
      <c r="M275" s="1">
        <v>202404</v>
      </c>
      <c r="N275" s="1">
        <v>1304047520</v>
      </c>
    </row>
    <row r="276" spans="12:14" x14ac:dyDescent="0.2">
      <c r="L276" s="1" t="s">
        <v>320</v>
      </c>
      <c r="M276" s="1">
        <v>202409</v>
      </c>
      <c r="N276" s="1">
        <v>2686097451</v>
      </c>
    </row>
    <row r="277" spans="12:14" x14ac:dyDescent="0.2">
      <c r="L277" s="1" t="s">
        <v>320</v>
      </c>
      <c r="M277" s="1">
        <v>202406</v>
      </c>
      <c r="N277" s="1">
        <v>1365007471</v>
      </c>
    </row>
    <row r="278" spans="12:14" x14ac:dyDescent="0.2">
      <c r="L278" s="1" t="s">
        <v>321</v>
      </c>
      <c r="M278" s="1">
        <v>202508</v>
      </c>
      <c r="N278" s="1">
        <v>4391942818</v>
      </c>
    </row>
    <row r="279" spans="12:14" x14ac:dyDescent="0.2">
      <c r="L279" s="1" t="s">
        <v>321</v>
      </c>
      <c r="M279" s="1">
        <v>202411</v>
      </c>
      <c r="N279" s="1">
        <v>2616345520</v>
      </c>
    </row>
    <row r="280" spans="12:14" x14ac:dyDescent="0.2">
      <c r="L280" s="1" t="s">
        <v>321</v>
      </c>
      <c r="M280" s="1">
        <v>202507</v>
      </c>
      <c r="N280" s="1">
        <v>4275758471</v>
      </c>
    </row>
    <row r="281" spans="12:14" x14ac:dyDescent="0.2">
      <c r="L281" s="1" t="s">
        <v>321</v>
      </c>
      <c r="M281" s="1">
        <v>202505</v>
      </c>
      <c r="N281" s="1">
        <v>3155867356</v>
      </c>
    </row>
    <row r="282" spans="12:14" x14ac:dyDescent="0.2">
      <c r="L282" s="1" t="s">
        <v>321</v>
      </c>
      <c r="M282" s="1">
        <v>202404</v>
      </c>
      <c r="N282" s="1">
        <v>855437913</v>
      </c>
    </row>
    <row r="283" spans="12:14" x14ac:dyDescent="0.2">
      <c r="L283" s="1" t="s">
        <v>321</v>
      </c>
      <c r="M283" s="1">
        <v>202409</v>
      </c>
      <c r="N283" s="1">
        <v>2528168426</v>
      </c>
    </row>
    <row r="284" spans="12:14" x14ac:dyDescent="0.2">
      <c r="L284" s="1" t="s">
        <v>321</v>
      </c>
      <c r="M284" s="1">
        <v>202406</v>
      </c>
      <c r="N284" s="1">
        <v>1262008414</v>
      </c>
    </row>
    <row r="285" spans="12:14" x14ac:dyDescent="0.2">
      <c r="L285" s="1" t="s">
        <v>321</v>
      </c>
      <c r="M285" s="1">
        <v>202407</v>
      </c>
      <c r="N285" s="1">
        <v>1256585535</v>
      </c>
    </row>
    <row r="286" spans="12:14" x14ac:dyDescent="0.2">
      <c r="L286" s="1" t="s">
        <v>321</v>
      </c>
      <c r="M286" s="1">
        <v>202510</v>
      </c>
      <c r="N286" s="1">
        <v>3982697671</v>
      </c>
    </row>
    <row r="287" spans="12:14" x14ac:dyDescent="0.2">
      <c r="L287" s="1" t="s">
        <v>321</v>
      </c>
      <c r="M287" s="1">
        <v>202503</v>
      </c>
      <c r="N287" s="1">
        <v>2293738735</v>
      </c>
    </row>
    <row r="288" spans="12:14" x14ac:dyDescent="0.2">
      <c r="L288" s="1" t="s">
        <v>321</v>
      </c>
      <c r="M288" s="1">
        <v>202405</v>
      </c>
      <c r="N288" s="1">
        <v>1310262067</v>
      </c>
    </row>
    <row r="289" spans="12:14" x14ac:dyDescent="0.2">
      <c r="L289" s="1" t="s">
        <v>321</v>
      </c>
      <c r="M289" s="1">
        <v>202501</v>
      </c>
      <c r="N289" s="1">
        <v>1853047905</v>
      </c>
    </row>
    <row r="290" spans="12:14" x14ac:dyDescent="0.2">
      <c r="L290" s="1" t="s">
        <v>321</v>
      </c>
      <c r="M290" s="1">
        <v>202408</v>
      </c>
      <c r="N290" s="1">
        <v>1875357203</v>
      </c>
    </row>
    <row r="291" spans="12:14" x14ac:dyDescent="0.2">
      <c r="L291" s="1" t="s">
        <v>321</v>
      </c>
      <c r="M291" s="1">
        <v>202502</v>
      </c>
      <c r="N291" s="1">
        <v>2017202111</v>
      </c>
    </row>
    <row r="292" spans="12:14" x14ac:dyDescent="0.2">
      <c r="L292" s="1" t="s">
        <v>321</v>
      </c>
      <c r="M292" s="1">
        <v>202509</v>
      </c>
      <c r="N292" s="1">
        <v>3923514411</v>
      </c>
    </row>
    <row r="293" spans="12:14" x14ac:dyDescent="0.2">
      <c r="L293" s="1" t="s">
        <v>321</v>
      </c>
      <c r="M293" s="1">
        <v>202506</v>
      </c>
      <c r="N293" s="1">
        <v>3882239181</v>
      </c>
    </row>
    <row r="294" spans="12:14" x14ac:dyDescent="0.2">
      <c r="L294" s="1" t="s">
        <v>321</v>
      </c>
      <c r="M294" s="1">
        <v>202504</v>
      </c>
      <c r="N294" s="1">
        <v>2904491822</v>
      </c>
    </row>
    <row r="295" spans="12:14" x14ac:dyDescent="0.2">
      <c r="L295" s="1" t="s">
        <v>321</v>
      </c>
      <c r="M295" s="1">
        <v>202410</v>
      </c>
      <c r="N295" s="1">
        <v>2690523059</v>
      </c>
    </row>
    <row r="296" spans="12:14" x14ac:dyDescent="0.2">
      <c r="L296" s="1" t="s">
        <v>321</v>
      </c>
      <c r="M296" s="1">
        <v>202412</v>
      </c>
      <c r="N296" s="1">
        <v>2619970631</v>
      </c>
    </row>
    <row r="297" spans="12:14" x14ac:dyDescent="0.2">
      <c r="L297" s="1" t="s">
        <v>322</v>
      </c>
      <c r="M297" s="1">
        <v>202410</v>
      </c>
      <c r="N297" s="1">
        <v>2390419323</v>
      </c>
    </row>
    <row r="298" spans="12:14" x14ac:dyDescent="0.2">
      <c r="L298" s="1" t="s">
        <v>322</v>
      </c>
      <c r="M298" s="1">
        <v>202412</v>
      </c>
      <c r="N298" s="1">
        <v>2701533258</v>
      </c>
    </row>
    <row r="299" spans="12:14" x14ac:dyDescent="0.2">
      <c r="L299" s="1" t="s">
        <v>322</v>
      </c>
      <c r="M299" s="1">
        <v>202502</v>
      </c>
      <c r="N299" s="1">
        <v>1819145367</v>
      </c>
    </row>
    <row r="300" spans="12:14" x14ac:dyDescent="0.2">
      <c r="L300" s="1" t="s">
        <v>322</v>
      </c>
      <c r="M300" s="1">
        <v>202509</v>
      </c>
      <c r="N300" s="1">
        <v>4391942818</v>
      </c>
    </row>
    <row r="301" spans="12:14" x14ac:dyDescent="0.2">
      <c r="L301" s="1" t="s">
        <v>322</v>
      </c>
      <c r="M301" s="1">
        <v>202506</v>
      </c>
      <c r="N301" s="1">
        <v>3155867356</v>
      </c>
    </row>
    <row r="302" spans="12:14" x14ac:dyDescent="0.2">
      <c r="L302" s="1" t="s">
        <v>322</v>
      </c>
      <c r="M302" s="1">
        <v>202504</v>
      </c>
      <c r="N302" s="1">
        <v>2293738735</v>
      </c>
    </row>
    <row r="303" spans="12:14" x14ac:dyDescent="0.2">
      <c r="L303" s="1" t="s">
        <v>322</v>
      </c>
      <c r="M303" s="1">
        <v>202407</v>
      </c>
      <c r="N303" s="1">
        <v>1414691104</v>
      </c>
    </row>
    <row r="304" spans="12:14" x14ac:dyDescent="0.2">
      <c r="L304" s="1" t="s">
        <v>322</v>
      </c>
      <c r="M304" s="1">
        <v>202510</v>
      </c>
      <c r="N304" s="1">
        <v>4217416004</v>
      </c>
    </row>
    <row r="305" spans="12:14" x14ac:dyDescent="0.2">
      <c r="L305" s="1" t="s">
        <v>322</v>
      </c>
      <c r="M305" s="1">
        <v>202503</v>
      </c>
      <c r="N305" s="1">
        <v>1937769111</v>
      </c>
    </row>
    <row r="306" spans="12:14" x14ac:dyDescent="0.2">
      <c r="L306" s="1" t="s">
        <v>322</v>
      </c>
      <c r="M306" s="1">
        <v>202405</v>
      </c>
      <c r="N306" s="1">
        <v>891237857</v>
      </c>
    </row>
    <row r="307" spans="12:14" x14ac:dyDescent="0.2">
      <c r="L307" s="1" t="s">
        <v>322</v>
      </c>
      <c r="M307" s="1">
        <v>202501</v>
      </c>
      <c r="N307" s="1">
        <v>2664589206</v>
      </c>
    </row>
    <row r="308" spans="12:14" x14ac:dyDescent="0.2">
      <c r="L308" s="1" t="s">
        <v>322</v>
      </c>
      <c r="M308" s="1">
        <v>202408</v>
      </c>
      <c r="N308" s="1">
        <v>1266747766</v>
      </c>
    </row>
    <row r="309" spans="12:14" x14ac:dyDescent="0.2">
      <c r="L309" s="1" t="s">
        <v>322</v>
      </c>
      <c r="M309" s="1">
        <v>202409</v>
      </c>
      <c r="N309" s="1">
        <v>1873057198</v>
      </c>
    </row>
    <row r="310" spans="12:14" x14ac:dyDescent="0.2">
      <c r="L310" s="1" t="s">
        <v>322</v>
      </c>
      <c r="M310" s="1">
        <v>202406</v>
      </c>
      <c r="N310" s="1">
        <v>1305871067</v>
      </c>
    </row>
    <row r="311" spans="12:14" x14ac:dyDescent="0.2">
      <c r="L311" s="1" t="s">
        <v>322</v>
      </c>
      <c r="M311" s="1">
        <v>202507</v>
      </c>
      <c r="N311" s="1">
        <v>4105407285</v>
      </c>
    </row>
    <row r="312" spans="12:14" x14ac:dyDescent="0.2">
      <c r="L312" s="1" t="s">
        <v>322</v>
      </c>
      <c r="M312" s="1">
        <v>202505</v>
      </c>
      <c r="N312" s="1">
        <v>2898267732</v>
      </c>
    </row>
    <row r="313" spans="12:14" x14ac:dyDescent="0.2">
      <c r="L313" s="1" t="s">
        <v>322</v>
      </c>
      <c r="M313" s="1">
        <v>202508</v>
      </c>
      <c r="N313" s="1">
        <v>4233200406</v>
      </c>
    </row>
    <row r="314" spans="12:14" x14ac:dyDescent="0.2">
      <c r="L314" s="1" t="s">
        <v>322</v>
      </c>
      <c r="M314" s="1">
        <v>202411</v>
      </c>
      <c r="N314" s="1">
        <v>2679251602</v>
      </c>
    </row>
    <row r="315" spans="12:14" x14ac:dyDescent="0.2">
      <c r="L315" s="1" t="s">
        <v>323</v>
      </c>
      <c r="M315" s="1">
        <v>202409</v>
      </c>
      <c r="N315" s="1">
        <v>1264085878</v>
      </c>
    </row>
    <row r="316" spans="12:14" x14ac:dyDescent="0.2">
      <c r="L316" s="1" t="s">
        <v>323</v>
      </c>
      <c r="M316" s="1">
        <v>202406</v>
      </c>
      <c r="N316" s="1">
        <v>891037857</v>
      </c>
    </row>
    <row r="317" spans="12:14" x14ac:dyDescent="0.2">
      <c r="L317" s="1" t="s">
        <v>323</v>
      </c>
      <c r="M317" s="1">
        <v>202410</v>
      </c>
      <c r="N317" s="1">
        <v>2012044554</v>
      </c>
    </row>
    <row r="318" spans="12:14" x14ac:dyDescent="0.2">
      <c r="L318" s="1" t="s">
        <v>323</v>
      </c>
      <c r="M318" s="1">
        <v>202412</v>
      </c>
      <c r="N318" s="1">
        <v>2678111331</v>
      </c>
    </row>
    <row r="319" spans="12:14" x14ac:dyDescent="0.2">
      <c r="L319" s="1" t="s">
        <v>323</v>
      </c>
      <c r="M319" s="1">
        <v>202502</v>
      </c>
      <c r="N319" s="1">
        <v>2630712020</v>
      </c>
    </row>
    <row r="320" spans="12:14" x14ac:dyDescent="0.2">
      <c r="L320" s="1" t="s">
        <v>323</v>
      </c>
      <c r="M320" s="1">
        <v>202509</v>
      </c>
      <c r="N320" s="1">
        <v>4233200406</v>
      </c>
    </row>
    <row r="321" spans="12:14" x14ac:dyDescent="0.2">
      <c r="L321" s="1" t="s">
        <v>323</v>
      </c>
      <c r="M321" s="1">
        <v>202506</v>
      </c>
      <c r="N321" s="1">
        <v>2898267732</v>
      </c>
    </row>
    <row r="322" spans="12:14" x14ac:dyDescent="0.2">
      <c r="L322" s="1" t="s">
        <v>323</v>
      </c>
      <c r="M322" s="1">
        <v>202504</v>
      </c>
      <c r="N322" s="1">
        <v>1937769111</v>
      </c>
    </row>
    <row r="323" spans="12:14" x14ac:dyDescent="0.2">
      <c r="L323" s="1" t="s">
        <v>323</v>
      </c>
      <c r="M323" s="1">
        <v>202508</v>
      </c>
      <c r="N323" s="1">
        <v>4178326840</v>
      </c>
    </row>
    <row r="324" spans="12:14" x14ac:dyDescent="0.2">
      <c r="L324" s="1" t="s">
        <v>323</v>
      </c>
      <c r="M324" s="1">
        <v>202411</v>
      </c>
      <c r="N324" s="1">
        <v>2379172323</v>
      </c>
    </row>
    <row r="325" spans="12:14" x14ac:dyDescent="0.2">
      <c r="L325" s="1" t="s">
        <v>323</v>
      </c>
      <c r="M325" s="1">
        <v>202507</v>
      </c>
      <c r="N325" s="1">
        <v>3381581195</v>
      </c>
    </row>
    <row r="326" spans="12:14" x14ac:dyDescent="0.2">
      <c r="L326" s="1" t="s">
        <v>323</v>
      </c>
      <c r="M326" s="1">
        <v>202505</v>
      </c>
      <c r="N326" s="1">
        <v>2288167659</v>
      </c>
    </row>
    <row r="327" spans="12:14" x14ac:dyDescent="0.2">
      <c r="L327" s="1" t="s">
        <v>323</v>
      </c>
      <c r="M327" s="1">
        <v>202503</v>
      </c>
      <c r="N327" s="1">
        <v>1807050367</v>
      </c>
    </row>
    <row r="328" spans="12:14" x14ac:dyDescent="0.2">
      <c r="L328" s="1" t="s">
        <v>323</v>
      </c>
      <c r="M328" s="1">
        <v>202407</v>
      </c>
      <c r="N328" s="1">
        <v>1274861067</v>
      </c>
    </row>
    <row r="329" spans="12:14" x14ac:dyDescent="0.2">
      <c r="L329" s="1" t="s">
        <v>323</v>
      </c>
      <c r="M329" s="1">
        <v>202510</v>
      </c>
      <c r="N329" s="1">
        <v>4361488921</v>
      </c>
    </row>
    <row r="330" spans="12:14" x14ac:dyDescent="0.2">
      <c r="L330" s="1" t="s">
        <v>323</v>
      </c>
      <c r="M330" s="1">
        <v>202501</v>
      </c>
      <c r="N330" s="1">
        <v>2738240183</v>
      </c>
    </row>
    <row r="331" spans="12:14" x14ac:dyDescent="0.2">
      <c r="L331" s="1" t="s">
        <v>323</v>
      </c>
      <c r="M331" s="1">
        <v>202408</v>
      </c>
      <c r="N331" s="1">
        <v>1362438057</v>
      </c>
    </row>
    <row r="332" spans="12:14" x14ac:dyDescent="0.2">
      <c r="L332" s="1" t="s">
        <v>324</v>
      </c>
      <c r="M332" s="1">
        <v>202410</v>
      </c>
      <c r="N332" s="1">
        <v>1261663487</v>
      </c>
    </row>
    <row r="333" spans="12:14" x14ac:dyDescent="0.2">
      <c r="L333" s="1" t="s">
        <v>324</v>
      </c>
      <c r="M333" s="1">
        <v>202412</v>
      </c>
      <c r="N333" s="1">
        <v>2336756684</v>
      </c>
    </row>
    <row r="334" spans="12:14" x14ac:dyDescent="0.2">
      <c r="L334" s="1" t="s">
        <v>324</v>
      </c>
      <c r="M334" s="1">
        <v>202502</v>
      </c>
      <c r="N334" s="1">
        <v>2547097681</v>
      </c>
    </row>
    <row r="335" spans="12:14" x14ac:dyDescent="0.2">
      <c r="L335" s="1" t="s">
        <v>324</v>
      </c>
      <c r="M335" s="1">
        <v>202509</v>
      </c>
      <c r="N335" s="1">
        <v>4178326840</v>
      </c>
    </row>
    <row r="336" spans="12:14" x14ac:dyDescent="0.2">
      <c r="L336" s="1" t="s">
        <v>324</v>
      </c>
      <c r="M336" s="1">
        <v>202506</v>
      </c>
      <c r="N336" s="1">
        <v>2288167659</v>
      </c>
    </row>
    <row r="337" spans="12:14" x14ac:dyDescent="0.2">
      <c r="L337" s="1" t="s">
        <v>324</v>
      </c>
      <c r="M337" s="1">
        <v>202504</v>
      </c>
      <c r="N337" s="1">
        <v>1807050367</v>
      </c>
    </row>
    <row r="338" spans="12:14" x14ac:dyDescent="0.2">
      <c r="L338" s="1" t="s">
        <v>324</v>
      </c>
      <c r="M338" s="1">
        <v>202407</v>
      </c>
      <c r="N338" s="1">
        <v>886241852</v>
      </c>
    </row>
    <row r="339" spans="12:14" x14ac:dyDescent="0.2">
      <c r="L339" s="1" t="s">
        <v>324</v>
      </c>
      <c r="M339" s="1">
        <v>202510</v>
      </c>
      <c r="N339" s="1">
        <v>4147020997</v>
      </c>
    </row>
    <row r="340" spans="12:14" x14ac:dyDescent="0.2">
      <c r="L340" s="1" t="s">
        <v>324</v>
      </c>
      <c r="M340" s="1">
        <v>202503</v>
      </c>
      <c r="N340" s="1">
        <v>2542597243</v>
      </c>
    </row>
    <row r="341" spans="12:14" x14ac:dyDescent="0.2">
      <c r="L341" s="1" t="s">
        <v>324</v>
      </c>
      <c r="M341" s="1">
        <v>202501</v>
      </c>
      <c r="N341" s="1">
        <v>2500920461</v>
      </c>
    </row>
    <row r="342" spans="12:14" x14ac:dyDescent="0.2">
      <c r="L342" s="1" t="s">
        <v>324</v>
      </c>
      <c r="M342" s="1">
        <v>202408</v>
      </c>
      <c r="N342" s="1">
        <v>1339610050</v>
      </c>
    </row>
    <row r="343" spans="12:14" x14ac:dyDescent="0.2">
      <c r="L343" s="1" t="s">
        <v>324</v>
      </c>
      <c r="M343" s="1">
        <v>202409</v>
      </c>
      <c r="N343" s="1">
        <v>1333049104</v>
      </c>
    </row>
    <row r="344" spans="12:14" x14ac:dyDescent="0.2">
      <c r="L344" s="1" t="s">
        <v>324</v>
      </c>
      <c r="M344" s="1">
        <v>202508</v>
      </c>
      <c r="N344" s="1">
        <v>3491593486</v>
      </c>
    </row>
    <row r="345" spans="12:14" x14ac:dyDescent="0.2">
      <c r="L345" s="1" t="s">
        <v>324</v>
      </c>
      <c r="M345" s="1">
        <v>202507</v>
      </c>
      <c r="N345" s="1">
        <v>2913943164</v>
      </c>
    </row>
    <row r="346" spans="12:14" x14ac:dyDescent="0.2">
      <c r="L346" s="1" t="s">
        <v>324</v>
      </c>
      <c r="M346" s="1">
        <v>202505</v>
      </c>
      <c r="N346" s="1">
        <v>1988169275</v>
      </c>
    </row>
    <row r="347" spans="12:14" x14ac:dyDescent="0.2">
      <c r="L347" s="1" t="s">
        <v>324</v>
      </c>
      <c r="M347" s="1">
        <v>202411</v>
      </c>
      <c r="N347" s="1">
        <v>1967140137</v>
      </c>
    </row>
    <row r="348" spans="12:14" x14ac:dyDescent="0.2">
      <c r="L348" s="1" t="s">
        <v>325</v>
      </c>
      <c r="M348" s="1">
        <v>202410</v>
      </c>
      <c r="N348" s="1">
        <v>1325296196</v>
      </c>
    </row>
    <row r="349" spans="12:14" x14ac:dyDescent="0.2">
      <c r="L349" s="1" t="s">
        <v>325</v>
      </c>
      <c r="M349" s="1">
        <v>202412</v>
      </c>
      <c r="N349" s="1">
        <v>2035281390</v>
      </c>
    </row>
    <row r="350" spans="12:14" x14ac:dyDescent="0.2">
      <c r="L350" s="1" t="s">
        <v>325</v>
      </c>
      <c r="M350" s="1">
        <v>202502</v>
      </c>
      <c r="N350" s="1">
        <v>2576573731</v>
      </c>
    </row>
    <row r="351" spans="12:14" x14ac:dyDescent="0.2">
      <c r="L351" s="1" t="s">
        <v>325</v>
      </c>
      <c r="M351" s="1">
        <v>202509</v>
      </c>
      <c r="N351" s="1">
        <v>3491593486</v>
      </c>
    </row>
    <row r="352" spans="12:14" x14ac:dyDescent="0.2">
      <c r="L352" s="1" t="s">
        <v>325</v>
      </c>
      <c r="M352" s="1">
        <v>202506</v>
      </c>
      <c r="N352" s="1">
        <v>1988169275</v>
      </c>
    </row>
    <row r="353" spans="12:14" x14ac:dyDescent="0.2">
      <c r="L353" s="1" t="s">
        <v>325</v>
      </c>
      <c r="M353" s="1">
        <v>202504</v>
      </c>
      <c r="N353" s="1">
        <v>2542597243</v>
      </c>
    </row>
    <row r="354" spans="12:14" x14ac:dyDescent="0.2">
      <c r="L354" s="1" t="s">
        <v>325</v>
      </c>
      <c r="M354" s="1">
        <v>202407</v>
      </c>
      <c r="N354" s="1">
        <v>6000000</v>
      </c>
    </row>
    <row r="355" spans="12:14" x14ac:dyDescent="0.2">
      <c r="L355" s="1" t="s">
        <v>325</v>
      </c>
      <c r="M355" s="1">
        <v>202510</v>
      </c>
      <c r="N355" s="1">
        <v>3953683463</v>
      </c>
    </row>
    <row r="356" spans="12:14" x14ac:dyDescent="0.2">
      <c r="L356" s="1" t="s">
        <v>325</v>
      </c>
      <c r="M356" s="1">
        <v>202503</v>
      </c>
      <c r="N356" s="1">
        <v>2622644280</v>
      </c>
    </row>
    <row r="357" spans="12:14" x14ac:dyDescent="0.2">
      <c r="L357" s="1" t="s">
        <v>325</v>
      </c>
      <c r="M357" s="1">
        <v>202501</v>
      </c>
      <c r="N357" s="1">
        <v>2352656686</v>
      </c>
    </row>
    <row r="358" spans="12:14" x14ac:dyDescent="0.2">
      <c r="L358" s="1" t="s">
        <v>325</v>
      </c>
      <c r="M358" s="1">
        <v>202408</v>
      </c>
      <c r="N358" s="1">
        <v>867996980</v>
      </c>
    </row>
    <row r="359" spans="12:14" x14ac:dyDescent="0.2">
      <c r="L359" s="1" t="s">
        <v>325</v>
      </c>
      <c r="M359" s="1">
        <v>202409</v>
      </c>
      <c r="N359" s="1">
        <v>1327851436</v>
      </c>
    </row>
    <row r="360" spans="12:14" x14ac:dyDescent="0.2">
      <c r="L360" s="1" t="s">
        <v>325</v>
      </c>
      <c r="M360" s="1">
        <v>202508</v>
      </c>
      <c r="N360" s="1">
        <v>2821493164</v>
      </c>
    </row>
    <row r="361" spans="12:14" x14ac:dyDescent="0.2">
      <c r="L361" s="1" t="s">
        <v>325</v>
      </c>
      <c r="M361" s="1">
        <v>202505</v>
      </c>
      <c r="N361" s="1">
        <v>1787739662</v>
      </c>
    </row>
    <row r="362" spans="12:14" x14ac:dyDescent="0.2">
      <c r="L362" s="1" t="s">
        <v>325</v>
      </c>
      <c r="M362" s="1">
        <v>202411</v>
      </c>
      <c r="N362" s="1">
        <v>1261495486</v>
      </c>
    </row>
    <row r="363" spans="12:14" x14ac:dyDescent="0.2">
      <c r="L363" s="1" t="s">
        <v>325</v>
      </c>
      <c r="M363" s="1">
        <v>202507</v>
      </c>
      <c r="N363" s="1">
        <v>2310270399</v>
      </c>
    </row>
    <row r="364" spans="12:14" x14ac:dyDescent="0.2">
      <c r="L364" s="1" t="s">
        <v>326</v>
      </c>
      <c r="M364" s="1">
        <v>202508</v>
      </c>
      <c r="N364" s="1">
        <v>2348920399</v>
      </c>
    </row>
    <row r="365" spans="12:14" x14ac:dyDescent="0.2">
      <c r="L365" s="1" t="s">
        <v>326</v>
      </c>
      <c r="M365" s="1">
        <v>202411</v>
      </c>
      <c r="N365" s="1">
        <v>1325296196</v>
      </c>
    </row>
    <row r="366" spans="12:14" x14ac:dyDescent="0.2">
      <c r="L366" s="1" t="s">
        <v>326</v>
      </c>
      <c r="M366" s="1">
        <v>202507</v>
      </c>
      <c r="N366" s="1">
        <v>2068519275</v>
      </c>
    </row>
    <row r="367" spans="12:14" x14ac:dyDescent="0.2">
      <c r="L367" s="1" t="s">
        <v>326</v>
      </c>
      <c r="M367" s="1">
        <v>202505</v>
      </c>
      <c r="N367" s="1">
        <v>2585164319</v>
      </c>
    </row>
    <row r="368" spans="12:14" x14ac:dyDescent="0.2">
      <c r="L368" s="1" t="s">
        <v>326</v>
      </c>
      <c r="M368" s="1">
        <v>202409</v>
      </c>
      <c r="N368" s="1">
        <v>863195973</v>
      </c>
    </row>
    <row r="369" spans="12:14" x14ac:dyDescent="0.2">
      <c r="L369" s="1" t="s">
        <v>326</v>
      </c>
      <c r="M369" s="1">
        <v>202510</v>
      </c>
      <c r="N369" s="1">
        <v>3046676737</v>
      </c>
    </row>
    <row r="370" spans="12:14" x14ac:dyDescent="0.2">
      <c r="L370" s="1" t="s">
        <v>326</v>
      </c>
      <c r="M370" s="1">
        <v>202503</v>
      </c>
      <c r="N370" s="1">
        <v>2591920461</v>
      </c>
    </row>
    <row r="371" spans="12:14" x14ac:dyDescent="0.2">
      <c r="L371" s="1" t="s">
        <v>326</v>
      </c>
      <c r="M371" s="1">
        <v>202501</v>
      </c>
      <c r="N371" s="1">
        <v>2042438388</v>
      </c>
    </row>
    <row r="372" spans="12:14" x14ac:dyDescent="0.2">
      <c r="L372" s="1" t="s">
        <v>326</v>
      </c>
      <c r="M372" s="1">
        <v>202408</v>
      </c>
      <c r="N372" s="1">
        <v>55445879</v>
      </c>
    </row>
    <row r="373" spans="12:14" x14ac:dyDescent="0.2">
      <c r="L373" s="1" t="s">
        <v>326</v>
      </c>
      <c r="M373" s="1">
        <v>202509</v>
      </c>
      <c r="N373" s="1">
        <v>2821493164</v>
      </c>
    </row>
    <row r="374" spans="12:14" x14ac:dyDescent="0.2">
      <c r="L374" s="1" t="s">
        <v>326</v>
      </c>
      <c r="M374" s="1">
        <v>202506</v>
      </c>
      <c r="N374" s="1">
        <v>1787739662</v>
      </c>
    </row>
    <row r="375" spans="12:14" x14ac:dyDescent="0.2">
      <c r="L375" s="1" t="s">
        <v>326</v>
      </c>
      <c r="M375" s="1">
        <v>202410</v>
      </c>
      <c r="N375" s="1">
        <v>1365551436</v>
      </c>
    </row>
    <row r="376" spans="12:14" x14ac:dyDescent="0.2">
      <c r="L376" s="1" t="s">
        <v>326</v>
      </c>
      <c r="M376" s="1">
        <v>202412</v>
      </c>
      <c r="N376" s="1">
        <v>1232072486</v>
      </c>
    </row>
    <row r="377" spans="12:14" x14ac:dyDescent="0.2">
      <c r="L377" s="1" t="s">
        <v>326</v>
      </c>
      <c r="M377" s="1">
        <v>202502</v>
      </c>
      <c r="N377" s="1">
        <v>2313205489</v>
      </c>
    </row>
    <row r="378" spans="12:14" x14ac:dyDescent="0.2">
      <c r="L378" s="1" t="s">
        <v>326</v>
      </c>
      <c r="M378" s="1">
        <v>202504</v>
      </c>
      <c r="N378" s="1">
        <v>2622644280</v>
      </c>
    </row>
    <row r="379" spans="12:14" x14ac:dyDescent="0.2">
      <c r="L379" s="1" t="s">
        <v>327</v>
      </c>
      <c r="M379" s="1">
        <v>202510</v>
      </c>
      <c r="N379" s="1">
        <v>2672215399</v>
      </c>
    </row>
    <row r="380" spans="12:14" x14ac:dyDescent="0.2">
      <c r="L380" s="1" t="s">
        <v>327</v>
      </c>
      <c r="M380" s="1">
        <v>202503</v>
      </c>
      <c r="N380" s="1">
        <v>2333813684</v>
      </c>
    </row>
    <row r="381" spans="12:14" x14ac:dyDescent="0.2">
      <c r="L381" s="1" t="s">
        <v>327</v>
      </c>
      <c r="M381" s="1">
        <v>202501</v>
      </c>
      <c r="N381" s="1">
        <v>1238949061</v>
      </c>
    </row>
    <row r="382" spans="12:14" x14ac:dyDescent="0.2">
      <c r="L382" s="1" t="s">
        <v>327</v>
      </c>
      <c r="M382" s="1">
        <v>202508</v>
      </c>
      <c r="N382" s="1">
        <v>1993527072</v>
      </c>
    </row>
    <row r="383" spans="12:14" x14ac:dyDescent="0.2">
      <c r="L383" s="1" t="s">
        <v>327</v>
      </c>
      <c r="M383" s="1">
        <v>202411</v>
      </c>
      <c r="N383" s="1">
        <v>1365551436</v>
      </c>
    </row>
    <row r="384" spans="12:14" x14ac:dyDescent="0.2">
      <c r="L384" s="1" t="s">
        <v>327</v>
      </c>
      <c r="M384" s="1">
        <v>202507</v>
      </c>
      <c r="N384" s="1">
        <v>1701536374</v>
      </c>
    </row>
    <row r="385" spans="12:14" x14ac:dyDescent="0.2">
      <c r="L385" s="1" t="s">
        <v>327</v>
      </c>
      <c r="M385" s="1">
        <v>202505</v>
      </c>
      <c r="N385" s="1">
        <v>2674030800</v>
      </c>
    </row>
    <row r="386" spans="12:14" x14ac:dyDescent="0.2">
      <c r="L386" s="1" t="s">
        <v>327</v>
      </c>
      <c r="M386" s="1">
        <v>202410</v>
      </c>
      <c r="N386" s="1">
        <v>834184356</v>
      </c>
    </row>
    <row r="387" spans="12:14" x14ac:dyDescent="0.2">
      <c r="L387" s="1" t="s">
        <v>327</v>
      </c>
      <c r="M387" s="1">
        <v>202412</v>
      </c>
      <c r="N387" s="1">
        <v>1297828243</v>
      </c>
    </row>
    <row r="388" spans="12:14" x14ac:dyDescent="0.2">
      <c r="L388" s="1" t="s">
        <v>327</v>
      </c>
      <c r="M388" s="1">
        <v>202502</v>
      </c>
      <c r="N388" s="1">
        <v>1967140137</v>
      </c>
    </row>
    <row r="389" spans="12:14" x14ac:dyDescent="0.2">
      <c r="L389" s="1" t="s">
        <v>327</v>
      </c>
      <c r="M389" s="1">
        <v>202509</v>
      </c>
      <c r="N389" s="1">
        <v>2348920399</v>
      </c>
    </row>
    <row r="390" spans="12:14" x14ac:dyDescent="0.2">
      <c r="L390" s="1" t="s">
        <v>327</v>
      </c>
      <c r="M390" s="1">
        <v>202506</v>
      </c>
      <c r="N390" s="1">
        <v>2585164319</v>
      </c>
    </row>
    <row r="391" spans="12:14" x14ac:dyDescent="0.2">
      <c r="L391" s="1" t="s">
        <v>327</v>
      </c>
      <c r="M391" s="1">
        <v>202504</v>
      </c>
      <c r="N391" s="1">
        <v>2591920461</v>
      </c>
    </row>
    <row r="392" spans="12:14" x14ac:dyDescent="0.2">
      <c r="L392" s="1" t="s">
        <v>327</v>
      </c>
      <c r="M392" s="1">
        <v>202409</v>
      </c>
      <c r="N392" s="1">
        <v>55445879</v>
      </c>
    </row>
    <row r="393" spans="12:14" x14ac:dyDescent="0.2">
      <c r="L393" s="1" t="s">
        <v>328</v>
      </c>
      <c r="M393" s="1">
        <v>202508</v>
      </c>
      <c r="N393" s="1">
        <v>1763328577</v>
      </c>
    </row>
    <row r="394" spans="12:14" x14ac:dyDescent="0.2">
      <c r="L394" s="1" t="s">
        <v>328</v>
      </c>
      <c r="M394" s="1">
        <v>202411</v>
      </c>
      <c r="N394" s="1">
        <v>834184356</v>
      </c>
    </row>
    <row r="395" spans="12:14" x14ac:dyDescent="0.2">
      <c r="L395" s="1" t="s">
        <v>328</v>
      </c>
      <c r="M395" s="1">
        <v>202507</v>
      </c>
      <c r="N395" s="1">
        <v>2584440264</v>
      </c>
    </row>
    <row r="396" spans="12:14" x14ac:dyDescent="0.2">
      <c r="L396" s="1" t="s">
        <v>328</v>
      </c>
      <c r="M396" s="1">
        <v>202505</v>
      </c>
      <c r="N396" s="1">
        <v>2500920461</v>
      </c>
    </row>
    <row r="397" spans="12:14" x14ac:dyDescent="0.2">
      <c r="L397" s="1" t="s">
        <v>328</v>
      </c>
      <c r="M397" s="1">
        <v>202510</v>
      </c>
      <c r="N397" s="1">
        <v>2040234589</v>
      </c>
    </row>
    <row r="398" spans="12:14" x14ac:dyDescent="0.2">
      <c r="L398" s="1" t="s">
        <v>328</v>
      </c>
      <c r="M398" s="1">
        <v>202503</v>
      </c>
      <c r="N398" s="1">
        <v>2035281390</v>
      </c>
    </row>
    <row r="399" spans="12:14" x14ac:dyDescent="0.2">
      <c r="L399" s="1" t="s">
        <v>328</v>
      </c>
      <c r="M399" s="1">
        <v>202501</v>
      </c>
      <c r="N399" s="1">
        <v>1304001668</v>
      </c>
    </row>
    <row r="400" spans="12:14" x14ac:dyDescent="0.2">
      <c r="L400" s="1" t="s">
        <v>328</v>
      </c>
      <c r="M400" s="1">
        <v>202509</v>
      </c>
      <c r="N400" s="1">
        <v>1993527072</v>
      </c>
    </row>
    <row r="401" spans="12:14" x14ac:dyDescent="0.2">
      <c r="L401" s="1" t="s">
        <v>328</v>
      </c>
      <c r="M401" s="1">
        <v>202410</v>
      </c>
      <c r="N401" s="1">
        <v>84457496</v>
      </c>
    </row>
    <row r="402" spans="12:14" x14ac:dyDescent="0.2">
      <c r="L402" s="1" t="s">
        <v>328</v>
      </c>
      <c r="M402" s="1">
        <v>202412</v>
      </c>
      <c r="N402" s="1">
        <v>1341341243</v>
      </c>
    </row>
    <row r="403" spans="12:14" x14ac:dyDescent="0.2">
      <c r="L403" s="1" t="s">
        <v>328</v>
      </c>
      <c r="M403" s="1">
        <v>202502</v>
      </c>
      <c r="N403" s="1">
        <v>1261495486</v>
      </c>
    </row>
    <row r="404" spans="12:14" x14ac:dyDescent="0.2">
      <c r="L404" s="1" t="s">
        <v>328</v>
      </c>
      <c r="M404" s="1">
        <v>202506</v>
      </c>
      <c r="N404" s="1">
        <v>2674030800</v>
      </c>
    </row>
    <row r="405" spans="12:14" x14ac:dyDescent="0.2">
      <c r="L405" s="1" t="s">
        <v>328</v>
      </c>
      <c r="M405" s="1">
        <v>202504</v>
      </c>
      <c r="N405" s="1">
        <v>2333813684</v>
      </c>
    </row>
    <row r="406" spans="12:14" x14ac:dyDescent="0.2">
      <c r="L406" s="1" t="s">
        <v>329</v>
      </c>
      <c r="M406" s="1">
        <v>202508</v>
      </c>
      <c r="N406" s="1">
        <v>2651440264</v>
      </c>
    </row>
    <row r="407" spans="12:14" x14ac:dyDescent="0.2">
      <c r="L407" s="1" t="s">
        <v>329</v>
      </c>
      <c r="M407" s="1">
        <v>202411</v>
      </c>
      <c r="N407" s="1">
        <v>84457496</v>
      </c>
    </row>
    <row r="408" spans="12:14" x14ac:dyDescent="0.2">
      <c r="L408" s="1" t="s">
        <v>329</v>
      </c>
      <c r="M408" s="1">
        <v>202507</v>
      </c>
      <c r="N408" s="1">
        <v>2529617159</v>
      </c>
    </row>
    <row r="409" spans="12:14" x14ac:dyDescent="0.2">
      <c r="L409" s="1" t="s">
        <v>329</v>
      </c>
      <c r="M409" s="1">
        <v>202505</v>
      </c>
      <c r="N409" s="1">
        <v>2352656686</v>
      </c>
    </row>
    <row r="410" spans="12:14" x14ac:dyDescent="0.2">
      <c r="L410" s="1" t="s">
        <v>329</v>
      </c>
      <c r="M410" s="1">
        <v>202510</v>
      </c>
      <c r="N410" s="1">
        <v>1968930613</v>
      </c>
    </row>
    <row r="411" spans="12:14" x14ac:dyDescent="0.2">
      <c r="L411" s="1" t="s">
        <v>329</v>
      </c>
      <c r="M411" s="1">
        <v>202503</v>
      </c>
      <c r="N411" s="1">
        <v>1232072486</v>
      </c>
    </row>
    <row r="412" spans="12:14" x14ac:dyDescent="0.2">
      <c r="L412" s="1" t="s">
        <v>329</v>
      </c>
      <c r="M412" s="1">
        <v>202501</v>
      </c>
      <c r="N412" s="1">
        <v>1366301248</v>
      </c>
    </row>
    <row r="413" spans="12:14" x14ac:dyDescent="0.2">
      <c r="L413" s="1" t="s">
        <v>329</v>
      </c>
      <c r="M413" s="1">
        <v>202509</v>
      </c>
      <c r="N413" s="1">
        <v>1763328577</v>
      </c>
    </row>
    <row r="414" spans="12:14" x14ac:dyDescent="0.2">
      <c r="L414" s="1" t="s">
        <v>329</v>
      </c>
      <c r="M414" s="1">
        <v>202412</v>
      </c>
      <c r="N414" s="1">
        <v>900485502</v>
      </c>
    </row>
    <row r="415" spans="12:14" x14ac:dyDescent="0.2">
      <c r="L415" s="1" t="s">
        <v>329</v>
      </c>
      <c r="M415" s="1">
        <v>202502</v>
      </c>
      <c r="N415" s="1">
        <v>1325296196</v>
      </c>
    </row>
    <row r="416" spans="12:14" x14ac:dyDescent="0.2">
      <c r="L416" s="1" t="s">
        <v>329</v>
      </c>
      <c r="M416" s="1">
        <v>202506</v>
      </c>
      <c r="N416" s="1">
        <v>2500920461</v>
      </c>
    </row>
    <row r="417" spans="12:14" x14ac:dyDescent="0.2">
      <c r="L417" s="1" t="s">
        <v>329</v>
      </c>
      <c r="M417" s="1">
        <v>202504</v>
      </c>
      <c r="N417" s="1">
        <v>2035281390</v>
      </c>
    </row>
    <row r="418" spans="12:14" x14ac:dyDescent="0.2">
      <c r="L418" s="1" t="s">
        <v>330</v>
      </c>
      <c r="M418" s="1">
        <v>202412</v>
      </c>
      <c r="N418" s="1">
        <v>99257496</v>
      </c>
    </row>
    <row r="419" spans="12:14" x14ac:dyDescent="0.2">
      <c r="L419" s="1" t="s">
        <v>330</v>
      </c>
      <c r="M419" s="1">
        <v>202502</v>
      </c>
      <c r="N419" s="1">
        <v>1365551436</v>
      </c>
    </row>
    <row r="420" spans="12:14" x14ac:dyDescent="0.2">
      <c r="L420" s="1" t="s">
        <v>330</v>
      </c>
      <c r="M420" s="1">
        <v>202509</v>
      </c>
      <c r="N420" s="1">
        <v>2651440264</v>
      </c>
    </row>
    <row r="421" spans="12:14" x14ac:dyDescent="0.2">
      <c r="L421" s="1" t="s">
        <v>330</v>
      </c>
      <c r="M421" s="1">
        <v>202506</v>
      </c>
      <c r="N421" s="1">
        <v>2352656686</v>
      </c>
    </row>
    <row r="422" spans="12:14" x14ac:dyDescent="0.2">
      <c r="L422" s="1" t="s">
        <v>330</v>
      </c>
      <c r="M422" s="1">
        <v>202504</v>
      </c>
      <c r="N422" s="1">
        <v>1232072486</v>
      </c>
    </row>
    <row r="423" spans="12:14" x14ac:dyDescent="0.2">
      <c r="L423" s="1" t="s">
        <v>330</v>
      </c>
      <c r="M423" s="1">
        <v>202510</v>
      </c>
      <c r="N423" s="1">
        <v>2067547999</v>
      </c>
    </row>
    <row r="424" spans="12:14" x14ac:dyDescent="0.2">
      <c r="L424" s="1" t="s">
        <v>330</v>
      </c>
      <c r="M424" s="1">
        <v>202503</v>
      </c>
      <c r="N424" s="1">
        <v>1297828243</v>
      </c>
    </row>
    <row r="425" spans="12:14" x14ac:dyDescent="0.2">
      <c r="L425" s="1" t="s">
        <v>330</v>
      </c>
      <c r="M425" s="1">
        <v>202501</v>
      </c>
      <c r="N425" s="1">
        <v>927475497</v>
      </c>
    </row>
    <row r="426" spans="12:14" x14ac:dyDescent="0.2">
      <c r="L426" s="1" t="s">
        <v>330</v>
      </c>
      <c r="M426" s="1">
        <v>202508</v>
      </c>
      <c r="N426" s="1">
        <v>2469577301</v>
      </c>
    </row>
    <row r="427" spans="12:14" x14ac:dyDescent="0.2">
      <c r="L427" s="1" t="s">
        <v>330</v>
      </c>
      <c r="M427" s="1">
        <v>202507</v>
      </c>
      <c r="N427" s="1">
        <v>2611725630</v>
      </c>
    </row>
    <row r="428" spans="12:14" x14ac:dyDescent="0.2">
      <c r="L428" s="1" t="s">
        <v>330</v>
      </c>
      <c r="M428" s="1">
        <v>202505</v>
      </c>
      <c r="N428" s="1">
        <v>2042438388</v>
      </c>
    </row>
    <row r="429" spans="12:14" x14ac:dyDescent="0.2">
      <c r="L429" s="1" t="s">
        <v>331</v>
      </c>
      <c r="M429" s="1">
        <v>202502</v>
      </c>
      <c r="N429" s="1">
        <v>834184356</v>
      </c>
    </row>
    <row r="430" spans="12:14" x14ac:dyDescent="0.2">
      <c r="L430" s="1" t="s">
        <v>331</v>
      </c>
      <c r="M430" s="1">
        <v>202509</v>
      </c>
      <c r="N430" s="1">
        <v>2469577301</v>
      </c>
    </row>
    <row r="431" spans="12:14" x14ac:dyDescent="0.2">
      <c r="L431" s="1" t="s">
        <v>331</v>
      </c>
      <c r="M431" s="1">
        <v>202506</v>
      </c>
      <c r="N431" s="1">
        <v>2042438388</v>
      </c>
    </row>
    <row r="432" spans="12:14" x14ac:dyDescent="0.2">
      <c r="L432" s="1" t="s">
        <v>331</v>
      </c>
      <c r="M432" s="1">
        <v>202504</v>
      </c>
      <c r="N432" s="1">
        <v>1297828243</v>
      </c>
    </row>
    <row r="433" spans="12:14" x14ac:dyDescent="0.2">
      <c r="L433" s="1" t="s">
        <v>331</v>
      </c>
      <c r="M433" s="1">
        <v>202510</v>
      </c>
      <c r="N433" s="1">
        <v>2712715552</v>
      </c>
    </row>
    <row r="434" spans="12:14" x14ac:dyDescent="0.2">
      <c r="L434" s="1" t="s">
        <v>331</v>
      </c>
      <c r="M434" s="1">
        <v>202503</v>
      </c>
      <c r="N434" s="1">
        <v>1341341243</v>
      </c>
    </row>
    <row r="435" spans="12:14" x14ac:dyDescent="0.2">
      <c r="L435" s="1" t="s">
        <v>331</v>
      </c>
      <c r="M435" s="1">
        <v>202501</v>
      </c>
      <c r="N435" s="1">
        <v>99257496</v>
      </c>
    </row>
    <row r="436" spans="12:14" x14ac:dyDescent="0.2">
      <c r="L436" s="1" t="s">
        <v>331</v>
      </c>
      <c r="M436" s="1">
        <v>202508</v>
      </c>
      <c r="N436" s="1">
        <v>2671765488</v>
      </c>
    </row>
    <row r="437" spans="12:14" x14ac:dyDescent="0.2">
      <c r="L437" s="1" t="s">
        <v>331</v>
      </c>
      <c r="M437" s="1">
        <v>202507</v>
      </c>
      <c r="N437" s="1">
        <v>2361983489</v>
      </c>
    </row>
    <row r="438" spans="12:14" x14ac:dyDescent="0.2">
      <c r="L438" s="1" t="s">
        <v>331</v>
      </c>
      <c r="M438" s="1">
        <v>202505</v>
      </c>
      <c r="N438" s="1">
        <v>1238949061</v>
      </c>
    </row>
    <row r="439" spans="12:14" x14ac:dyDescent="0.2">
      <c r="L439" s="1" t="s">
        <v>332</v>
      </c>
      <c r="M439" s="1">
        <v>202502</v>
      </c>
      <c r="N439" s="1">
        <v>84457496</v>
      </c>
    </row>
    <row r="440" spans="12:14" x14ac:dyDescent="0.2">
      <c r="L440" s="1" t="s">
        <v>332</v>
      </c>
      <c r="M440" s="1">
        <v>202509</v>
      </c>
      <c r="N440" s="1">
        <v>2671765488</v>
      </c>
    </row>
    <row r="441" spans="12:14" x14ac:dyDescent="0.2">
      <c r="L441" s="1" t="s">
        <v>332</v>
      </c>
      <c r="M441" s="1">
        <v>202506</v>
      </c>
      <c r="N441" s="1">
        <v>1238949061</v>
      </c>
    </row>
    <row r="442" spans="12:14" x14ac:dyDescent="0.2">
      <c r="L442" s="1" t="s">
        <v>332</v>
      </c>
      <c r="M442" s="1">
        <v>202504</v>
      </c>
      <c r="N442" s="1">
        <v>1341341243</v>
      </c>
    </row>
    <row r="443" spans="12:14" x14ac:dyDescent="0.2">
      <c r="L443" s="1" t="s">
        <v>332</v>
      </c>
      <c r="M443" s="1">
        <v>202508</v>
      </c>
      <c r="N443" s="1">
        <v>2296233489</v>
      </c>
    </row>
    <row r="444" spans="12:14" x14ac:dyDescent="0.2">
      <c r="L444" s="1" t="s">
        <v>332</v>
      </c>
      <c r="M444" s="1">
        <v>202507</v>
      </c>
      <c r="N444" s="1">
        <v>2112601387</v>
      </c>
    </row>
    <row r="445" spans="12:14" x14ac:dyDescent="0.2">
      <c r="L445" s="1" t="s">
        <v>332</v>
      </c>
      <c r="M445" s="1">
        <v>202505</v>
      </c>
      <c r="N445" s="1">
        <v>1304001668</v>
      </c>
    </row>
    <row r="446" spans="12:14" x14ac:dyDescent="0.2">
      <c r="L446" s="1" t="s">
        <v>332</v>
      </c>
      <c r="M446" s="1">
        <v>202510</v>
      </c>
      <c r="N446" s="1">
        <v>2658752052</v>
      </c>
    </row>
    <row r="447" spans="12:14" x14ac:dyDescent="0.2">
      <c r="L447" s="1" t="s">
        <v>332</v>
      </c>
      <c r="M447" s="1">
        <v>202503</v>
      </c>
      <c r="N447" s="1">
        <v>900485502</v>
      </c>
    </row>
    <row r="448" spans="12:14" x14ac:dyDescent="0.2">
      <c r="L448" s="1" t="s">
        <v>333</v>
      </c>
      <c r="M448" s="1">
        <v>202510</v>
      </c>
      <c r="N448" s="1">
        <v>2308085529</v>
      </c>
    </row>
    <row r="449" spans="12:14" x14ac:dyDescent="0.2">
      <c r="L449" s="1" t="s">
        <v>333</v>
      </c>
      <c r="M449" s="1">
        <v>202503</v>
      </c>
      <c r="N449" s="1">
        <v>99257496</v>
      </c>
    </row>
    <row r="450" spans="12:14" x14ac:dyDescent="0.2">
      <c r="L450" s="1" t="s">
        <v>333</v>
      </c>
      <c r="M450" s="1">
        <v>202508</v>
      </c>
      <c r="N450" s="1">
        <v>2133351387</v>
      </c>
    </row>
    <row r="451" spans="12:14" x14ac:dyDescent="0.2">
      <c r="L451" s="1" t="s">
        <v>333</v>
      </c>
      <c r="M451" s="1">
        <v>202507</v>
      </c>
      <c r="N451" s="1">
        <v>1279995074</v>
      </c>
    </row>
    <row r="452" spans="12:14" x14ac:dyDescent="0.2">
      <c r="L452" s="1" t="s">
        <v>333</v>
      </c>
      <c r="M452" s="1">
        <v>202505</v>
      </c>
      <c r="N452" s="1">
        <v>1366301248</v>
      </c>
    </row>
    <row r="453" spans="12:14" x14ac:dyDescent="0.2">
      <c r="L453" s="1" t="s">
        <v>333</v>
      </c>
      <c r="M453" s="1">
        <v>202509</v>
      </c>
      <c r="N453" s="1">
        <v>2296233489</v>
      </c>
    </row>
    <row r="454" spans="12:14" x14ac:dyDescent="0.2">
      <c r="L454" s="1" t="s">
        <v>333</v>
      </c>
      <c r="M454" s="1">
        <v>202506</v>
      </c>
      <c r="N454" s="1">
        <v>1304001668</v>
      </c>
    </row>
    <row r="455" spans="12:14" x14ac:dyDescent="0.2">
      <c r="L455" s="1" t="s">
        <v>333</v>
      </c>
      <c r="M455" s="1">
        <v>202504</v>
      </c>
      <c r="N455" s="1">
        <v>900485502</v>
      </c>
    </row>
    <row r="456" spans="12:14" x14ac:dyDescent="0.2">
      <c r="L456" s="1" t="s">
        <v>334</v>
      </c>
      <c r="M456" s="1">
        <v>202508</v>
      </c>
      <c r="N456" s="1">
        <v>1228373064</v>
      </c>
    </row>
    <row r="457" spans="12:14" x14ac:dyDescent="0.2">
      <c r="L457" s="1" t="s">
        <v>334</v>
      </c>
      <c r="M457" s="1">
        <v>202507</v>
      </c>
      <c r="N457" s="1">
        <v>1257417668</v>
      </c>
    </row>
    <row r="458" spans="12:14" x14ac:dyDescent="0.2">
      <c r="L458" s="1" t="s">
        <v>334</v>
      </c>
      <c r="M458" s="1">
        <v>202505</v>
      </c>
      <c r="N458" s="1">
        <v>927475497</v>
      </c>
    </row>
    <row r="459" spans="12:14" x14ac:dyDescent="0.2">
      <c r="L459" s="1" t="s">
        <v>334</v>
      </c>
      <c r="M459" s="1">
        <v>202510</v>
      </c>
      <c r="N459" s="1">
        <v>2496557176</v>
      </c>
    </row>
    <row r="460" spans="12:14" x14ac:dyDescent="0.2">
      <c r="L460" s="1" t="s">
        <v>334</v>
      </c>
      <c r="M460" s="1">
        <v>202509</v>
      </c>
      <c r="N460" s="1">
        <v>2133351387</v>
      </c>
    </row>
    <row r="461" spans="12:14" x14ac:dyDescent="0.2">
      <c r="L461" s="1" t="s">
        <v>334</v>
      </c>
      <c r="M461" s="1">
        <v>202506</v>
      </c>
      <c r="N461" s="1">
        <v>1366301248</v>
      </c>
    </row>
    <row r="462" spans="12:14" x14ac:dyDescent="0.2">
      <c r="L462" s="1" t="s">
        <v>334</v>
      </c>
      <c r="M462" s="1">
        <v>202504</v>
      </c>
      <c r="N462" s="1">
        <v>99257496</v>
      </c>
    </row>
    <row r="463" spans="12:14" x14ac:dyDescent="0.2">
      <c r="L463" s="1" t="s">
        <v>335</v>
      </c>
      <c r="M463" s="1">
        <v>202510</v>
      </c>
      <c r="N463" s="1">
        <v>1400709888</v>
      </c>
    </row>
    <row r="464" spans="12:14" x14ac:dyDescent="0.2">
      <c r="L464" s="1" t="s">
        <v>335</v>
      </c>
      <c r="M464" s="1">
        <v>202508</v>
      </c>
      <c r="N464" s="1">
        <v>1316039678</v>
      </c>
    </row>
    <row r="465" spans="12:14" x14ac:dyDescent="0.2">
      <c r="L465" s="1" t="s">
        <v>335</v>
      </c>
      <c r="M465" s="1">
        <v>202507</v>
      </c>
      <c r="N465" s="1">
        <v>1382285248</v>
      </c>
    </row>
    <row r="466" spans="12:14" x14ac:dyDescent="0.2">
      <c r="L466" s="1" t="s">
        <v>335</v>
      </c>
      <c r="M466" s="1">
        <v>202505</v>
      </c>
      <c r="N466" s="1">
        <v>99257496</v>
      </c>
    </row>
    <row r="467" spans="12:14" x14ac:dyDescent="0.2">
      <c r="L467" s="1" t="s">
        <v>335</v>
      </c>
      <c r="M467" s="1">
        <v>202509</v>
      </c>
      <c r="N467" s="1">
        <v>1228373064</v>
      </c>
    </row>
    <row r="468" spans="12:14" x14ac:dyDescent="0.2">
      <c r="L468" s="1" t="s">
        <v>335</v>
      </c>
      <c r="M468" s="1">
        <v>202506</v>
      </c>
      <c r="N468" s="1">
        <v>927475497</v>
      </c>
    </row>
    <row r="469" spans="12:14" x14ac:dyDescent="0.2">
      <c r="L469" s="1" t="s">
        <v>336</v>
      </c>
      <c r="M469" s="1">
        <v>202510</v>
      </c>
      <c r="N469" s="1">
        <v>1242640199</v>
      </c>
    </row>
    <row r="470" spans="12:14" x14ac:dyDescent="0.2">
      <c r="L470" s="1" t="s">
        <v>336</v>
      </c>
      <c r="M470" s="1">
        <v>202508</v>
      </c>
      <c r="N470" s="1">
        <v>1370035303</v>
      </c>
    </row>
    <row r="471" spans="12:14" x14ac:dyDescent="0.2">
      <c r="L471" s="1" t="s">
        <v>336</v>
      </c>
      <c r="M471" s="1">
        <v>202507</v>
      </c>
      <c r="N471" s="1">
        <v>906527807</v>
      </c>
    </row>
    <row r="472" spans="12:14" x14ac:dyDescent="0.2">
      <c r="L472" s="1" t="s">
        <v>336</v>
      </c>
      <c r="M472" s="1">
        <v>202509</v>
      </c>
      <c r="N472" s="1">
        <v>1316039678</v>
      </c>
    </row>
    <row r="473" spans="12:14" x14ac:dyDescent="0.2">
      <c r="L473" s="1" t="s">
        <v>336</v>
      </c>
      <c r="M473" s="1">
        <v>202506</v>
      </c>
      <c r="N473" s="1">
        <v>99257496</v>
      </c>
    </row>
    <row r="474" spans="12:14" x14ac:dyDescent="0.2">
      <c r="L474" s="1" t="s">
        <v>337</v>
      </c>
      <c r="M474" s="1">
        <v>202508</v>
      </c>
      <c r="N474" s="1">
        <v>911793752</v>
      </c>
    </row>
    <row r="475" spans="12:14" x14ac:dyDescent="0.2">
      <c r="L475" s="1" t="s">
        <v>337</v>
      </c>
      <c r="M475" s="1">
        <v>202507</v>
      </c>
      <c r="N475" s="1">
        <v>150805186</v>
      </c>
    </row>
    <row r="476" spans="12:14" x14ac:dyDescent="0.2">
      <c r="L476" s="1" t="s">
        <v>337</v>
      </c>
      <c r="M476" s="1">
        <v>202510</v>
      </c>
      <c r="N476" s="1">
        <v>1349964442</v>
      </c>
    </row>
    <row r="477" spans="12:14" x14ac:dyDescent="0.2">
      <c r="L477" s="1" t="s">
        <v>337</v>
      </c>
      <c r="M477" s="1">
        <v>202509</v>
      </c>
      <c r="N477" s="1">
        <v>1370035303</v>
      </c>
    </row>
    <row r="478" spans="12:14" x14ac:dyDescent="0.2">
      <c r="L478" s="1" t="s">
        <v>338</v>
      </c>
      <c r="M478" s="1">
        <v>202509</v>
      </c>
      <c r="N478" s="1">
        <v>911793752</v>
      </c>
    </row>
    <row r="479" spans="12:14" x14ac:dyDescent="0.2">
      <c r="L479" s="1" t="s">
        <v>338</v>
      </c>
      <c r="M479" s="1">
        <v>202510</v>
      </c>
      <c r="N479" s="1">
        <v>1119070006</v>
      </c>
    </row>
    <row r="480" spans="12:14" x14ac:dyDescent="0.2">
      <c r="L480" s="1" t="s">
        <v>338</v>
      </c>
      <c r="M480" s="1">
        <v>202508</v>
      </c>
      <c r="N480" s="1">
        <v>195789186</v>
      </c>
    </row>
    <row r="481" spans="12:14" x14ac:dyDescent="0.2">
      <c r="L481" s="1" t="s">
        <v>339</v>
      </c>
      <c r="M481" s="1">
        <v>202509</v>
      </c>
      <c r="N481" s="1">
        <v>195789186</v>
      </c>
    </row>
    <row r="482" spans="12:14" x14ac:dyDescent="0.2">
      <c r="L482" s="1" t="s">
        <v>339</v>
      </c>
      <c r="M482" s="1">
        <v>202510</v>
      </c>
      <c r="N482" s="1">
        <v>681901907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7DF8-A61F-5D45-AB4A-AC4DD135A28C}">
  <sheetPr codeName="Sheet6">
    <tabColor theme="4" tint="0.59999389629810485"/>
  </sheetPr>
  <dimension ref="A1:BL215"/>
  <sheetViews>
    <sheetView showGridLines="0" topLeftCell="B1" zoomScale="116" zoomScaleNormal="110" zoomScaleSheetLayoutView="55" workbookViewId="0">
      <pane xSplit="2" ySplit="6" topLeftCell="D56" activePane="bottomRight" state="frozen"/>
      <selection activeCell="J1" sqref="J1"/>
      <selection pane="topRight" activeCell="J1" sqref="J1"/>
      <selection pane="bottomLeft" activeCell="J1" sqref="J1"/>
      <selection pane="bottomRight" activeCell="J1" sqref="J1"/>
    </sheetView>
  </sheetViews>
  <sheetFormatPr baseColWidth="10" defaultColWidth="9.1640625" defaultRowHeight="11" outlineLevelCol="1" x14ac:dyDescent="0.15"/>
  <cols>
    <col min="1" max="1" width="5.5" style="89" hidden="1" customWidth="1" outlineLevel="1"/>
    <col min="2" max="2" width="6.6640625" style="89" customWidth="1" collapsed="1"/>
    <col min="3" max="3" width="29.83203125" style="89" customWidth="1"/>
    <col min="4" max="28" width="8.5" style="89" customWidth="1"/>
    <col min="29" max="64" width="8.5" style="89" hidden="1" customWidth="1"/>
    <col min="65" max="16384" width="9.1640625" style="89"/>
  </cols>
  <sheetData>
    <row r="1" spans="2:64" ht="20" x14ac:dyDescent="0.2">
      <c r="B1" s="245" t="s">
        <v>356</v>
      </c>
      <c r="C1" s="204"/>
      <c r="E1" s="246"/>
      <c r="F1" s="246"/>
      <c r="G1" s="246"/>
      <c r="H1" s="246"/>
      <c r="I1" s="246"/>
      <c r="J1" s="246"/>
      <c r="K1" s="246"/>
      <c r="L1" s="246"/>
      <c r="AX1" s="156"/>
    </row>
    <row r="2" spans="2:64" ht="20" x14ac:dyDescent="0.2">
      <c r="B2" s="245"/>
      <c r="C2" s="204"/>
      <c r="E2" s="246"/>
      <c r="F2" s="246"/>
      <c r="G2" s="246"/>
      <c r="H2" s="246"/>
      <c r="I2" s="246"/>
      <c r="J2" s="246"/>
      <c r="K2" s="246"/>
      <c r="L2" s="246"/>
      <c r="AX2" s="156"/>
    </row>
    <row r="3" spans="2:64" x14ac:dyDescent="0.15">
      <c r="C3" s="247"/>
      <c r="E3" s="246"/>
      <c r="F3" s="246"/>
      <c r="G3" s="246"/>
      <c r="H3" s="246"/>
      <c r="I3" s="246"/>
      <c r="J3" s="246"/>
      <c r="K3" s="246"/>
      <c r="L3" s="246"/>
      <c r="AV3" s="156"/>
    </row>
    <row r="4" spans="2:64" x14ac:dyDescent="0.15">
      <c r="C4" s="248" t="s">
        <v>357</v>
      </c>
      <c r="D4" s="163"/>
      <c r="F4" s="249"/>
      <c r="G4" s="250"/>
      <c r="H4" s="250"/>
      <c r="I4" s="250"/>
      <c r="J4" s="250"/>
      <c r="K4" s="250"/>
      <c r="L4" s="250"/>
      <c r="M4" s="250"/>
      <c r="N4" s="250"/>
      <c r="O4" s="250"/>
      <c r="P4" s="250"/>
      <c r="Q4" s="250"/>
      <c r="R4" s="250"/>
      <c r="S4" s="250"/>
      <c r="T4" s="250"/>
      <c r="U4" s="250"/>
      <c r="V4" s="250"/>
      <c r="W4" s="250"/>
      <c r="X4" s="250"/>
      <c r="Y4" s="250"/>
      <c r="Z4" s="250"/>
      <c r="AA4" s="250"/>
      <c r="AB4" s="250"/>
    </row>
    <row r="5" spans="2:64" x14ac:dyDescent="0.15">
      <c r="C5" s="163" t="s">
        <v>65</v>
      </c>
      <c r="D5" s="251">
        <v>0</v>
      </c>
      <c r="E5" s="252">
        <f t="shared" ref="E5:BL5" si="0">D5+1</f>
        <v>1</v>
      </c>
      <c r="F5" s="252">
        <f t="shared" si="0"/>
        <v>2</v>
      </c>
      <c r="G5" s="252">
        <f t="shared" si="0"/>
        <v>3</v>
      </c>
      <c r="H5" s="252">
        <f t="shared" si="0"/>
        <v>4</v>
      </c>
      <c r="I5" s="252">
        <f t="shared" si="0"/>
        <v>5</v>
      </c>
      <c r="J5" s="252">
        <f t="shared" si="0"/>
        <v>6</v>
      </c>
      <c r="K5" s="252">
        <f t="shared" si="0"/>
        <v>7</v>
      </c>
      <c r="L5" s="252">
        <f t="shared" si="0"/>
        <v>8</v>
      </c>
      <c r="M5" s="252">
        <f t="shared" si="0"/>
        <v>9</v>
      </c>
      <c r="N5" s="252">
        <f t="shared" si="0"/>
        <v>10</v>
      </c>
      <c r="O5" s="252">
        <f t="shared" si="0"/>
        <v>11</v>
      </c>
      <c r="P5" s="252">
        <f t="shared" si="0"/>
        <v>12</v>
      </c>
      <c r="Q5" s="252">
        <f t="shared" si="0"/>
        <v>13</v>
      </c>
      <c r="R5" s="252">
        <f t="shared" si="0"/>
        <v>14</v>
      </c>
      <c r="S5" s="252">
        <f t="shared" si="0"/>
        <v>15</v>
      </c>
      <c r="T5" s="252">
        <f t="shared" si="0"/>
        <v>16</v>
      </c>
      <c r="U5" s="252">
        <f t="shared" si="0"/>
        <v>17</v>
      </c>
      <c r="V5" s="252">
        <f t="shared" si="0"/>
        <v>18</v>
      </c>
      <c r="W5" s="252">
        <f t="shared" si="0"/>
        <v>19</v>
      </c>
      <c r="X5" s="252">
        <f t="shared" si="0"/>
        <v>20</v>
      </c>
      <c r="Y5" s="252">
        <f t="shared" si="0"/>
        <v>21</v>
      </c>
      <c r="Z5" s="252">
        <f t="shared" si="0"/>
        <v>22</v>
      </c>
      <c r="AA5" s="252">
        <f t="shared" si="0"/>
        <v>23</v>
      </c>
      <c r="AB5" s="252">
        <f t="shared" si="0"/>
        <v>24</v>
      </c>
      <c r="AC5" s="252">
        <f t="shared" si="0"/>
        <v>25</v>
      </c>
      <c r="AD5" s="252">
        <f t="shared" si="0"/>
        <v>26</v>
      </c>
      <c r="AE5" s="252">
        <f t="shared" si="0"/>
        <v>27</v>
      </c>
      <c r="AF5" s="252">
        <f t="shared" si="0"/>
        <v>28</v>
      </c>
      <c r="AG5" s="252">
        <f t="shared" si="0"/>
        <v>29</v>
      </c>
      <c r="AH5" s="252">
        <f t="shared" si="0"/>
        <v>30</v>
      </c>
      <c r="AI5" s="252">
        <f t="shared" si="0"/>
        <v>31</v>
      </c>
      <c r="AJ5" s="252">
        <f t="shared" si="0"/>
        <v>32</v>
      </c>
      <c r="AK5" s="252">
        <f t="shared" si="0"/>
        <v>33</v>
      </c>
      <c r="AL5" s="252">
        <f t="shared" si="0"/>
        <v>34</v>
      </c>
      <c r="AM5" s="252">
        <f t="shared" si="0"/>
        <v>35</v>
      </c>
      <c r="AN5" s="252">
        <f t="shared" si="0"/>
        <v>36</v>
      </c>
      <c r="AO5" s="252">
        <f t="shared" si="0"/>
        <v>37</v>
      </c>
      <c r="AP5" s="252">
        <f t="shared" si="0"/>
        <v>38</v>
      </c>
      <c r="AQ5" s="252">
        <f t="shared" si="0"/>
        <v>39</v>
      </c>
      <c r="AR5" s="252">
        <f t="shared" si="0"/>
        <v>40</v>
      </c>
      <c r="AS5" s="252">
        <f t="shared" si="0"/>
        <v>41</v>
      </c>
      <c r="AT5" s="252">
        <f t="shared" si="0"/>
        <v>42</v>
      </c>
      <c r="AU5" s="252">
        <f t="shared" si="0"/>
        <v>43</v>
      </c>
      <c r="AV5" s="252">
        <f t="shared" si="0"/>
        <v>44</v>
      </c>
      <c r="AW5" s="252">
        <f t="shared" si="0"/>
        <v>45</v>
      </c>
      <c r="AX5" s="252">
        <f t="shared" si="0"/>
        <v>46</v>
      </c>
      <c r="AY5" s="252">
        <f t="shared" si="0"/>
        <v>47</v>
      </c>
      <c r="AZ5" s="252">
        <f t="shared" si="0"/>
        <v>48</v>
      </c>
      <c r="BA5" s="252">
        <f t="shared" si="0"/>
        <v>49</v>
      </c>
      <c r="BB5" s="252">
        <f t="shared" si="0"/>
        <v>50</v>
      </c>
      <c r="BC5" s="252">
        <f t="shared" si="0"/>
        <v>51</v>
      </c>
      <c r="BD5" s="252">
        <f t="shared" si="0"/>
        <v>52</v>
      </c>
      <c r="BE5" s="252">
        <f t="shared" si="0"/>
        <v>53</v>
      </c>
      <c r="BF5" s="252">
        <f t="shared" si="0"/>
        <v>54</v>
      </c>
      <c r="BG5" s="252">
        <f t="shared" si="0"/>
        <v>55</v>
      </c>
      <c r="BH5" s="252">
        <f t="shared" si="0"/>
        <v>56</v>
      </c>
      <c r="BI5" s="252">
        <f t="shared" si="0"/>
        <v>57</v>
      </c>
      <c r="BJ5" s="252">
        <f t="shared" si="0"/>
        <v>58</v>
      </c>
      <c r="BK5" s="252">
        <f t="shared" si="0"/>
        <v>59</v>
      </c>
      <c r="BL5" s="252">
        <f t="shared" si="0"/>
        <v>60</v>
      </c>
    </row>
    <row r="6" spans="2:64" x14ac:dyDescent="0.15">
      <c r="C6" s="163" t="s">
        <v>358</v>
      </c>
      <c r="D6" s="252">
        <f>IF(Leadsheet!$E$12-SAP_Speadsheet!D5&lt;0,0,Leadsheet!$E$12-SAP_Speadsheet!D5)</f>
        <v>1</v>
      </c>
      <c r="E6" s="252">
        <f>IF(Leadsheet!$E$12-SAP_Speadsheet!E5&lt;0,0,Leadsheet!$E$12-SAP_Speadsheet!E5)</f>
        <v>0</v>
      </c>
      <c r="F6" s="252">
        <f>IF(Leadsheet!$E$12-SAP_Speadsheet!F5&lt;0,0,Leadsheet!$E$12-SAP_Speadsheet!F5)</f>
        <v>0</v>
      </c>
      <c r="G6" s="252">
        <f>IF(Leadsheet!$E$12-SAP_Speadsheet!G5&lt;0,0,Leadsheet!$E$12-SAP_Speadsheet!G5)</f>
        <v>0</v>
      </c>
      <c r="H6" s="252">
        <f>IF(Leadsheet!$E$12-SAP_Speadsheet!H5&lt;0,0,Leadsheet!$E$12-SAP_Speadsheet!H5)</f>
        <v>0</v>
      </c>
      <c r="I6" s="252">
        <f>IF(Leadsheet!$E$12-SAP_Speadsheet!I5&lt;0,0,Leadsheet!$E$12-SAP_Speadsheet!I5)</f>
        <v>0</v>
      </c>
      <c r="J6" s="252">
        <f>IF(Leadsheet!$E$12-SAP_Speadsheet!J5&lt;0,0,Leadsheet!$E$12-SAP_Speadsheet!J5)</f>
        <v>0</v>
      </c>
      <c r="K6" s="252">
        <f>IF(Leadsheet!$E$12-SAP_Speadsheet!K5&lt;0,0,Leadsheet!$E$12-SAP_Speadsheet!K5)</f>
        <v>0</v>
      </c>
      <c r="L6" s="252">
        <f>IF(Leadsheet!$E$12-SAP_Speadsheet!L5&lt;0,0,Leadsheet!$E$12-SAP_Speadsheet!L5)</f>
        <v>0</v>
      </c>
      <c r="M6" s="252">
        <f>IF(Leadsheet!$E$12-SAP_Speadsheet!M5&lt;0,0,Leadsheet!$E$12-SAP_Speadsheet!M5)</f>
        <v>0</v>
      </c>
      <c r="N6" s="252">
        <f>IF(Leadsheet!$E$12-SAP_Speadsheet!N5&lt;0,0,Leadsheet!$E$12-SAP_Speadsheet!N5)</f>
        <v>0</v>
      </c>
      <c r="O6" s="252">
        <f>IF(Leadsheet!$E$12-SAP_Speadsheet!O5&lt;0,0,Leadsheet!$E$12-SAP_Speadsheet!O5)</f>
        <v>0</v>
      </c>
      <c r="P6" s="252">
        <f>IF(Leadsheet!$E$12-SAP_Speadsheet!P5&lt;0,0,Leadsheet!$E$12-SAP_Speadsheet!P5)</f>
        <v>0</v>
      </c>
      <c r="Q6" s="252">
        <f>IF(Leadsheet!$E$12-SAP_Speadsheet!Q5&lt;0,0,Leadsheet!$E$12-SAP_Speadsheet!Q5)</f>
        <v>0</v>
      </c>
      <c r="R6" s="252">
        <f>IF(Leadsheet!$E$12-SAP_Speadsheet!R5&lt;0,0,Leadsheet!$E$12-SAP_Speadsheet!R5)</f>
        <v>0</v>
      </c>
      <c r="S6" s="252">
        <f>IF(Leadsheet!$E$12-SAP_Speadsheet!S5&lt;0,0,Leadsheet!$E$12-SAP_Speadsheet!S5)</f>
        <v>0</v>
      </c>
      <c r="T6" s="252">
        <f>IF(Leadsheet!$E$12-SAP_Speadsheet!T5&lt;0,0,Leadsheet!$E$12-SAP_Speadsheet!T5)</f>
        <v>0</v>
      </c>
      <c r="U6" s="252">
        <f>IF(Leadsheet!$E$12-SAP_Speadsheet!U5&lt;0,0,Leadsheet!$E$12-SAP_Speadsheet!U5)</f>
        <v>0</v>
      </c>
      <c r="V6" s="252">
        <f>IF(Leadsheet!$E$12-SAP_Speadsheet!V5&lt;0,0,Leadsheet!$E$12-SAP_Speadsheet!V5)</f>
        <v>0</v>
      </c>
      <c r="W6" s="252">
        <f>IF(Leadsheet!$E$12-SAP_Speadsheet!W5&lt;0,0,Leadsheet!$E$12-SAP_Speadsheet!W5)</f>
        <v>0</v>
      </c>
      <c r="X6" s="252">
        <f>IF(Leadsheet!$E$12-SAP_Speadsheet!X5&lt;0,0,Leadsheet!$E$12-SAP_Speadsheet!X5)</f>
        <v>0</v>
      </c>
      <c r="Y6" s="252">
        <f>IF(Leadsheet!$E$12-SAP_Speadsheet!Y5&lt;0,0,Leadsheet!$E$12-SAP_Speadsheet!Y5)</f>
        <v>0</v>
      </c>
      <c r="Z6" s="252">
        <f>IF(Leadsheet!$E$12-SAP_Speadsheet!Z5&lt;0,0,Leadsheet!$E$12-SAP_Speadsheet!Z5)</f>
        <v>0</v>
      </c>
      <c r="AA6" s="252">
        <f>IF(Leadsheet!$E$12-SAP_Speadsheet!AA5&lt;0,0,Leadsheet!$E$12-SAP_Speadsheet!AA5)</f>
        <v>0</v>
      </c>
      <c r="AB6" s="252">
        <f>IF(Leadsheet!$E$12-SAP_Speadsheet!AB5&lt;0,0,Leadsheet!$E$12-SAP_Speadsheet!AB5)</f>
        <v>0</v>
      </c>
      <c r="AC6" s="252">
        <f>IF(Leadsheet!$E$12-SAP_Speadsheet!AC5&lt;0,0,Leadsheet!$E$12-SAP_Speadsheet!AC5)</f>
        <v>0</v>
      </c>
      <c r="AD6" s="252">
        <f>IF(Leadsheet!$E$12-SAP_Speadsheet!AD5&lt;0,0,Leadsheet!$E$12-SAP_Speadsheet!AD5)</f>
        <v>0</v>
      </c>
      <c r="AE6" s="252">
        <f>IF(Leadsheet!$E$12-SAP_Speadsheet!AE5&lt;0,0,Leadsheet!$E$12-SAP_Speadsheet!AE5)</f>
        <v>0</v>
      </c>
      <c r="AF6" s="252">
        <f>IF(Leadsheet!$E$12-SAP_Speadsheet!AF5&lt;0,0,Leadsheet!$E$12-SAP_Speadsheet!AF5)</f>
        <v>0</v>
      </c>
      <c r="AG6" s="252">
        <f>IF(Leadsheet!$E$12-SAP_Speadsheet!AG5&lt;0,0,Leadsheet!$E$12-SAP_Speadsheet!AG5)</f>
        <v>0</v>
      </c>
      <c r="AH6" s="252">
        <f>IF(Leadsheet!$E$12-SAP_Speadsheet!AH5&lt;0,0,Leadsheet!$E$12-SAP_Speadsheet!AH5)</f>
        <v>0</v>
      </c>
      <c r="AI6" s="252">
        <f>IF(Leadsheet!$E$12-SAP_Speadsheet!AI5&lt;0,0,Leadsheet!$E$12-SAP_Speadsheet!AI5)</f>
        <v>0</v>
      </c>
      <c r="AJ6" s="252">
        <f>IF(Leadsheet!$E$12-SAP_Speadsheet!AJ5&lt;0,0,Leadsheet!$E$12-SAP_Speadsheet!AJ5)</f>
        <v>0</v>
      </c>
      <c r="AK6" s="252">
        <f>IF(Leadsheet!$E$12-SAP_Speadsheet!AK5&lt;0,0,Leadsheet!$E$12-SAP_Speadsheet!AK5)</f>
        <v>0</v>
      </c>
      <c r="AL6" s="252">
        <f>IF(Leadsheet!$E$12-SAP_Speadsheet!AL5&lt;0,0,Leadsheet!$E$12-SAP_Speadsheet!AL5)</f>
        <v>0</v>
      </c>
      <c r="AM6" s="252">
        <f>IF(Leadsheet!$E$12-SAP_Speadsheet!AM5&lt;0,0,Leadsheet!$E$12-SAP_Speadsheet!AM5)</f>
        <v>0</v>
      </c>
      <c r="AN6" s="252">
        <f>IF(Leadsheet!$E$12-SAP_Speadsheet!AN5&lt;0,0,Leadsheet!$E$12-SAP_Speadsheet!AN5)</f>
        <v>0</v>
      </c>
      <c r="AO6" s="252">
        <f>IF(Leadsheet!$E$12-SAP_Speadsheet!AO5&lt;0,0,Leadsheet!$E$12-SAP_Speadsheet!AO5)</f>
        <v>0</v>
      </c>
      <c r="AP6" s="252">
        <f>IF(Leadsheet!$E$12-SAP_Speadsheet!AP5&lt;0,0,Leadsheet!$E$12-SAP_Speadsheet!AP5)</f>
        <v>0</v>
      </c>
      <c r="AQ6" s="252">
        <f>IF(Leadsheet!$E$12-SAP_Speadsheet!AQ5&lt;0,0,Leadsheet!$E$12-SAP_Speadsheet!AQ5)</f>
        <v>0</v>
      </c>
      <c r="AR6" s="252">
        <f>IF(Leadsheet!$E$12-SAP_Speadsheet!AR5&lt;0,0,Leadsheet!$E$12-SAP_Speadsheet!AR5)</f>
        <v>0</v>
      </c>
      <c r="AS6" s="252">
        <f>IF(Leadsheet!$E$12-SAP_Speadsheet!AS5&lt;0,0,Leadsheet!$E$12-SAP_Speadsheet!AS5)</f>
        <v>0</v>
      </c>
      <c r="AT6" s="252">
        <f>IF(Leadsheet!$E$12-SAP_Speadsheet!AT5&lt;0,0,Leadsheet!$E$12-SAP_Speadsheet!AT5)</f>
        <v>0</v>
      </c>
      <c r="AU6" s="252">
        <f>IF(Leadsheet!$E$12-SAP_Speadsheet!AU5&lt;0,0,Leadsheet!$E$12-SAP_Speadsheet!AU5)</f>
        <v>0</v>
      </c>
      <c r="AV6" s="252">
        <f>IF(Leadsheet!$E$12-SAP_Speadsheet!AV5&lt;0,0,Leadsheet!$E$12-SAP_Speadsheet!AV5)</f>
        <v>0</v>
      </c>
      <c r="AW6" s="252">
        <f>IF(Leadsheet!$E$12-SAP_Speadsheet!AW5&lt;0,0,Leadsheet!$E$12-SAP_Speadsheet!AW5)</f>
        <v>0</v>
      </c>
      <c r="AX6" s="252">
        <f>IF(Leadsheet!$E$12-SAP_Speadsheet!AX5&lt;0,0,Leadsheet!$E$12-SAP_Speadsheet!AX5)</f>
        <v>0</v>
      </c>
      <c r="AY6" s="252">
        <f>IF(Leadsheet!$E$12-SAP_Speadsheet!AY5&lt;0,0,Leadsheet!$E$12-SAP_Speadsheet!AY5)</f>
        <v>0</v>
      </c>
      <c r="AZ6" s="252">
        <f>IF(Leadsheet!$E$12-SAP_Speadsheet!AZ5&lt;0,0,Leadsheet!$E$12-SAP_Speadsheet!AZ5)</f>
        <v>0</v>
      </c>
      <c r="BA6" s="252">
        <f>IF(Leadsheet!$E$12-SAP_Speadsheet!BA5&lt;0,0,Leadsheet!$E$12-SAP_Speadsheet!BA5)</f>
        <v>0</v>
      </c>
      <c r="BB6" s="252">
        <f>IF(Leadsheet!$E$12-SAP_Speadsheet!BB5&lt;0,0,Leadsheet!$E$12-SAP_Speadsheet!BB5)</f>
        <v>0</v>
      </c>
      <c r="BC6" s="252">
        <f>IF(Leadsheet!$E$12-SAP_Speadsheet!BC5&lt;0,0,Leadsheet!$E$12-SAP_Speadsheet!BC5)</f>
        <v>0</v>
      </c>
      <c r="BD6" s="246">
        <f>IF(Leadsheet!$E$12-SAP_Speadsheet!BD5&lt;0,0,Leadsheet!$E$12-SAP_Speadsheet!BD5)</f>
        <v>0</v>
      </c>
      <c r="BE6" s="246">
        <f>IF(Leadsheet!$E$12-SAP_Speadsheet!BE5&lt;0,0,Leadsheet!$E$12-SAP_Speadsheet!BE5)</f>
        <v>0</v>
      </c>
      <c r="BF6" s="246">
        <f>IF(Leadsheet!$E$12-SAP_Speadsheet!BF5&lt;0,0,Leadsheet!$E$12-SAP_Speadsheet!BF5)</f>
        <v>0</v>
      </c>
      <c r="BG6" s="246">
        <f>IF(Leadsheet!$E$12-SAP_Speadsheet!BG5&lt;0,0,Leadsheet!$E$12-SAP_Speadsheet!BG5)</f>
        <v>0</v>
      </c>
      <c r="BH6" s="246">
        <f>IF(Leadsheet!$E$12-SAP_Speadsheet!BH5&lt;0,0,Leadsheet!$E$12-SAP_Speadsheet!BH5)</f>
        <v>0</v>
      </c>
      <c r="BI6" s="246">
        <f>IF(Leadsheet!$E$12-SAP_Speadsheet!BI5&lt;0,0,Leadsheet!$E$12-SAP_Speadsheet!BI5)</f>
        <v>0</v>
      </c>
      <c r="BJ6" s="246">
        <f>IF(Leadsheet!$E$12-SAP_Speadsheet!BJ5&lt;0,0,Leadsheet!$E$12-SAP_Speadsheet!BJ5)</f>
        <v>0</v>
      </c>
      <c r="BK6" s="246">
        <f>IF(Leadsheet!$E$12-SAP_Speadsheet!BK5&lt;0,0,Leadsheet!$E$12-SAP_Speadsheet!BK5)</f>
        <v>0</v>
      </c>
      <c r="BL6" s="246">
        <f>IF(Leadsheet!$E$12-SAP_Speadsheet!BL5&lt;0,0,Leadsheet!$E$12-SAP_Speadsheet!BL5)</f>
        <v>0</v>
      </c>
    </row>
    <row r="7" spans="2:64" x14ac:dyDescent="0.15">
      <c r="C7" s="163" t="s">
        <v>359</v>
      </c>
      <c r="D7" s="246">
        <f>Leadsheet!E13+Leadsheet!E12</f>
        <v>7</v>
      </c>
    </row>
    <row r="8" spans="2:64" x14ac:dyDescent="0.15">
      <c r="C8" s="163"/>
      <c r="E8" s="246"/>
    </row>
    <row r="9" spans="2:64" ht="13" thickBot="1" x14ac:dyDescent="0.2">
      <c r="B9" s="253" t="s">
        <v>360</v>
      </c>
      <c r="C9" s="254"/>
      <c r="D9" s="255"/>
      <c r="E9" s="256"/>
      <c r="F9" s="255"/>
      <c r="G9" s="255"/>
      <c r="H9" s="255"/>
      <c r="I9" s="255"/>
      <c r="J9" s="255"/>
      <c r="K9" s="255"/>
      <c r="L9" s="255"/>
      <c r="M9" s="255"/>
      <c r="N9" s="255"/>
      <c r="O9" s="255"/>
      <c r="P9" s="255"/>
      <c r="Q9" s="255"/>
      <c r="R9" s="255"/>
      <c r="S9" s="255"/>
      <c r="T9" s="255"/>
      <c r="U9" s="255"/>
      <c r="V9" s="255"/>
      <c r="W9" s="255"/>
      <c r="X9" s="255"/>
      <c r="Y9" s="255"/>
      <c r="Z9" s="255"/>
      <c r="AA9" s="255"/>
      <c r="AB9" s="255"/>
      <c r="AC9" s="255"/>
      <c r="AD9" s="255"/>
      <c r="AE9" s="255"/>
      <c r="AF9" s="255"/>
      <c r="AG9" s="255"/>
      <c r="AH9" s="255"/>
      <c r="AI9" s="255"/>
      <c r="AJ9" s="255"/>
      <c r="AK9" s="255"/>
      <c r="AL9" s="255"/>
      <c r="AM9" s="255"/>
      <c r="AN9" s="255"/>
      <c r="AO9" s="255"/>
      <c r="AP9" s="255"/>
      <c r="AQ9" s="255"/>
      <c r="AR9" s="255"/>
      <c r="AS9" s="255"/>
      <c r="AT9" s="255"/>
      <c r="AU9" s="255"/>
      <c r="AV9" s="255"/>
      <c r="AW9" s="255"/>
      <c r="AX9" s="255"/>
      <c r="AY9" s="255"/>
      <c r="AZ9" s="255"/>
      <c r="BA9" s="255"/>
      <c r="BB9" s="255"/>
      <c r="BC9" s="255"/>
      <c r="BD9" s="255"/>
      <c r="BE9" s="255"/>
      <c r="BF9" s="255"/>
      <c r="BG9" s="255"/>
      <c r="BH9" s="255"/>
      <c r="BI9" s="255"/>
      <c r="BJ9" s="255"/>
      <c r="BK9" s="255"/>
      <c r="BL9" s="255"/>
    </row>
    <row r="10" spans="2:64" ht="12" thickTop="1" x14ac:dyDescent="0.15">
      <c r="B10" s="163" t="s">
        <v>361</v>
      </c>
      <c r="C10" s="163"/>
      <c r="E10" s="246"/>
    </row>
    <row r="11" spans="2:64" x14ac:dyDescent="0.15">
      <c r="C11" s="89" t="s">
        <v>362</v>
      </c>
      <c r="D11" s="257">
        <f>Leadsheet!E18</f>
        <v>0.57430774910730731</v>
      </c>
      <c r="E11" s="257">
        <f>IF(E$5&gt;$D$7,0,VLOOKUP(SAP_Speadsheet!E$5,Leadsheet!$C$18:$F$19,3,1))</f>
        <v>0.57430774910730731</v>
      </c>
      <c r="F11" s="257">
        <f>IF(F$5&gt;$D$7,0,VLOOKUP(SAP_Speadsheet!F$5,Leadsheet!$C$18:$F$19,3,1))</f>
        <v>0.57430774910730731</v>
      </c>
      <c r="G11" s="257">
        <f>IF(G$5&gt;$D$7,0,VLOOKUP(SAP_Speadsheet!G$5,Leadsheet!$C$18:$F$19,3,1))</f>
        <v>0.57430774910730731</v>
      </c>
      <c r="H11" s="257">
        <f>IF(H$5&gt;$D$7,0,VLOOKUP(SAP_Speadsheet!H$5,Leadsheet!$C$18:$F$19,3,1))</f>
        <v>0.57430774910730731</v>
      </c>
      <c r="I11" s="257">
        <f>IF(I$5&gt;$D$7,0,VLOOKUP(SAP_Speadsheet!I$5,Leadsheet!$C$18:$F$19,3,1))</f>
        <v>0.57430774910730731</v>
      </c>
      <c r="J11" s="257">
        <f>IF(J$5&gt;$D$7,0,VLOOKUP(SAP_Speadsheet!J$5,Leadsheet!$C$18:$F$19,3,1))</f>
        <v>0.57430774910730731</v>
      </c>
      <c r="K11" s="257">
        <f>IF(K$5&gt;$D$7,0,VLOOKUP(SAP_Speadsheet!K$5,Leadsheet!$C$18:$F$19,3,1))</f>
        <v>0.57430774910730731</v>
      </c>
      <c r="L11" s="257">
        <f>IF(L$5&gt;$D$7,0,VLOOKUP(SAP_Speadsheet!L$5,Leadsheet!$C$18:$F$19,3,1))</f>
        <v>0</v>
      </c>
      <c r="M11" s="257">
        <f>IF(M$5&gt;$D$7,0,VLOOKUP(SAP_Speadsheet!M$5,Leadsheet!$C$18:$F$19,3,1))</f>
        <v>0</v>
      </c>
      <c r="N11" s="257">
        <f>IF(N$5&gt;$D$7,0,VLOOKUP(SAP_Speadsheet!N$5,Leadsheet!$C$18:$F$19,3,1))</f>
        <v>0</v>
      </c>
      <c r="O11" s="257">
        <f>IF(O$5&gt;$D$7,0,VLOOKUP(SAP_Speadsheet!O$5,Leadsheet!$C$18:$F$19,3,1))</f>
        <v>0</v>
      </c>
      <c r="P11" s="257">
        <f>IF(P$5&gt;$D$7,0,VLOOKUP(SAP_Speadsheet!P$5,Leadsheet!$C$18:$F$19,3,1))</f>
        <v>0</v>
      </c>
      <c r="Q11" s="257">
        <f>IF(Q$5&gt;$D$7,0,VLOOKUP(SAP_Speadsheet!Q$5,Leadsheet!$C$18:$F$19,3,1))</f>
        <v>0</v>
      </c>
      <c r="R11" s="257">
        <f>IF(R$5&gt;$D$7,0,VLOOKUP(SAP_Speadsheet!R$5,Leadsheet!$C$18:$F$19,3,1))</f>
        <v>0</v>
      </c>
      <c r="S11" s="257">
        <f>IF(S$5&gt;$D$7,0,VLOOKUP(SAP_Speadsheet!S$5,Leadsheet!$C$18:$F$19,3,1))</f>
        <v>0</v>
      </c>
      <c r="T11" s="257">
        <f>IF(T$5&gt;$D$7,0,VLOOKUP(SAP_Speadsheet!T$5,Leadsheet!$C$18:$F$19,3,1))</f>
        <v>0</v>
      </c>
      <c r="U11" s="257">
        <f>IF(U$5&gt;$D$7,0,VLOOKUP(SAP_Speadsheet!U$5,Leadsheet!$C$18:$F$19,3,1))</f>
        <v>0</v>
      </c>
      <c r="V11" s="257">
        <f>IF(V$5&gt;$D$7,0,VLOOKUP(SAP_Speadsheet!V$5,Leadsheet!$C$18:$F$19,3,1))</f>
        <v>0</v>
      </c>
      <c r="W11" s="257">
        <f>IF(W$5&gt;$D$7,0,VLOOKUP(SAP_Speadsheet!W$5,Leadsheet!$C$18:$F$19,3,1))</f>
        <v>0</v>
      </c>
      <c r="X11" s="257">
        <f>IF(X$5&gt;$D$7,0,VLOOKUP(SAP_Speadsheet!X$5,Leadsheet!$C$18:$F$19,3,1))</f>
        <v>0</v>
      </c>
      <c r="Y11" s="257">
        <f>IF(Y$5&gt;$D$7,0,VLOOKUP(SAP_Speadsheet!Y$5,Leadsheet!$C$18:$F$19,3,1))</f>
        <v>0</v>
      </c>
      <c r="Z11" s="257">
        <f>IF(Z$5&gt;$D$7,0,VLOOKUP(SAP_Speadsheet!Z$5,Leadsheet!$C$18:$F$19,3,1))</f>
        <v>0</v>
      </c>
      <c r="AA11" s="257">
        <f>IF(AA$5&gt;$D$7,0,VLOOKUP(SAP_Speadsheet!AA$5,Leadsheet!$C$18:$F$19,3,1))</f>
        <v>0</v>
      </c>
      <c r="AB11" s="257">
        <f>IF(AB$5&gt;$D$7,0,VLOOKUP(SAP_Speadsheet!AB$5,Leadsheet!$C$18:$F$19,3,1))</f>
        <v>0</v>
      </c>
      <c r="AC11" s="257">
        <f>IF(AC$5&gt;$D$7,0,VLOOKUP(SAP_Speadsheet!AC$5,Leadsheet!$C$18:$F$19,3,1))</f>
        <v>0</v>
      </c>
      <c r="AD11" s="257">
        <f>IF(AD$5&gt;$D$7,0,VLOOKUP(SAP_Speadsheet!AD$5,Leadsheet!$C$18:$F$19,3,1))</f>
        <v>0</v>
      </c>
      <c r="AE11" s="257">
        <f>IF(AE$5&gt;$D$7,0,VLOOKUP(SAP_Speadsheet!AE$5,Leadsheet!$C$18:$F$19,3,1))</f>
        <v>0</v>
      </c>
      <c r="AF11" s="257">
        <f>IF(AF$5&gt;$D$7,0,VLOOKUP(SAP_Speadsheet!AF$5,Leadsheet!$C$18:$F$19,3,1))</f>
        <v>0</v>
      </c>
      <c r="AG11" s="257">
        <f>IF(AG$5&gt;$D$7,0,VLOOKUP(SAP_Speadsheet!AG$5,Leadsheet!$C$18:$F$19,3,1))</f>
        <v>0</v>
      </c>
      <c r="AH11" s="257">
        <f>IF(AH$5&gt;$D$7,0,VLOOKUP(SAP_Speadsheet!AH$5,Leadsheet!$C$18:$F$19,3,1))</f>
        <v>0</v>
      </c>
      <c r="AI11" s="257">
        <f>IF(AI$5&gt;$D$7,0,VLOOKUP(SAP_Speadsheet!AI$5,Leadsheet!$C$18:$F$19,3,1))</f>
        <v>0</v>
      </c>
      <c r="AJ11" s="257">
        <f>IF(AJ$5&gt;$D$7,0,VLOOKUP(SAP_Speadsheet!AJ$5,Leadsheet!$C$18:$F$19,3,1))</f>
        <v>0</v>
      </c>
      <c r="AK11" s="257">
        <f>IF(AK$5&gt;$D$7,0,VLOOKUP(SAP_Speadsheet!AK$5,Leadsheet!$C$18:$F$19,3,1))</f>
        <v>0</v>
      </c>
      <c r="AL11" s="257">
        <f>IF(AL$5&gt;$D$7,0,VLOOKUP(SAP_Speadsheet!AL$5,Leadsheet!$C$18:$F$19,3,1))</f>
        <v>0</v>
      </c>
      <c r="AM11" s="257">
        <f>IF(AM$5&gt;$D$7,0,VLOOKUP(SAP_Speadsheet!AM$5,Leadsheet!$C$18:$F$19,3,1))</f>
        <v>0</v>
      </c>
      <c r="AN11" s="257">
        <f>IF(AN$5&gt;$D$7,0,VLOOKUP(SAP_Speadsheet!AN$5,Leadsheet!$C$18:$F$19,3,1))</f>
        <v>0</v>
      </c>
      <c r="AO11" s="257">
        <f>IF(AO$5&gt;$D$7,0,VLOOKUP(SAP_Speadsheet!AO$5,Leadsheet!$C$18:$F$19,3,1))</f>
        <v>0</v>
      </c>
      <c r="AP11" s="257">
        <f>IF(AP$5&gt;$D$7,0,VLOOKUP(SAP_Speadsheet!AP$5,Leadsheet!$C$18:$F$19,3,1))</f>
        <v>0</v>
      </c>
      <c r="AQ11" s="257">
        <f>IF(AQ$5&gt;$D$7,0,VLOOKUP(SAP_Speadsheet!AQ$5,Leadsheet!$C$18:$F$19,3,1))</f>
        <v>0</v>
      </c>
      <c r="AR11" s="257">
        <f>IF(AR$5&gt;$D$7,0,VLOOKUP(SAP_Speadsheet!AR$5,Leadsheet!$C$18:$F$19,3,1))</f>
        <v>0</v>
      </c>
      <c r="AS11" s="257">
        <f>IF(AS$5&gt;$D$7,0,VLOOKUP(SAP_Speadsheet!AS$5,Leadsheet!$C$18:$F$19,3,1))</f>
        <v>0</v>
      </c>
      <c r="AT11" s="257">
        <f>IF(AT$5&gt;$D$7,0,VLOOKUP(SAP_Speadsheet!AT$5,Leadsheet!$C$18:$F$19,3,1))</f>
        <v>0</v>
      </c>
      <c r="AU11" s="257">
        <f>IF(AU$5&gt;$D$7,0,VLOOKUP(SAP_Speadsheet!AU$5,Leadsheet!$C$18:$F$19,3,1))</f>
        <v>0</v>
      </c>
      <c r="AV11" s="257">
        <f>IF(AV$5&gt;$D$7,0,VLOOKUP(SAP_Speadsheet!AV$5,Leadsheet!$C$18:$F$19,3,1))</f>
        <v>0</v>
      </c>
      <c r="AW11" s="257">
        <f>IF(AW$5&gt;$D$7,0,VLOOKUP(SAP_Speadsheet!AW$5,Leadsheet!$C$18:$F$19,3,1))</f>
        <v>0</v>
      </c>
      <c r="AX11" s="257">
        <f>IF(AX$5&gt;$D$7,0,VLOOKUP(SAP_Speadsheet!AX$5,Leadsheet!$C$18:$F$19,3,1))</f>
        <v>0</v>
      </c>
      <c r="AY11" s="257">
        <f>IF(AY$5&gt;$D$7,0,VLOOKUP(SAP_Speadsheet!AY$5,Leadsheet!$C$18:$F$19,3,1))</f>
        <v>0</v>
      </c>
      <c r="AZ11" s="257">
        <f>IF(AZ$5&gt;$D$7,0,VLOOKUP(SAP_Speadsheet!AZ$5,Leadsheet!$C$18:$F$19,3,1))</f>
        <v>0</v>
      </c>
      <c r="BA11" s="257">
        <f>IF(BA$5&gt;$D$7,0,VLOOKUP(SAP_Speadsheet!BA$5,Leadsheet!$C$18:$F$19,3,1))</f>
        <v>0</v>
      </c>
      <c r="BB11" s="257">
        <f>IF(BB$5&gt;$D$7,0,VLOOKUP(SAP_Speadsheet!BB$5,Leadsheet!$C$18:$F$19,3,1))</f>
        <v>0</v>
      </c>
      <c r="BC11" s="257">
        <f>IF(BC$5&gt;$D$7,0,VLOOKUP(SAP_Speadsheet!BC$5,Leadsheet!$C$18:$F$19,3,1))</f>
        <v>0</v>
      </c>
      <c r="BD11" s="257">
        <f>IF(BD$5&gt;$D$7,0,VLOOKUP(SAP_Speadsheet!BD$5,Leadsheet!$C$18:$F$19,3,1))</f>
        <v>0</v>
      </c>
      <c r="BE11" s="257">
        <f>IF(BE$5&gt;$D$7,0,VLOOKUP(SAP_Speadsheet!BE$5,Leadsheet!$C$18:$F$19,3,1))</f>
        <v>0</v>
      </c>
      <c r="BF11" s="257">
        <f>IF(BF$5&gt;$D$7,0,VLOOKUP(SAP_Speadsheet!BF$5,Leadsheet!$C$18:$F$19,3,1))</f>
        <v>0</v>
      </c>
      <c r="BG11" s="257">
        <f>IF(BG$5&gt;$D$7,0,VLOOKUP(SAP_Speadsheet!BG$5,Leadsheet!$C$18:$F$19,3,1))</f>
        <v>0</v>
      </c>
      <c r="BH11" s="257">
        <f>IF(BH$5&gt;$D$7,0,VLOOKUP(SAP_Speadsheet!BH$5,Leadsheet!$C$18:$F$19,3,1))</f>
        <v>0</v>
      </c>
      <c r="BI11" s="257">
        <f>IF(BI$5&gt;$D$7,0,VLOOKUP(SAP_Speadsheet!BI$5,Leadsheet!$C$18:$F$19,3,1))</f>
        <v>0</v>
      </c>
      <c r="BJ11" s="257">
        <f>IF(BJ$5&gt;$D$7,0,VLOOKUP(SAP_Speadsheet!BJ$5,Leadsheet!$C$18:$F$19,3,1))</f>
        <v>0</v>
      </c>
      <c r="BK11" s="257">
        <f>IF(BK$5&gt;$D$7,0,VLOOKUP(SAP_Speadsheet!BK$5,Leadsheet!$C$18:$F$19,3,1))</f>
        <v>0</v>
      </c>
      <c r="BL11" s="257">
        <f>IF(BL$5&gt;$D$7,0,VLOOKUP(SAP_Speadsheet!BL$5,Leadsheet!$C$18:$F$19,3,1))</f>
        <v>0</v>
      </c>
    </row>
    <row r="12" spans="2:64" x14ac:dyDescent="0.15">
      <c r="C12" s="89" t="s">
        <v>363</v>
      </c>
      <c r="D12" s="257">
        <f>Leadsheet!F18</f>
        <v>5.5252161549803613E-2</v>
      </c>
      <c r="E12" s="257">
        <f>IF(E$5&gt;$D$7,0,VLOOKUP(SAP_Speadsheet!E$5,Leadsheet!$C$18:$F$19,4,1))</f>
        <v>5.5252161549803613E-2</v>
      </c>
      <c r="F12" s="257">
        <f>IF(F$5&gt;$D$7,0,VLOOKUP(SAP_Speadsheet!F$5,Leadsheet!$C$18:$F$19,4,1))</f>
        <v>5.5252161549803613E-2</v>
      </c>
      <c r="G12" s="257">
        <f>IF(G$5&gt;$D$7,0,VLOOKUP(SAP_Speadsheet!G$5,Leadsheet!$C$18:$F$19,4,1))</f>
        <v>5.5252161549803613E-2</v>
      </c>
      <c r="H12" s="257">
        <f>IF(H$5&gt;$D$7,0,VLOOKUP(SAP_Speadsheet!H$5,Leadsheet!$C$18:$F$19,4,1))</f>
        <v>5.5252161549803613E-2</v>
      </c>
      <c r="I12" s="257">
        <f>IF(I$5&gt;$D$7,0,VLOOKUP(SAP_Speadsheet!I$5,Leadsheet!$C$18:$F$19,4,1))</f>
        <v>5.5252161549803613E-2</v>
      </c>
      <c r="J12" s="257">
        <f>IF(J$5&gt;$D$7,0,VLOOKUP(SAP_Speadsheet!J$5,Leadsheet!$C$18:$F$19,4,1))</f>
        <v>5.5252161549803613E-2</v>
      </c>
      <c r="K12" s="257">
        <f>IF(K$5&gt;$D$7,0,VLOOKUP(SAP_Speadsheet!K$5,Leadsheet!$C$18:$F$19,4,1))</f>
        <v>5.5252161549803613E-2</v>
      </c>
      <c r="L12" s="257">
        <f>IF(L$5&gt;$D$7,0,VLOOKUP(SAP_Speadsheet!L$5,Leadsheet!$C$18:$F$19,4,1))</f>
        <v>0</v>
      </c>
      <c r="M12" s="257">
        <f>IF(M$5&gt;$D$7,0,VLOOKUP(SAP_Speadsheet!M$5,Leadsheet!$C$18:$F$19,4,1))</f>
        <v>0</v>
      </c>
      <c r="N12" s="257">
        <f>IF(N$5&gt;$D$7,0,VLOOKUP(SAP_Speadsheet!N$5,Leadsheet!$C$18:$F$19,4,1))</f>
        <v>0</v>
      </c>
      <c r="O12" s="257">
        <f>IF(O$5&gt;$D$7,0,VLOOKUP(SAP_Speadsheet!O$5,Leadsheet!$C$18:$F$19,4,1))</f>
        <v>0</v>
      </c>
      <c r="P12" s="257">
        <f>IF(P$5&gt;$D$7,0,VLOOKUP(SAP_Speadsheet!P$5,Leadsheet!$C$18:$F$19,4,1))</f>
        <v>0</v>
      </c>
      <c r="Q12" s="257">
        <f>IF(Q$5&gt;$D$7,0,VLOOKUP(SAP_Speadsheet!Q$5,Leadsheet!$C$18:$F$19,4,1))</f>
        <v>0</v>
      </c>
      <c r="R12" s="257">
        <f>IF(R$5&gt;$D$7,0,VLOOKUP(SAP_Speadsheet!R$5,Leadsheet!$C$18:$F$19,4,1))</f>
        <v>0</v>
      </c>
      <c r="S12" s="257">
        <f>IF(S$5&gt;$D$7,0,VLOOKUP(SAP_Speadsheet!S$5,Leadsheet!$C$18:$F$19,4,1))</f>
        <v>0</v>
      </c>
      <c r="T12" s="257">
        <f>IF(T$5&gt;$D$7,0,VLOOKUP(SAP_Speadsheet!T$5,Leadsheet!$C$18:$F$19,4,1))</f>
        <v>0</v>
      </c>
      <c r="U12" s="257">
        <f>IF(U$5&gt;$D$7,0,VLOOKUP(SAP_Speadsheet!U$5,Leadsheet!$C$18:$F$19,4,1))</f>
        <v>0</v>
      </c>
      <c r="V12" s="257">
        <f>IF(V$5&gt;$D$7,0,VLOOKUP(SAP_Speadsheet!V$5,Leadsheet!$C$18:$F$19,4,1))</f>
        <v>0</v>
      </c>
      <c r="W12" s="257">
        <f>IF(W$5&gt;$D$7,0,VLOOKUP(SAP_Speadsheet!W$5,Leadsheet!$C$18:$F$19,4,1))</f>
        <v>0</v>
      </c>
      <c r="X12" s="257">
        <f>IF(X$5&gt;$D$7,0,VLOOKUP(SAP_Speadsheet!X$5,Leadsheet!$C$18:$F$19,4,1))</f>
        <v>0</v>
      </c>
      <c r="Y12" s="257">
        <f>IF(Y$5&gt;$D$7,0,VLOOKUP(SAP_Speadsheet!Y$5,Leadsheet!$C$18:$F$19,4,1))</f>
        <v>0</v>
      </c>
      <c r="Z12" s="257">
        <f>IF(Z$5&gt;$D$7,0,VLOOKUP(SAP_Speadsheet!Z$5,Leadsheet!$C$18:$F$19,4,1))</f>
        <v>0</v>
      </c>
      <c r="AA12" s="257">
        <f>IF(AA$5&gt;$D$7,0,VLOOKUP(SAP_Speadsheet!AA$5,Leadsheet!$C$18:$F$19,4,1))</f>
        <v>0</v>
      </c>
      <c r="AB12" s="257">
        <f>IF(AB$5&gt;$D$7,0,VLOOKUP(SAP_Speadsheet!AB$5,Leadsheet!$C$18:$F$19,4,1))</f>
        <v>0</v>
      </c>
      <c r="AC12" s="257">
        <f>IF(AC$5&gt;$D$7,0,VLOOKUP(SAP_Speadsheet!AC$5,Leadsheet!$C$18:$F$19,4,1))</f>
        <v>0</v>
      </c>
      <c r="AD12" s="257">
        <f>IF(AD$5&gt;$D$7,0,VLOOKUP(SAP_Speadsheet!AD$5,Leadsheet!$C$18:$F$19,4,1))</f>
        <v>0</v>
      </c>
      <c r="AE12" s="257">
        <f>IF(AE$5&gt;$D$7,0,VLOOKUP(SAP_Speadsheet!AE$5,Leadsheet!$C$18:$F$19,4,1))</f>
        <v>0</v>
      </c>
      <c r="AF12" s="257">
        <f>IF(AF$5&gt;$D$7,0,VLOOKUP(SAP_Speadsheet!AF$5,Leadsheet!$C$18:$F$19,4,1))</f>
        <v>0</v>
      </c>
      <c r="AG12" s="257">
        <f>IF(AG$5&gt;$D$7,0,VLOOKUP(SAP_Speadsheet!AG$5,Leadsheet!$C$18:$F$19,4,1))</f>
        <v>0</v>
      </c>
      <c r="AH12" s="257">
        <f>IF(AH$5&gt;$D$7,0,VLOOKUP(SAP_Speadsheet!AH$5,Leadsheet!$C$18:$F$19,4,1))</f>
        <v>0</v>
      </c>
      <c r="AI12" s="257">
        <f>IF(AI$5&gt;$D$7,0,VLOOKUP(SAP_Speadsheet!AI$5,Leadsheet!$C$18:$F$19,4,1))</f>
        <v>0</v>
      </c>
      <c r="AJ12" s="257">
        <f>IF(AJ$5&gt;$D$7,0,VLOOKUP(SAP_Speadsheet!AJ$5,Leadsheet!$C$18:$F$19,4,1))</f>
        <v>0</v>
      </c>
      <c r="AK12" s="257">
        <f>IF(AK$5&gt;$D$7,0,VLOOKUP(SAP_Speadsheet!AK$5,Leadsheet!$C$18:$F$19,4,1))</f>
        <v>0</v>
      </c>
      <c r="AL12" s="257">
        <f>IF(AL$5&gt;$D$7,0,VLOOKUP(SAP_Speadsheet!AL$5,Leadsheet!$C$18:$F$19,4,1))</f>
        <v>0</v>
      </c>
      <c r="AM12" s="257">
        <f>IF(AM$5&gt;$D$7,0,VLOOKUP(SAP_Speadsheet!AM$5,Leadsheet!$C$18:$F$19,4,1))</f>
        <v>0</v>
      </c>
      <c r="AN12" s="257">
        <f>IF(AN$5&gt;$D$7,0,VLOOKUP(SAP_Speadsheet!AN$5,Leadsheet!$C$18:$F$19,4,1))</f>
        <v>0</v>
      </c>
      <c r="AO12" s="257">
        <f>IF(AO$5&gt;$D$7,0,VLOOKUP(SAP_Speadsheet!AO$5,Leadsheet!$C$18:$F$19,4,1))</f>
        <v>0</v>
      </c>
      <c r="AP12" s="257">
        <f>IF(AP$5&gt;$D$7,0,VLOOKUP(SAP_Speadsheet!AP$5,Leadsheet!$C$18:$F$19,4,1))</f>
        <v>0</v>
      </c>
      <c r="AQ12" s="257">
        <f>IF(AQ$5&gt;$D$7,0,VLOOKUP(SAP_Speadsheet!AQ$5,Leadsheet!$C$18:$F$19,4,1))</f>
        <v>0</v>
      </c>
      <c r="AR12" s="257">
        <f>IF(AR$5&gt;$D$7,0,VLOOKUP(SAP_Speadsheet!AR$5,Leadsheet!$C$18:$F$19,4,1))</f>
        <v>0</v>
      </c>
      <c r="AS12" s="257">
        <f>IF(AS$5&gt;$D$7,0,VLOOKUP(SAP_Speadsheet!AS$5,Leadsheet!$C$18:$F$19,4,1))</f>
        <v>0</v>
      </c>
      <c r="AT12" s="257">
        <f>IF(AT$5&gt;$D$7,0,VLOOKUP(SAP_Speadsheet!AT$5,Leadsheet!$C$18:$F$19,4,1))</f>
        <v>0</v>
      </c>
      <c r="AU12" s="257">
        <f>IF(AU$5&gt;$D$7,0,VLOOKUP(SAP_Speadsheet!AU$5,Leadsheet!$C$18:$F$19,4,1))</f>
        <v>0</v>
      </c>
      <c r="AV12" s="257">
        <f>IF(AV$5&gt;$D$7,0,VLOOKUP(SAP_Speadsheet!AV$5,Leadsheet!$C$18:$F$19,4,1))</f>
        <v>0</v>
      </c>
      <c r="AW12" s="257">
        <f>IF(AW$5&gt;$D$7,0,VLOOKUP(SAP_Speadsheet!AW$5,Leadsheet!$C$18:$F$19,4,1))</f>
        <v>0</v>
      </c>
      <c r="AX12" s="257">
        <f>IF(AX$5&gt;$D$7,0,VLOOKUP(SAP_Speadsheet!AX$5,Leadsheet!$C$18:$F$19,4,1))</f>
        <v>0</v>
      </c>
      <c r="AY12" s="257">
        <f>IF(AY$5&gt;$D$7,0,VLOOKUP(SAP_Speadsheet!AY$5,Leadsheet!$C$18:$F$19,4,1))</f>
        <v>0</v>
      </c>
      <c r="AZ12" s="257">
        <f>IF(AZ$5&gt;$D$7,0,VLOOKUP(SAP_Speadsheet!AZ$5,Leadsheet!$C$18:$F$19,4,1))</f>
        <v>0</v>
      </c>
      <c r="BA12" s="257">
        <f>IF(BA$5&gt;$D$7,0,VLOOKUP(SAP_Speadsheet!BA$5,Leadsheet!$C$18:$F$19,4,1))</f>
        <v>0</v>
      </c>
      <c r="BB12" s="257">
        <f>IF(BB$5&gt;$D$7,0,VLOOKUP(SAP_Speadsheet!BB$5,Leadsheet!$C$18:$F$19,4,1))</f>
        <v>0</v>
      </c>
      <c r="BC12" s="257">
        <f>IF(BC$5&gt;$D$7,0,VLOOKUP(SAP_Speadsheet!BC$5,Leadsheet!$C$18:$F$19,4,1))</f>
        <v>0</v>
      </c>
      <c r="BD12" s="257">
        <f>IF(BD$5&gt;$D$7,0,VLOOKUP(SAP_Speadsheet!BD$5,Leadsheet!$C$18:$F$19,4,1))</f>
        <v>0</v>
      </c>
      <c r="BE12" s="257">
        <f>IF(BE$5&gt;$D$7,0,VLOOKUP(SAP_Speadsheet!BE$5,Leadsheet!$C$18:$F$19,4,1))</f>
        <v>0</v>
      </c>
      <c r="BF12" s="257">
        <f>IF(BF$5&gt;$D$7,0,VLOOKUP(SAP_Speadsheet!BF$5,Leadsheet!$C$18:$F$19,4,1))</f>
        <v>0</v>
      </c>
      <c r="BG12" s="257">
        <f>IF(BG$5&gt;$D$7,0,VLOOKUP(SAP_Speadsheet!BG$5,Leadsheet!$C$18:$F$19,4,1))</f>
        <v>0</v>
      </c>
      <c r="BH12" s="257">
        <f>IF(BH$5&gt;$D$7,0,VLOOKUP(SAP_Speadsheet!BH$5,Leadsheet!$C$18:$F$19,4,1))</f>
        <v>0</v>
      </c>
      <c r="BI12" s="257">
        <f>IF(BI$5&gt;$D$7,0,VLOOKUP(SAP_Speadsheet!BI$5,Leadsheet!$C$18:$F$19,4,1))</f>
        <v>0</v>
      </c>
      <c r="BJ12" s="257">
        <f>IF(BJ$5&gt;$D$7,0,VLOOKUP(SAP_Speadsheet!BJ$5,Leadsheet!$C$18:$F$19,4,1))</f>
        <v>0</v>
      </c>
      <c r="BK12" s="257">
        <f>IF(BK$5&gt;$D$7,0,VLOOKUP(SAP_Speadsheet!BK$5,Leadsheet!$C$18:$F$19,4,1))</f>
        <v>0</v>
      </c>
      <c r="BL12" s="257">
        <f>IF(BL$5&gt;$D$7,0,VLOOKUP(SAP_Speadsheet!BL$5,Leadsheet!$C$18:$F$19,4,1))</f>
        <v>0</v>
      </c>
    </row>
    <row r="13" spans="2:64" x14ac:dyDescent="0.15">
      <c r="C13" s="89" t="s">
        <v>364</v>
      </c>
      <c r="E13" s="257">
        <f>IF(E$5&lt;Leadsheet!$E$12,VLOOKUP(SAP_Speadsheet!E$5,Leadsheet!#REF!,3,1),0)</f>
        <v>0</v>
      </c>
      <c r="F13" s="257">
        <f>IF(F$5&lt;Leadsheet!$E$12,VLOOKUP(SAP_Speadsheet!F$5,Leadsheet!#REF!,3,1),0)</f>
        <v>0</v>
      </c>
      <c r="G13" s="257">
        <f>IF(G$5&lt;Leadsheet!$E$12,VLOOKUP(SAP_Speadsheet!G$5,Leadsheet!#REF!,3,1),0)</f>
        <v>0</v>
      </c>
      <c r="H13" s="257">
        <f>IF(H$5&lt;Leadsheet!$E$12,VLOOKUP(SAP_Speadsheet!H$5,Leadsheet!#REF!,3,1),0)</f>
        <v>0</v>
      </c>
      <c r="I13" s="257">
        <f>IF(I$5&lt;Leadsheet!$E$12,VLOOKUP(SAP_Speadsheet!I$5,Leadsheet!#REF!,3,1),0)</f>
        <v>0</v>
      </c>
      <c r="J13" s="257">
        <f>IF(J$5&lt;Leadsheet!$E$12,VLOOKUP(SAP_Speadsheet!J$5,Leadsheet!#REF!,3,1),0)</f>
        <v>0</v>
      </c>
      <c r="K13" s="257">
        <f>IF(K$5&lt;Leadsheet!$E$12,VLOOKUP(SAP_Speadsheet!K$5,Leadsheet!#REF!,3,1),0)</f>
        <v>0</v>
      </c>
      <c r="L13" s="257">
        <f>IF(L$5&lt;Leadsheet!$E$12,VLOOKUP(SAP_Speadsheet!L$5,Leadsheet!#REF!,3,1),0)</f>
        <v>0</v>
      </c>
      <c r="M13" s="257">
        <f>IF(M$5&lt;Leadsheet!$E$12,VLOOKUP(SAP_Speadsheet!M$5,Leadsheet!#REF!,3,1),0)</f>
        <v>0</v>
      </c>
      <c r="N13" s="257">
        <f>IF(N$5&lt;Leadsheet!$E$12,VLOOKUP(SAP_Speadsheet!N$5,Leadsheet!#REF!,3,1),0)</f>
        <v>0</v>
      </c>
      <c r="O13" s="257">
        <f>IF(O$5&lt;Leadsheet!$E$12,VLOOKUP(SAP_Speadsheet!O$5,Leadsheet!#REF!,3,1),0)</f>
        <v>0</v>
      </c>
      <c r="P13" s="257">
        <f>IF(P$5&lt;Leadsheet!$E$12,VLOOKUP(SAP_Speadsheet!P$5,Leadsheet!#REF!,3,1),0)</f>
        <v>0</v>
      </c>
      <c r="Q13" s="257">
        <f>IF(Q$5&lt;Leadsheet!$E$12,VLOOKUP(SAP_Speadsheet!Q$5,Leadsheet!#REF!,3,1),0)</f>
        <v>0</v>
      </c>
      <c r="R13" s="257">
        <f>IF(R$5&lt;Leadsheet!$E$12,VLOOKUP(SAP_Speadsheet!R$5,Leadsheet!#REF!,3,1),0)</f>
        <v>0</v>
      </c>
      <c r="S13" s="257">
        <f>IF(S$5&lt;Leadsheet!$E$12,VLOOKUP(SAP_Speadsheet!S$5,Leadsheet!#REF!,3,1),0)</f>
        <v>0</v>
      </c>
      <c r="T13" s="257">
        <f>IF(T$5&lt;Leadsheet!$E$12,VLOOKUP(SAP_Speadsheet!T$5,Leadsheet!#REF!,3,1),0)</f>
        <v>0</v>
      </c>
      <c r="U13" s="257">
        <f>IF(U$5&lt;Leadsheet!$E$12,VLOOKUP(SAP_Speadsheet!U$5,Leadsheet!#REF!,3,1),0)</f>
        <v>0</v>
      </c>
      <c r="V13" s="257">
        <f>IF(V$5&lt;Leadsheet!$E$12,VLOOKUP(SAP_Speadsheet!V$5,Leadsheet!#REF!,3,1),0)</f>
        <v>0</v>
      </c>
      <c r="W13" s="257">
        <f>IF(W$5&lt;Leadsheet!$E$12,VLOOKUP(SAP_Speadsheet!W$5,Leadsheet!#REF!,3,1),0)</f>
        <v>0</v>
      </c>
      <c r="X13" s="257">
        <f>IF(X$5&lt;Leadsheet!$E$12,VLOOKUP(SAP_Speadsheet!X$5,Leadsheet!#REF!,3,1),0)</f>
        <v>0</v>
      </c>
      <c r="Y13" s="257">
        <f>IF(Y$5&lt;Leadsheet!$E$12,VLOOKUP(SAP_Speadsheet!Y$5,Leadsheet!#REF!,3,1),0)</f>
        <v>0</v>
      </c>
      <c r="Z13" s="257">
        <f>IF(Z$5&lt;Leadsheet!$E$12,VLOOKUP(SAP_Speadsheet!Z$5,Leadsheet!#REF!,3,1),0)</f>
        <v>0</v>
      </c>
      <c r="AA13" s="257">
        <f>IF(AA$5&lt;Leadsheet!$E$12,VLOOKUP(SAP_Speadsheet!AA$5,Leadsheet!#REF!,3,1),0)</f>
        <v>0</v>
      </c>
      <c r="AB13" s="257">
        <f>IF(AB$5&lt;Leadsheet!$E$12,VLOOKUP(SAP_Speadsheet!AB$5,Leadsheet!#REF!,3,1),0)</f>
        <v>0</v>
      </c>
      <c r="AC13" s="257">
        <f>IF(AC$5&lt;Leadsheet!$E$12,VLOOKUP(SAP_Speadsheet!AC$5,Leadsheet!#REF!,3,1),0)</f>
        <v>0</v>
      </c>
      <c r="AD13" s="257">
        <f>IF(AD$5&lt;Leadsheet!$E$12,VLOOKUP(SAP_Speadsheet!AD$5,Leadsheet!#REF!,3,1),0)</f>
        <v>0</v>
      </c>
      <c r="AE13" s="257">
        <f>IF(AE$5&lt;Leadsheet!$E$12,VLOOKUP(SAP_Speadsheet!AE$5,Leadsheet!#REF!,3,1),0)</f>
        <v>0</v>
      </c>
      <c r="AF13" s="257">
        <f>IF(AF$5&lt;Leadsheet!$E$12,VLOOKUP(SAP_Speadsheet!AF$5,Leadsheet!#REF!,3,1),0)</f>
        <v>0</v>
      </c>
      <c r="AG13" s="257">
        <f>IF(AG$5&lt;Leadsheet!$E$12,VLOOKUP(SAP_Speadsheet!AG$5,Leadsheet!#REF!,3,1),0)</f>
        <v>0</v>
      </c>
      <c r="AH13" s="257">
        <f>IF(AH$5&lt;Leadsheet!$E$12,VLOOKUP(SAP_Speadsheet!AH$5,Leadsheet!#REF!,3,1),0)</f>
        <v>0</v>
      </c>
      <c r="AI13" s="257">
        <f>IF(AI$5&lt;Leadsheet!$E$12,VLOOKUP(SAP_Speadsheet!AI$5,Leadsheet!#REF!,3,1),0)</f>
        <v>0</v>
      </c>
      <c r="AJ13" s="257">
        <f>IF(AJ$5&lt;Leadsheet!$E$12,VLOOKUP(SAP_Speadsheet!AJ$5,Leadsheet!#REF!,3,1),0)</f>
        <v>0</v>
      </c>
      <c r="AK13" s="257">
        <f>IF(AK$5&lt;Leadsheet!$E$12,VLOOKUP(SAP_Speadsheet!AK$5,Leadsheet!#REF!,3,1),0)</f>
        <v>0</v>
      </c>
      <c r="AL13" s="257">
        <f>IF(AL$5&lt;Leadsheet!$E$12,VLOOKUP(SAP_Speadsheet!AL$5,Leadsheet!#REF!,3,1),0)</f>
        <v>0</v>
      </c>
      <c r="AM13" s="257">
        <f>IF(AM$5&lt;Leadsheet!$E$12,VLOOKUP(SAP_Speadsheet!AM$5,Leadsheet!#REF!,3,1),0)</f>
        <v>0</v>
      </c>
      <c r="AN13" s="257">
        <f>IF(AN$5&lt;Leadsheet!$E$12,VLOOKUP(SAP_Speadsheet!AN$5,Leadsheet!#REF!,3,1),0)</f>
        <v>0</v>
      </c>
      <c r="AO13" s="257">
        <f>IF(AO$5&lt;Leadsheet!$E$12,VLOOKUP(SAP_Speadsheet!AO$5,Leadsheet!#REF!,3,1),0)</f>
        <v>0</v>
      </c>
      <c r="AP13" s="257">
        <f>IF(AP$5&lt;Leadsheet!$E$12,VLOOKUP(SAP_Speadsheet!AP$5,Leadsheet!#REF!,3,1),0)</f>
        <v>0</v>
      </c>
      <c r="AQ13" s="257">
        <f>IF(AQ$5&lt;Leadsheet!$E$12,VLOOKUP(SAP_Speadsheet!AQ$5,Leadsheet!#REF!,3,1),0)</f>
        <v>0</v>
      </c>
      <c r="AR13" s="257">
        <f>IF(AR$5&lt;Leadsheet!$E$12,VLOOKUP(SAP_Speadsheet!AR$5,Leadsheet!#REF!,3,1),0)</f>
        <v>0</v>
      </c>
      <c r="AS13" s="257">
        <f>IF(AS$5&lt;Leadsheet!$E$12,VLOOKUP(SAP_Speadsheet!AS$5,Leadsheet!#REF!,3,1),0)</f>
        <v>0</v>
      </c>
      <c r="AT13" s="257">
        <f>IF(AT$5&lt;Leadsheet!$E$12,VLOOKUP(SAP_Speadsheet!AT$5,Leadsheet!#REF!,3,1),0)</f>
        <v>0</v>
      </c>
      <c r="AU13" s="257">
        <f>IF(AU$5&lt;Leadsheet!$E$12,VLOOKUP(SAP_Speadsheet!AU$5,Leadsheet!#REF!,3,1),0)</f>
        <v>0</v>
      </c>
      <c r="AV13" s="257">
        <f>IF(AV$5&lt;Leadsheet!$E$12,VLOOKUP(SAP_Speadsheet!AV$5,Leadsheet!#REF!,3,1),0)</f>
        <v>0</v>
      </c>
      <c r="AW13" s="257">
        <f>IF(AW$5&lt;Leadsheet!$E$12,VLOOKUP(SAP_Speadsheet!AW$5,Leadsheet!#REF!,3,1),0)</f>
        <v>0</v>
      </c>
      <c r="AX13" s="257">
        <f>IF(AX$5&lt;Leadsheet!$E$12,VLOOKUP(SAP_Speadsheet!AX$5,Leadsheet!#REF!,3,1),0)</f>
        <v>0</v>
      </c>
      <c r="AY13" s="257">
        <f>IF(AY$5&lt;Leadsheet!$E$12,VLOOKUP(SAP_Speadsheet!AY$5,Leadsheet!#REF!,3,1),0)</f>
        <v>0</v>
      </c>
      <c r="AZ13" s="257">
        <f>IF(AZ$5&lt;Leadsheet!$E$12,VLOOKUP(SAP_Speadsheet!AZ$5,Leadsheet!#REF!,3,1),0)</f>
        <v>0</v>
      </c>
      <c r="BA13" s="257">
        <f>IF(BA$5&lt;Leadsheet!$E$12,VLOOKUP(SAP_Speadsheet!BA$5,Leadsheet!#REF!,3,1),0)</f>
        <v>0</v>
      </c>
      <c r="BB13" s="257">
        <f>IF(BB$5&lt;Leadsheet!$E$12,VLOOKUP(SAP_Speadsheet!BB$5,Leadsheet!#REF!,3,1),0)</f>
        <v>0</v>
      </c>
      <c r="BC13" s="257">
        <f>IF(BC$5&lt;Leadsheet!$E$12,VLOOKUP(SAP_Speadsheet!BC$5,Leadsheet!#REF!,3,1),0)</f>
        <v>0</v>
      </c>
      <c r="BD13" s="257">
        <f>IF(BD$5&lt;Leadsheet!$E$12,VLOOKUP(SAP_Speadsheet!BD$5,Leadsheet!#REF!,3,1),0)</f>
        <v>0</v>
      </c>
      <c r="BE13" s="257">
        <f>IF(BE$5&lt;Leadsheet!$E$12,VLOOKUP(SAP_Speadsheet!BE$5,Leadsheet!#REF!,3,1),0)</f>
        <v>0</v>
      </c>
      <c r="BF13" s="257">
        <f>IF(BF$5&lt;Leadsheet!$E$12,VLOOKUP(SAP_Speadsheet!BF$5,Leadsheet!#REF!,3,1),0)</f>
        <v>0</v>
      </c>
      <c r="BG13" s="257">
        <f>IF(BG$5&lt;Leadsheet!$E$12,VLOOKUP(SAP_Speadsheet!BG$5,Leadsheet!#REF!,3,1),0)</f>
        <v>0</v>
      </c>
      <c r="BH13" s="257">
        <f>IF(BH$5&lt;Leadsheet!$E$12,VLOOKUP(SAP_Speadsheet!BH$5,Leadsheet!#REF!,3,1),0)</f>
        <v>0</v>
      </c>
      <c r="BI13" s="257">
        <f>IF(BI$5&lt;Leadsheet!$E$12,VLOOKUP(SAP_Speadsheet!BI$5,Leadsheet!#REF!,3,1),0)</f>
        <v>0</v>
      </c>
      <c r="BJ13" s="257">
        <f>IF(BJ$5&lt;Leadsheet!$E$12,VLOOKUP(SAP_Speadsheet!BJ$5,Leadsheet!#REF!,3,1),0)</f>
        <v>0</v>
      </c>
      <c r="BK13" s="257">
        <f>IF(BK$5&lt;Leadsheet!$E$12,VLOOKUP(SAP_Speadsheet!BK$5,Leadsheet!#REF!,3,1),0)</f>
        <v>0</v>
      </c>
      <c r="BL13" s="257">
        <f>IF(BL$5&lt;Leadsheet!$E$12,VLOOKUP(SAP_Speadsheet!BL$5,Leadsheet!#REF!,3,1),0)</f>
        <v>0</v>
      </c>
    </row>
    <row r="14" spans="2:64" x14ac:dyDescent="0.15">
      <c r="E14" s="257"/>
      <c r="F14" s="257"/>
      <c r="G14" s="257"/>
      <c r="H14" s="257"/>
      <c r="I14" s="257"/>
      <c r="J14" s="257"/>
      <c r="K14" s="257"/>
      <c r="L14" s="257"/>
      <c r="M14" s="257"/>
      <c r="N14" s="257"/>
      <c r="O14" s="257"/>
      <c r="P14" s="257"/>
      <c r="Q14" s="257"/>
      <c r="R14" s="257"/>
      <c r="S14" s="257"/>
      <c r="T14" s="257"/>
      <c r="U14" s="257"/>
      <c r="V14" s="257"/>
      <c r="W14" s="257"/>
      <c r="X14" s="257"/>
      <c r="Y14" s="257"/>
      <c r="Z14" s="257"/>
      <c r="AA14" s="257"/>
      <c r="AB14" s="257"/>
      <c r="AC14" s="257"/>
      <c r="AD14" s="257"/>
      <c r="AE14" s="257"/>
      <c r="AF14" s="257"/>
      <c r="AG14" s="257"/>
      <c r="AH14" s="257"/>
      <c r="AI14" s="257"/>
      <c r="AJ14" s="257"/>
      <c r="AK14" s="257"/>
      <c r="AL14" s="257"/>
      <c r="AM14" s="257"/>
      <c r="AN14" s="257"/>
      <c r="AO14" s="257"/>
      <c r="AP14" s="257"/>
      <c r="AQ14" s="257"/>
      <c r="AR14" s="257"/>
      <c r="AS14" s="257"/>
      <c r="AT14" s="257"/>
      <c r="AU14" s="257"/>
      <c r="AV14" s="257"/>
      <c r="AW14" s="257"/>
      <c r="AX14" s="257"/>
      <c r="AY14" s="257"/>
      <c r="AZ14" s="249"/>
      <c r="BA14" s="249"/>
      <c r="BB14" s="249"/>
      <c r="BC14" s="249"/>
      <c r="BD14" s="249"/>
      <c r="BE14" s="249"/>
      <c r="BF14" s="249"/>
      <c r="BG14" s="249"/>
      <c r="BH14" s="249"/>
      <c r="BI14" s="249"/>
      <c r="BJ14" s="249"/>
      <c r="BK14" s="249"/>
      <c r="BL14" s="249"/>
    </row>
    <row r="15" spans="2:64" x14ac:dyDescent="0.15">
      <c r="B15" s="163" t="s">
        <v>204</v>
      </c>
      <c r="C15" s="89" t="s">
        <v>365</v>
      </c>
      <c r="D15" s="258">
        <v>1</v>
      </c>
      <c r="E15" s="259">
        <f>IF(E5&gt;$D$7,0,D15)</f>
        <v>1</v>
      </c>
      <c r="F15" s="259">
        <f t="shared" ref="F15:BL15" si="1">IF(F5&gt;$D$7,0,E15)</f>
        <v>1</v>
      </c>
      <c r="G15" s="259">
        <f t="shared" si="1"/>
        <v>1</v>
      </c>
      <c r="H15" s="259">
        <f t="shared" si="1"/>
        <v>1</v>
      </c>
      <c r="I15" s="259">
        <f t="shared" si="1"/>
        <v>1</v>
      </c>
      <c r="J15" s="259">
        <f t="shared" si="1"/>
        <v>1</v>
      </c>
      <c r="K15" s="259">
        <f t="shared" si="1"/>
        <v>1</v>
      </c>
      <c r="L15" s="259">
        <f t="shared" si="1"/>
        <v>0</v>
      </c>
      <c r="M15" s="259">
        <f t="shared" si="1"/>
        <v>0</v>
      </c>
      <c r="N15" s="259">
        <f t="shared" si="1"/>
        <v>0</v>
      </c>
      <c r="O15" s="259">
        <f t="shared" si="1"/>
        <v>0</v>
      </c>
      <c r="P15" s="259">
        <f t="shared" si="1"/>
        <v>0</v>
      </c>
      <c r="Q15" s="259">
        <f t="shared" si="1"/>
        <v>0</v>
      </c>
      <c r="R15" s="259">
        <f t="shared" si="1"/>
        <v>0</v>
      </c>
      <c r="S15" s="259">
        <f t="shared" si="1"/>
        <v>0</v>
      </c>
      <c r="T15" s="259">
        <f t="shared" si="1"/>
        <v>0</v>
      </c>
      <c r="U15" s="259">
        <f t="shared" si="1"/>
        <v>0</v>
      </c>
      <c r="V15" s="259">
        <f t="shared" si="1"/>
        <v>0</v>
      </c>
      <c r="W15" s="259">
        <f t="shared" si="1"/>
        <v>0</v>
      </c>
      <c r="X15" s="259">
        <f t="shared" si="1"/>
        <v>0</v>
      </c>
      <c r="Y15" s="259">
        <f t="shared" si="1"/>
        <v>0</v>
      </c>
      <c r="Z15" s="259">
        <f t="shared" si="1"/>
        <v>0</v>
      </c>
      <c r="AA15" s="259">
        <f t="shared" si="1"/>
        <v>0</v>
      </c>
      <c r="AB15" s="259">
        <f t="shared" si="1"/>
        <v>0</v>
      </c>
      <c r="AC15" s="259">
        <f t="shared" si="1"/>
        <v>0</v>
      </c>
      <c r="AD15" s="259">
        <f t="shared" si="1"/>
        <v>0</v>
      </c>
      <c r="AE15" s="259">
        <f t="shared" si="1"/>
        <v>0</v>
      </c>
      <c r="AF15" s="259">
        <f t="shared" si="1"/>
        <v>0</v>
      </c>
      <c r="AG15" s="259">
        <f t="shared" si="1"/>
        <v>0</v>
      </c>
      <c r="AH15" s="259">
        <f t="shared" si="1"/>
        <v>0</v>
      </c>
      <c r="AI15" s="259">
        <f t="shared" si="1"/>
        <v>0</v>
      </c>
      <c r="AJ15" s="259">
        <f t="shared" si="1"/>
        <v>0</v>
      </c>
      <c r="AK15" s="259">
        <f t="shared" si="1"/>
        <v>0</v>
      </c>
      <c r="AL15" s="259">
        <f t="shared" si="1"/>
        <v>0</v>
      </c>
      <c r="AM15" s="259">
        <f t="shared" si="1"/>
        <v>0</v>
      </c>
      <c r="AN15" s="259">
        <f t="shared" si="1"/>
        <v>0</v>
      </c>
      <c r="AO15" s="259">
        <f t="shared" si="1"/>
        <v>0</v>
      </c>
      <c r="AP15" s="259">
        <f t="shared" si="1"/>
        <v>0</v>
      </c>
      <c r="AQ15" s="259">
        <f t="shared" si="1"/>
        <v>0</v>
      </c>
      <c r="AR15" s="259">
        <f t="shared" si="1"/>
        <v>0</v>
      </c>
      <c r="AS15" s="259">
        <f t="shared" si="1"/>
        <v>0</v>
      </c>
      <c r="AT15" s="259">
        <f t="shared" si="1"/>
        <v>0</v>
      </c>
      <c r="AU15" s="259">
        <f t="shared" si="1"/>
        <v>0</v>
      </c>
      <c r="AV15" s="259">
        <f t="shared" si="1"/>
        <v>0</v>
      </c>
      <c r="AW15" s="259">
        <f t="shared" si="1"/>
        <v>0</v>
      </c>
      <c r="AX15" s="259">
        <f t="shared" si="1"/>
        <v>0</v>
      </c>
      <c r="AY15" s="259">
        <f t="shared" si="1"/>
        <v>0</v>
      </c>
      <c r="AZ15" s="259">
        <f t="shared" si="1"/>
        <v>0</v>
      </c>
      <c r="BA15" s="259">
        <f t="shared" si="1"/>
        <v>0</v>
      </c>
      <c r="BB15" s="259">
        <f t="shared" si="1"/>
        <v>0</v>
      </c>
      <c r="BC15" s="259">
        <f t="shared" si="1"/>
        <v>0</v>
      </c>
      <c r="BD15" s="259">
        <f t="shared" si="1"/>
        <v>0</v>
      </c>
      <c r="BE15" s="259">
        <f t="shared" si="1"/>
        <v>0</v>
      </c>
      <c r="BF15" s="259">
        <f t="shared" si="1"/>
        <v>0</v>
      </c>
      <c r="BG15" s="259">
        <f t="shared" si="1"/>
        <v>0</v>
      </c>
      <c r="BH15" s="259">
        <f t="shared" si="1"/>
        <v>0</v>
      </c>
      <c r="BI15" s="259">
        <f t="shared" si="1"/>
        <v>0</v>
      </c>
      <c r="BJ15" s="259">
        <f t="shared" si="1"/>
        <v>0</v>
      </c>
      <c r="BK15" s="259">
        <f t="shared" si="1"/>
        <v>0</v>
      </c>
      <c r="BL15" s="259">
        <f t="shared" si="1"/>
        <v>0</v>
      </c>
    </row>
    <row r="16" spans="2:64" s="161" customFormat="1" x14ac:dyDescent="0.15">
      <c r="B16" s="163"/>
      <c r="C16" s="190" t="s">
        <v>366</v>
      </c>
      <c r="D16" s="260">
        <f>Leadsheet!E10</f>
        <v>3.4739502074405886</v>
      </c>
      <c r="E16" s="260">
        <f>IF(E$5&gt;Leadsheet!$E$12,0,D16+E19)</f>
        <v>8.8817841970012523E-16</v>
      </c>
      <c r="F16" s="260">
        <f>IF(F$5&gt;Leadsheet!$E$12,0,E16+F19)</f>
        <v>0</v>
      </c>
      <c r="G16" s="260">
        <f>IF(G$5&gt;Leadsheet!$E$12,0,F16+G19)</f>
        <v>0</v>
      </c>
      <c r="H16" s="260">
        <f>IF(H$5&gt;Leadsheet!$E$12,0,G16+H19)</f>
        <v>0</v>
      </c>
      <c r="I16" s="260">
        <f>IF(I$5&gt;Leadsheet!$E$12,0,H16+I19)</f>
        <v>0</v>
      </c>
      <c r="J16" s="260">
        <f>IF(J$5&gt;Leadsheet!$E$12,0,I16+J19)</f>
        <v>0</v>
      </c>
      <c r="K16" s="260">
        <f>IF(K$5&gt;Leadsheet!$E$12,0,J16+K19)</f>
        <v>0</v>
      </c>
      <c r="L16" s="260">
        <f>IF(L$5&gt;Leadsheet!$E$12,0,K16+L19)</f>
        <v>0</v>
      </c>
      <c r="M16" s="260">
        <f>IF(M$5&gt;Leadsheet!$E$12,0,L16+M19)</f>
        <v>0</v>
      </c>
      <c r="N16" s="260">
        <f>IF(N$5&gt;Leadsheet!$E$12,0,M16+N19)</f>
        <v>0</v>
      </c>
      <c r="O16" s="260">
        <f>IF(O$5&gt;Leadsheet!$E$12,0,N16+O19)</f>
        <v>0</v>
      </c>
      <c r="P16" s="260">
        <f>IF(P$5&gt;Leadsheet!$E$12,0,O16+P19)</f>
        <v>0</v>
      </c>
      <c r="Q16" s="260">
        <f>IF(Q$5&gt;Leadsheet!$E$12,0,P16+Q19)</f>
        <v>0</v>
      </c>
      <c r="R16" s="260">
        <f>IF(R$5&gt;Leadsheet!$E$12,0,Q16+R19)</f>
        <v>0</v>
      </c>
      <c r="S16" s="260">
        <f>IF(S$5&gt;Leadsheet!$E$12,0,R16+S19)</f>
        <v>0</v>
      </c>
      <c r="T16" s="260">
        <f>IF(T$5&gt;Leadsheet!$E$12,0,S16+T19)</f>
        <v>0</v>
      </c>
      <c r="U16" s="260">
        <f>IF(U$5&gt;Leadsheet!$E$12,0,T16+U19)</f>
        <v>0</v>
      </c>
      <c r="V16" s="260">
        <f>IF(V$5&gt;Leadsheet!$E$12,0,U16+V19)</f>
        <v>0</v>
      </c>
      <c r="W16" s="260">
        <f>IF(W$5&gt;Leadsheet!$E$12,0,V16+W19)</f>
        <v>0</v>
      </c>
      <c r="X16" s="260">
        <f>IF(X$5&gt;Leadsheet!$E$12,0,W16+X19)</f>
        <v>0</v>
      </c>
      <c r="Y16" s="260">
        <f>IF(Y$5&gt;Leadsheet!$E$12,0,X16+Y19)</f>
        <v>0</v>
      </c>
      <c r="Z16" s="260">
        <f>IF(Z$5&gt;Leadsheet!$E$12,0,Y16+Z19)</f>
        <v>0</v>
      </c>
      <c r="AA16" s="260">
        <f>IF(AA$5&gt;Leadsheet!$E$12,0,Z16+AA19)</f>
        <v>0</v>
      </c>
      <c r="AB16" s="260">
        <f>IF(AB$5&gt;Leadsheet!$E$12,0,AA16+AB19)</f>
        <v>0</v>
      </c>
      <c r="AC16" s="260">
        <f>IF(AC$5&gt;Leadsheet!$E$12,0,AB16+AC19)</f>
        <v>0</v>
      </c>
      <c r="AD16" s="260">
        <f>IF(AD$5&gt;Leadsheet!$E$12,0,AC16+AD19)</f>
        <v>0</v>
      </c>
      <c r="AE16" s="260">
        <f>IF(AE$5&gt;Leadsheet!$E$12,0,AD16+AE19)</f>
        <v>0</v>
      </c>
      <c r="AF16" s="260">
        <f>IF(AF$5&gt;Leadsheet!$E$12,0,AE16+AF19)</f>
        <v>0</v>
      </c>
      <c r="AG16" s="260">
        <f>IF(AG$5&gt;Leadsheet!$E$12,0,AF16+AG19)</f>
        <v>0</v>
      </c>
      <c r="AH16" s="260">
        <f>IF(AH$5&gt;Leadsheet!$E$12,0,AG16+AH19)</f>
        <v>0</v>
      </c>
      <c r="AI16" s="260">
        <f>IF(AI$5&gt;Leadsheet!$E$12,0,AH16+AI19)</f>
        <v>0</v>
      </c>
      <c r="AJ16" s="260">
        <f>IF(AJ$5&gt;Leadsheet!$E$12,0,AI16+AJ19)</f>
        <v>0</v>
      </c>
      <c r="AK16" s="260">
        <f>IF(AK$5&gt;Leadsheet!$E$12,0,AJ16+AK19)</f>
        <v>0</v>
      </c>
      <c r="AL16" s="260">
        <f>IF(AL$5&gt;Leadsheet!$E$12,0,AK16+AL19)</f>
        <v>0</v>
      </c>
      <c r="AM16" s="260">
        <f>IF(AM$5&gt;Leadsheet!$E$12,0,AL16+AM19)</f>
        <v>0</v>
      </c>
      <c r="AN16" s="260">
        <f>IF(AN$5&gt;Leadsheet!$E$12,0,AM16+AN19)</f>
        <v>0</v>
      </c>
      <c r="AO16" s="260">
        <f>IF(AO$5&gt;Leadsheet!$E$12,0,AN16+AO19)</f>
        <v>0</v>
      </c>
      <c r="AP16" s="260">
        <f>IF(AP$5&gt;Leadsheet!$E$12,0,AO16+AP19)</f>
        <v>0</v>
      </c>
      <c r="AQ16" s="260">
        <f>IF(AQ$5&gt;Leadsheet!$E$12,0,AP16+AQ19)</f>
        <v>0</v>
      </c>
      <c r="AR16" s="260">
        <f>IF(AR$5&gt;Leadsheet!$E$12,0,AQ16+AR19)</f>
        <v>0</v>
      </c>
      <c r="AS16" s="260">
        <f>IF(AS$5&gt;Leadsheet!$E$12,0,AR16+AS19)</f>
        <v>0</v>
      </c>
      <c r="AT16" s="260">
        <f>IF(AT$5&gt;Leadsheet!$E$12,0,AS16+AT19)</f>
        <v>0</v>
      </c>
      <c r="AU16" s="260">
        <f>IF(AU$5&gt;Leadsheet!$E$12,0,AT16+AU19)</f>
        <v>0</v>
      </c>
      <c r="AV16" s="260">
        <f>IF(AV$5&gt;Leadsheet!$E$12,0,AU16+AV19)</f>
        <v>0</v>
      </c>
      <c r="AW16" s="260">
        <f>IF(AW$5&gt;Leadsheet!$E$12,0,AV16+AW19)</f>
        <v>0</v>
      </c>
      <c r="AX16" s="260">
        <f>IF(AX$5&gt;Leadsheet!$E$12,0,AW16+AX19)</f>
        <v>0</v>
      </c>
      <c r="AY16" s="260">
        <f>IF(AY$5&gt;Leadsheet!$E$12,0,AX16+AY19)</f>
        <v>0</v>
      </c>
      <c r="AZ16" s="260">
        <f>IF(AZ$5&gt;Leadsheet!$E$12,0,AY16+AZ19)</f>
        <v>0</v>
      </c>
      <c r="BA16" s="260">
        <f>IF(BA$5&gt;Leadsheet!$E$12,0,AZ16+BA19)</f>
        <v>0</v>
      </c>
      <c r="BB16" s="260">
        <f>IF(BB$5&gt;Leadsheet!$E$12,0,BA16+BB19)</f>
        <v>0</v>
      </c>
      <c r="BC16" s="260">
        <f>IF(BC$5&gt;Leadsheet!$E$12,0,BB16+BC19)</f>
        <v>0</v>
      </c>
      <c r="BD16" s="260">
        <f>IF(BD$5&gt;Leadsheet!$E$12,0,BC16+BD19)</f>
        <v>0</v>
      </c>
      <c r="BE16" s="260">
        <f>IF(BE$5&gt;Leadsheet!$E$12,0,BD16+BE19)</f>
        <v>0</v>
      </c>
      <c r="BF16" s="260">
        <f>IF(BF$5&gt;Leadsheet!$E$12,0,BE16+BF19)</f>
        <v>0</v>
      </c>
      <c r="BG16" s="260">
        <f>IF(BG$5&gt;Leadsheet!$E$12,0,BF16+BG19)</f>
        <v>0</v>
      </c>
      <c r="BH16" s="260">
        <f>IF(BH$5&gt;Leadsheet!$E$12,0,BG16+BH19)</f>
        <v>0</v>
      </c>
      <c r="BI16" s="260">
        <f>IF(BI$5&gt;Leadsheet!$E$12,0,BH16+BI19)</f>
        <v>0</v>
      </c>
      <c r="BJ16" s="260">
        <f>IF(BJ$5&gt;Leadsheet!$E$12,0,BI16+BJ19)</f>
        <v>0</v>
      </c>
      <c r="BK16" s="260">
        <f>IF(BK$5&gt;Leadsheet!$E$12,0,BJ16+BK19)</f>
        <v>0</v>
      </c>
      <c r="BL16" s="260">
        <f>IF(BL$5&gt;Leadsheet!$E$12,0,BK16+BL19)</f>
        <v>0</v>
      </c>
    </row>
    <row r="17" spans="1:64" x14ac:dyDescent="0.15">
      <c r="C17" s="89" t="s">
        <v>367</v>
      </c>
      <c r="E17" s="260">
        <f t="shared" ref="E17:BL17" si="2">-IFERROR(PMT(D11/12,D6,-D16),0)</f>
        <v>-3.6402099177860934</v>
      </c>
      <c r="F17" s="260">
        <f t="shared" si="2"/>
        <v>0</v>
      </c>
      <c r="G17" s="260">
        <f t="shared" si="2"/>
        <v>0</v>
      </c>
      <c r="H17" s="260">
        <f t="shared" si="2"/>
        <v>0</v>
      </c>
      <c r="I17" s="260">
        <f t="shared" si="2"/>
        <v>0</v>
      </c>
      <c r="J17" s="260">
        <f t="shared" si="2"/>
        <v>0</v>
      </c>
      <c r="K17" s="260">
        <f t="shared" si="2"/>
        <v>0</v>
      </c>
      <c r="L17" s="260">
        <f t="shared" si="2"/>
        <v>0</v>
      </c>
      <c r="M17" s="260">
        <f t="shared" si="2"/>
        <v>0</v>
      </c>
      <c r="N17" s="260">
        <f t="shared" si="2"/>
        <v>0</v>
      </c>
      <c r="O17" s="260">
        <f t="shared" si="2"/>
        <v>0</v>
      </c>
      <c r="P17" s="260">
        <f t="shared" si="2"/>
        <v>0</v>
      </c>
      <c r="Q17" s="260">
        <f t="shared" si="2"/>
        <v>0</v>
      </c>
      <c r="R17" s="260">
        <f t="shared" si="2"/>
        <v>0</v>
      </c>
      <c r="S17" s="260">
        <f t="shared" si="2"/>
        <v>0</v>
      </c>
      <c r="T17" s="260">
        <f t="shared" si="2"/>
        <v>0</v>
      </c>
      <c r="U17" s="260">
        <f t="shared" si="2"/>
        <v>0</v>
      </c>
      <c r="V17" s="260">
        <f t="shared" si="2"/>
        <v>0</v>
      </c>
      <c r="W17" s="260">
        <f t="shared" si="2"/>
        <v>0</v>
      </c>
      <c r="X17" s="260">
        <f t="shared" si="2"/>
        <v>0</v>
      </c>
      <c r="Y17" s="260">
        <f t="shared" si="2"/>
        <v>0</v>
      </c>
      <c r="Z17" s="260">
        <f t="shared" si="2"/>
        <v>0</v>
      </c>
      <c r="AA17" s="260">
        <f t="shared" si="2"/>
        <v>0</v>
      </c>
      <c r="AB17" s="260">
        <f t="shared" si="2"/>
        <v>0</v>
      </c>
      <c r="AC17" s="260">
        <f t="shared" si="2"/>
        <v>0</v>
      </c>
      <c r="AD17" s="260">
        <f t="shared" si="2"/>
        <v>0</v>
      </c>
      <c r="AE17" s="260">
        <f t="shared" si="2"/>
        <v>0</v>
      </c>
      <c r="AF17" s="260">
        <f t="shared" si="2"/>
        <v>0</v>
      </c>
      <c r="AG17" s="260">
        <f t="shared" si="2"/>
        <v>0</v>
      </c>
      <c r="AH17" s="260">
        <f t="shared" si="2"/>
        <v>0</v>
      </c>
      <c r="AI17" s="260">
        <f t="shared" si="2"/>
        <v>0</v>
      </c>
      <c r="AJ17" s="260">
        <f t="shared" si="2"/>
        <v>0</v>
      </c>
      <c r="AK17" s="260">
        <f t="shared" si="2"/>
        <v>0</v>
      </c>
      <c r="AL17" s="260">
        <f t="shared" si="2"/>
        <v>0</v>
      </c>
      <c r="AM17" s="260">
        <f t="shared" si="2"/>
        <v>0</v>
      </c>
      <c r="AN17" s="260">
        <f t="shared" si="2"/>
        <v>0</v>
      </c>
      <c r="AO17" s="260">
        <f t="shared" si="2"/>
        <v>0</v>
      </c>
      <c r="AP17" s="260">
        <f t="shared" si="2"/>
        <v>0</v>
      </c>
      <c r="AQ17" s="260">
        <f t="shared" si="2"/>
        <v>0</v>
      </c>
      <c r="AR17" s="260">
        <f t="shared" si="2"/>
        <v>0</v>
      </c>
      <c r="AS17" s="260">
        <f t="shared" si="2"/>
        <v>0</v>
      </c>
      <c r="AT17" s="260">
        <f t="shared" si="2"/>
        <v>0</v>
      </c>
      <c r="AU17" s="260">
        <f t="shared" si="2"/>
        <v>0</v>
      </c>
      <c r="AV17" s="260">
        <f t="shared" si="2"/>
        <v>0</v>
      </c>
      <c r="AW17" s="260">
        <f t="shared" si="2"/>
        <v>0</v>
      </c>
      <c r="AX17" s="260">
        <f t="shared" si="2"/>
        <v>0</v>
      </c>
      <c r="AY17" s="260">
        <f t="shared" si="2"/>
        <v>0</v>
      </c>
      <c r="AZ17" s="260">
        <f t="shared" si="2"/>
        <v>0</v>
      </c>
      <c r="BA17" s="260">
        <f t="shared" si="2"/>
        <v>0</v>
      </c>
      <c r="BB17" s="260">
        <f t="shared" si="2"/>
        <v>0</v>
      </c>
      <c r="BC17" s="260">
        <f t="shared" si="2"/>
        <v>0</v>
      </c>
      <c r="BD17" s="260">
        <f t="shared" si="2"/>
        <v>0</v>
      </c>
      <c r="BE17" s="260">
        <f t="shared" si="2"/>
        <v>0</v>
      </c>
      <c r="BF17" s="260">
        <f t="shared" si="2"/>
        <v>0</v>
      </c>
      <c r="BG17" s="260">
        <f t="shared" si="2"/>
        <v>0</v>
      </c>
      <c r="BH17" s="260">
        <f t="shared" si="2"/>
        <v>0</v>
      </c>
      <c r="BI17" s="260">
        <f t="shared" si="2"/>
        <v>0</v>
      </c>
      <c r="BJ17" s="260">
        <f t="shared" si="2"/>
        <v>0</v>
      </c>
      <c r="BK17" s="260">
        <f t="shared" si="2"/>
        <v>0</v>
      </c>
      <c r="BL17" s="260">
        <f t="shared" si="2"/>
        <v>0</v>
      </c>
    </row>
    <row r="18" spans="1:64" s="161" customFormat="1" x14ac:dyDescent="0.15">
      <c r="C18" s="89" t="s">
        <v>368</v>
      </c>
      <c r="E18" s="161">
        <f t="shared" ref="E18:BL18" si="3">-IF(E5&gt;$D$6,0,D16*D11/12)</f>
        <v>-0.16625971034550566</v>
      </c>
      <c r="F18" s="161">
        <f t="shared" si="3"/>
        <v>0</v>
      </c>
      <c r="G18" s="161">
        <f t="shared" si="3"/>
        <v>0</v>
      </c>
      <c r="H18" s="161">
        <f t="shared" si="3"/>
        <v>0</v>
      </c>
      <c r="I18" s="161">
        <f t="shared" si="3"/>
        <v>0</v>
      </c>
      <c r="J18" s="161">
        <f t="shared" si="3"/>
        <v>0</v>
      </c>
      <c r="K18" s="161">
        <f t="shared" si="3"/>
        <v>0</v>
      </c>
      <c r="L18" s="161">
        <f t="shared" si="3"/>
        <v>0</v>
      </c>
      <c r="M18" s="161">
        <f t="shared" si="3"/>
        <v>0</v>
      </c>
      <c r="N18" s="161">
        <f t="shared" si="3"/>
        <v>0</v>
      </c>
      <c r="O18" s="161">
        <f t="shared" si="3"/>
        <v>0</v>
      </c>
      <c r="P18" s="161">
        <f t="shared" si="3"/>
        <v>0</v>
      </c>
      <c r="Q18" s="161">
        <f t="shared" si="3"/>
        <v>0</v>
      </c>
      <c r="R18" s="161">
        <f t="shared" si="3"/>
        <v>0</v>
      </c>
      <c r="S18" s="161">
        <f t="shared" si="3"/>
        <v>0</v>
      </c>
      <c r="T18" s="161">
        <f t="shared" si="3"/>
        <v>0</v>
      </c>
      <c r="U18" s="161">
        <f t="shared" si="3"/>
        <v>0</v>
      </c>
      <c r="V18" s="161">
        <f t="shared" si="3"/>
        <v>0</v>
      </c>
      <c r="W18" s="161">
        <f t="shared" si="3"/>
        <v>0</v>
      </c>
      <c r="X18" s="161">
        <f t="shared" si="3"/>
        <v>0</v>
      </c>
      <c r="Y18" s="161">
        <f t="shared" si="3"/>
        <v>0</v>
      </c>
      <c r="Z18" s="161">
        <f t="shared" si="3"/>
        <v>0</v>
      </c>
      <c r="AA18" s="161">
        <f t="shared" si="3"/>
        <v>0</v>
      </c>
      <c r="AB18" s="161">
        <f t="shared" si="3"/>
        <v>0</v>
      </c>
      <c r="AC18" s="161">
        <f t="shared" si="3"/>
        <v>0</v>
      </c>
      <c r="AD18" s="161">
        <f t="shared" si="3"/>
        <v>0</v>
      </c>
      <c r="AE18" s="161">
        <f t="shared" si="3"/>
        <v>0</v>
      </c>
      <c r="AF18" s="161">
        <f t="shared" si="3"/>
        <v>0</v>
      </c>
      <c r="AG18" s="161">
        <f t="shared" si="3"/>
        <v>0</v>
      </c>
      <c r="AH18" s="161">
        <f t="shared" si="3"/>
        <v>0</v>
      </c>
      <c r="AI18" s="161">
        <f t="shared" si="3"/>
        <v>0</v>
      </c>
      <c r="AJ18" s="161">
        <f t="shared" si="3"/>
        <v>0</v>
      </c>
      <c r="AK18" s="161">
        <f t="shared" si="3"/>
        <v>0</v>
      </c>
      <c r="AL18" s="161">
        <f t="shared" si="3"/>
        <v>0</v>
      </c>
      <c r="AM18" s="161">
        <f t="shared" si="3"/>
        <v>0</v>
      </c>
      <c r="AN18" s="161">
        <f t="shared" si="3"/>
        <v>0</v>
      </c>
      <c r="AO18" s="161">
        <f t="shared" si="3"/>
        <v>0</v>
      </c>
      <c r="AP18" s="161">
        <f t="shared" si="3"/>
        <v>0</v>
      </c>
      <c r="AQ18" s="161">
        <f t="shared" si="3"/>
        <v>0</v>
      </c>
      <c r="AR18" s="161">
        <f t="shared" si="3"/>
        <v>0</v>
      </c>
      <c r="AS18" s="161">
        <f t="shared" si="3"/>
        <v>0</v>
      </c>
      <c r="AT18" s="161">
        <f t="shared" si="3"/>
        <v>0</v>
      </c>
      <c r="AU18" s="161">
        <f t="shared" si="3"/>
        <v>0</v>
      </c>
      <c r="AV18" s="161">
        <f t="shared" si="3"/>
        <v>0</v>
      </c>
      <c r="AW18" s="161">
        <f t="shared" si="3"/>
        <v>0</v>
      </c>
      <c r="AX18" s="161">
        <f t="shared" si="3"/>
        <v>0</v>
      </c>
      <c r="AY18" s="161">
        <f t="shared" si="3"/>
        <v>0</v>
      </c>
      <c r="AZ18" s="161">
        <f t="shared" si="3"/>
        <v>0</v>
      </c>
      <c r="BA18" s="161">
        <f t="shared" si="3"/>
        <v>0</v>
      </c>
      <c r="BB18" s="161">
        <f t="shared" si="3"/>
        <v>0</v>
      </c>
      <c r="BC18" s="161">
        <f t="shared" si="3"/>
        <v>0</v>
      </c>
      <c r="BD18" s="161">
        <f t="shared" si="3"/>
        <v>0</v>
      </c>
      <c r="BE18" s="161">
        <f t="shared" si="3"/>
        <v>0</v>
      </c>
      <c r="BF18" s="161">
        <f t="shared" si="3"/>
        <v>0</v>
      </c>
      <c r="BG18" s="161">
        <f t="shared" si="3"/>
        <v>0</v>
      </c>
      <c r="BH18" s="161">
        <f t="shared" si="3"/>
        <v>0</v>
      </c>
      <c r="BI18" s="161">
        <f t="shared" si="3"/>
        <v>0</v>
      </c>
      <c r="BJ18" s="161">
        <f t="shared" si="3"/>
        <v>0</v>
      </c>
      <c r="BK18" s="161">
        <f t="shared" si="3"/>
        <v>0</v>
      </c>
      <c r="BL18" s="161">
        <f t="shared" si="3"/>
        <v>0</v>
      </c>
    </row>
    <row r="19" spans="1:64" s="161" customFormat="1" x14ac:dyDescent="0.15">
      <c r="C19" s="261" t="s">
        <v>369</v>
      </c>
      <c r="E19" s="161">
        <f t="shared" ref="E19:BL19" si="4">E17-E18</f>
        <v>-3.4739502074405877</v>
      </c>
      <c r="F19" s="161">
        <f t="shared" si="4"/>
        <v>0</v>
      </c>
      <c r="G19" s="161">
        <f t="shared" si="4"/>
        <v>0</v>
      </c>
      <c r="H19" s="161">
        <f t="shared" si="4"/>
        <v>0</v>
      </c>
      <c r="I19" s="161">
        <f t="shared" si="4"/>
        <v>0</v>
      </c>
      <c r="J19" s="161">
        <f t="shared" si="4"/>
        <v>0</v>
      </c>
      <c r="K19" s="161">
        <f t="shared" si="4"/>
        <v>0</v>
      </c>
      <c r="L19" s="161">
        <f t="shared" si="4"/>
        <v>0</v>
      </c>
      <c r="M19" s="161">
        <f t="shared" si="4"/>
        <v>0</v>
      </c>
      <c r="N19" s="161">
        <f t="shared" si="4"/>
        <v>0</v>
      </c>
      <c r="O19" s="161">
        <f t="shared" si="4"/>
        <v>0</v>
      </c>
      <c r="P19" s="161">
        <f t="shared" si="4"/>
        <v>0</v>
      </c>
      <c r="Q19" s="161">
        <f t="shared" si="4"/>
        <v>0</v>
      </c>
      <c r="R19" s="161">
        <f t="shared" si="4"/>
        <v>0</v>
      </c>
      <c r="S19" s="161">
        <f t="shared" si="4"/>
        <v>0</v>
      </c>
      <c r="T19" s="161">
        <f t="shared" si="4"/>
        <v>0</v>
      </c>
      <c r="U19" s="161">
        <f t="shared" si="4"/>
        <v>0</v>
      </c>
      <c r="V19" s="161">
        <f t="shared" si="4"/>
        <v>0</v>
      </c>
      <c r="W19" s="161">
        <f t="shared" si="4"/>
        <v>0</v>
      </c>
      <c r="X19" s="161">
        <f t="shared" si="4"/>
        <v>0</v>
      </c>
      <c r="Y19" s="161">
        <f t="shared" si="4"/>
        <v>0</v>
      </c>
      <c r="Z19" s="161">
        <f t="shared" si="4"/>
        <v>0</v>
      </c>
      <c r="AA19" s="161">
        <f t="shared" si="4"/>
        <v>0</v>
      </c>
      <c r="AB19" s="161">
        <f t="shared" si="4"/>
        <v>0</v>
      </c>
      <c r="AC19" s="161">
        <f t="shared" si="4"/>
        <v>0</v>
      </c>
      <c r="AD19" s="161">
        <f t="shared" si="4"/>
        <v>0</v>
      </c>
      <c r="AE19" s="161">
        <f t="shared" si="4"/>
        <v>0</v>
      </c>
      <c r="AF19" s="161">
        <f t="shared" si="4"/>
        <v>0</v>
      </c>
      <c r="AG19" s="161">
        <f t="shared" si="4"/>
        <v>0</v>
      </c>
      <c r="AH19" s="161">
        <f t="shared" si="4"/>
        <v>0</v>
      </c>
      <c r="AI19" s="161">
        <f t="shared" si="4"/>
        <v>0</v>
      </c>
      <c r="AJ19" s="161">
        <f t="shared" si="4"/>
        <v>0</v>
      </c>
      <c r="AK19" s="161">
        <f t="shared" si="4"/>
        <v>0</v>
      </c>
      <c r="AL19" s="161">
        <f t="shared" si="4"/>
        <v>0</v>
      </c>
      <c r="AM19" s="161">
        <f t="shared" si="4"/>
        <v>0</v>
      </c>
      <c r="AN19" s="161">
        <f t="shared" si="4"/>
        <v>0</v>
      </c>
      <c r="AO19" s="161">
        <f t="shared" si="4"/>
        <v>0</v>
      </c>
      <c r="AP19" s="161">
        <f t="shared" si="4"/>
        <v>0</v>
      </c>
      <c r="AQ19" s="161">
        <f t="shared" si="4"/>
        <v>0</v>
      </c>
      <c r="AR19" s="161">
        <f t="shared" si="4"/>
        <v>0</v>
      </c>
      <c r="AS19" s="161">
        <f t="shared" si="4"/>
        <v>0</v>
      </c>
      <c r="AT19" s="161">
        <f t="shared" si="4"/>
        <v>0</v>
      </c>
      <c r="AU19" s="161">
        <f t="shared" si="4"/>
        <v>0</v>
      </c>
      <c r="AV19" s="161">
        <f t="shared" si="4"/>
        <v>0</v>
      </c>
      <c r="AW19" s="161">
        <f t="shared" si="4"/>
        <v>0</v>
      </c>
      <c r="AX19" s="161">
        <f t="shared" si="4"/>
        <v>0</v>
      </c>
      <c r="AY19" s="161">
        <f t="shared" si="4"/>
        <v>0</v>
      </c>
      <c r="AZ19" s="161">
        <f t="shared" si="4"/>
        <v>0</v>
      </c>
      <c r="BA19" s="161">
        <f t="shared" si="4"/>
        <v>0</v>
      </c>
      <c r="BB19" s="161">
        <f t="shared" si="4"/>
        <v>0</v>
      </c>
      <c r="BC19" s="161">
        <f t="shared" si="4"/>
        <v>0</v>
      </c>
      <c r="BD19" s="161">
        <f t="shared" si="4"/>
        <v>0</v>
      </c>
      <c r="BE19" s="161">
        <f t="shared" si="4"/>
        <v>0</v>
      </c>
      <c r="BF19" s="161">
        <f t="shared" si="4"/>
        <v>0</v>
      </c>
      <c r="BG19" s="161">
        <f t="shared" si="4"/>
        <v>0</v>
      </c>
      <c r="BH19" s="161">
        <f t="shared" si="4"/>
        <v>0</v>
      </c>
      <c r="BI19" s="161">
        <f t="shared" si="4"/>
        <v>0</v>
      </c>
      <c r="BJ19" s="161">
        <f t="shared" si="4"/>
        <v>0</v>
      </c>
      <c r="BK19" s="161">
        <f t="shared" si="4"/>
        <v>0</v>
      </c>
      <c r="BL19" s="161">
        <f t="shared" si="4"/>
        <v>0</v>
      </c>
    </row>
    <row r="20" spans="1:64" s="161" customFormat="1" x14ac:dyDescent="0.15">
      <c r="C20" s="261"/>
    </row>
    <row r="21" spans="1:64" x14ac:dyDescent="0.15">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c r="BL21" s="161"/>
    </row>
    <row r="22" spans="1:64" x14ac:dyDescent="0.15">
      <c r="C22" s="163" t="s">
        <v>370</v>
      </c>
      <c r="D22" s="163"/>
      <c r="E22" s="262">
        <f>IF(E5&gt;Leadsheet!$E$12,0,IFERROR(E19/D16*D25*(1-Leadsheet!$D$76),0))</f>
        <v>-3.2099299916751032</v>
      </c>
      <c r="F22" s="262">
        <f>IF(F5&gt;Leadsheet!$E$12,0,IFERROR(F19/E16*E25*(1-Leadsheet!$D$76),0))</f>
        <v>0</v>
      </c>
      <c r="G22" s="262">
        <f>IF(G5&gt;Leadsheet!$E$12,0,IFERROR(G19/F16*F25*(1-Leadsheet!$D$76),0))</f>
        <v>0</v>
      </c>
      <c r="H22" s="262">
        <f>IF(H5&gt;Leadsheet!$E$12,0,IFERROR(H19/G16*G25*(1-Leadsheet!$D$76),0))</f>
        <v>0</v>
      </c>
      <c r="I22" s="262">
        <f>IF(I5&gt;Leadsheet!$E$12,0,IFERROR(I19/H16*H25*(1-Leadsheet!$D$76),0))</f>
        <v>0</v>
      </c>
      <c r="J22" s="262">
        <f>IF(J5&gt;Leadsheet!$E$12,0,IFERROR(J19/I16*I25*(1-Leadsheet!$D$76),0))</f>
        <v>0</v>
      </c>
      <c r="K22" s="262">
        <f>IF(K5&gt;Leadsheet!$E$12,0,IFERROR(K19/J16*J25*(1-Leadsheet!$D$76),0))</f>
        <v>0</v>
      </c>
      <c r="L22" s="262">
        <f>IF(L5&gt;Leadsheet!$E$12,0,IFERROR(L19/K16*K25*(1-Leadsheet!$D$76),0))</f>
        <v>0</v>
      </c>
      <c r="M22" s="262">
        <f>IF(M5&gt;Leadsheet!$E$12,0,IFERROR(M19/L16*L25*(1-Leadsheet!$D$76),0))</f>
        <v>0</v>
      </c>
      <c r="N22" s="262">
        <f>IF(N5&gt;Leadsheet!$E$12,0,IFERROR(N19/M16*M25*(1-Leadsheet!$D$76),0))</f>
        <v>0</v>
      </c>
      <c r="O22" s="262">
        <f>IF(O5&gt;Leadsheet!$E$12,0,IFERROR(O19/N16*N25*(1-Leadsheet!$D$76),0))</f>
        <v>0</v>
      </c>
      <c r="P22" s="262">
        <f>IF(P5&gt;Leadsheet!$E$12,0,IFERROR(P19/O16*O25*(1-Leadsheet!$D$76),0))</f>
        <v>0</v>
      </c>
      <c r="Q22" s="262">
        <f>IF(Q5&gt;Leadsheet!$E$12,0,IFERROR(Q19/P16*P25*(1-Leadsheet!$D$76),0))</f>
        <v>0</v>
      </c>
      <c r="R22" s="262">
        <f>IF(R5&gt;Leadsheet!$E$12,0,IFERROR(R19/Q16*Q25*(1-Leadsheet!$D$76),0))</f>
        <v>0</v>
      </c>
      <c r="S22" s="262">
        <f>IF(S5&gt;Leadsheet!$E$12,0,IFERROR(S19/R16*R25*(1-Leadsheet!$D$76),0))</f>
        <v>0</v>
      </c>
      <c r="T22" s="262">
        <f>IF(T5&gt;Leadsheet!$E$12,0,IFERROR(T19/S16*S25*(1-Leadsheet!$D$76),0))</f>
        <v>0</v>
      </c>
      <c r="U22" s="262">
        <f>IF(U5&gt;Leadsheet!$E$12,0,IFERROR(U19/T16*T25*(1-Leadsheet!$D$76),0))</f>
        <v>0</v>
      </c>
      <c r="V22" s="262">
        <f>IF(V5&gt;Leadsheet!$E$12,0,IFERROR(V19/U16*U25*(1-Leadsheet!$D$76),0))</f>
        <v>0</v>
      </c>
      <c r="W22" s="262">
        <f>IF(W5&gt;Leadsheet!$E$12,0,IFERROR(W19/V16*V25*(1-Leadsheet!$D$76),0))</f>
        <v>0</v>
      </c>
      <c r="X22" s="262">
        <f>IF(X5&gt;Leadsheet!$E$12,0,IFERROR(X19/W16*W25*(1-Leadsheet!$D$76),0))</f>
        <v>0</v>
      </c>
      <c r="Y22" s="262">
        <f>IF(Y5&gt;Leadsheet!$E$12,0,IFERROR(Y19/X16*X25*(1-Leadsheet!$D$76),0))</f>
        <v>0</v>
      </c>
      <c r="Z22" s="262">
        <f>IF(Z5&gt;Leadsheet!$E$12,0,IFERROR(Z19/Y16*Y25*(1-Leadsheet!$D$76),0))</f>
        <v>0</v>
      </c>
      <c r="AA22" s="262">
        <f>IF(AA5&gt;Leadsheet!$E$12,0,IFERROR(AA19/Z16*Z25*(1-Leadsheet!$D$76),0))</f>
        <v>0</v>
      </c>
      <c r="AB22" s="262">
        <f>IF(AB5&gt;Leadsheet!$E$12,0,IFERROR(AB19/AA16*AA25*(1-Leadsheet!$D$76),0))</f>
        <v>0</v>
      </c>
      <c r="AC22" s="262">
        <f>IF(AC5&gt;Leadsheet!$E$12,0,IFERROR(AC19/AB16*AB25*(1-Leadsheet!$D$76),0))</f>
        <v>0</v>
      </c>
      <c r="AD22" s="262">
        <f>IF(AD5&gt;Leadsheet!$E$12,0,IFERROR(AD19/AC16*AC25*(1-Leadsheet!$D$76),0))</f>
        <v>0</v>
      </c>
      <c r="AE22" s="262">
        <f>IF(AE5&gt;Leadsheet!$E$12,0,IFERROR(AE19/AD16*AD25*(1-Leadsheet!$D$76),0))</f>
        <v>0</v>
      </c>
      <c r="AF22" s="262">
        <f>IF(AF5&gt;Leadsheet!$E$12,0,IFERROR(AF19/AE16*AE25*(1-Leadsheet!$D$76),0))</f>
        <v>0</v>
      </c>
      <c r="AG22" s="262">
        <f>IF(AG5&gt;Leadsheet!$E$12,0,IFERROR(AG19/AF16*AF25*(1-Leadsheet!$D$76),0))</f>
        <v>0</v>
      </c>
      <c r="AH22" s="262">
        <f>IF(AH5&gt;Leadsheet!$E$12,0,IFERROR(AH19/AG16*AG25*(1-Leadsheet!$D$76),0))</f>
        <v>0</v>
      </c>
      <c r="AI22" s="262">
        <f>IF(AI5&gt;Leadsheet!$E$12,0,IFERROR(AI19/AH16*AH25*(1-Leadsheet!$D$76),0))</f>
        <v>0</v>
      </c>
      <c r="AJ22" s="262">
        <f>IF(AJ5&gt;Leadsheet!$E$12,0,IFERROR(AJ19/AI16*AI25*(1-Leadsheet!$D$76),0))</f>
        <v>0</v>
      </c>
      <c r="AK22" s="262">
        <f>IF(AK5&gt;Leadsheet!$E$12,0,IFERROR(AK19/AJ16*AJ25*(1-Leadsheet!$D$76),0))</f>
        <v>0</v>
      </c>
      <c r="AL22" s="262">
        <f>IF(AL5&gt;Leadsheet!$E$12,0,IFERROR(AL19/AK16*AK25*(1-Leadsheet!$D$76),0))</f>
        <v>0</v>
      </c>
      <c r="AM22" s="262">
        <f>IF(AM5&gt;Leadsheet!$E$12,0,IFERROR(AM19/AL16*AL25*(1-Leadsheet!$D$76),0))</f>
        <v>0</v>
      </c>
      <c r="AN22" s="262">
        <f>IF(AN5&gt;Leadsheet!$E$12,0,IFERROR(AN19/AM16*AM25*(1-Leadsheet!$D$76),0))</f>
        <v>0</v>
      </c>
      <c r="AO22" s="262">
        <f>IF(AO5&gt;Leadsheet!$E$12,0,IFERROR(AO19/AN16*AN25*(1-Leadsheet!$D$76),0))</f>
        <v>0</v>
      </c>
      <c r="AP22" s="262">
        <f>IF(AP5&gt;Leadsheet!$E$12,0,IFERROR(AP19/AO16*AO25*(1-Leadsheet!$D$76),0))</f>
        <v>0</v>
      </c>
      <c r="AQ22" s="262">
        <f>IF(AQ5&gt;Leadsheet!$E$12,0,IFERROR(AQ19/AP16*AP25*(1-Leadsheet!$D$76),0))</f>
        <v>0</v>
      </c>
      <c r="AR22" s="262">
        <f>IF(AR5&gt;Leadsheet!$E$12,0,IFERROR(AR19/AQ16*AQ25*(1-Leadsheet!$D$76),0))</f>
        <v>0</v>
      </c>
      <c r="AS22" s="262">
        <f>IF(AS5&gt;Leadsheet!$E$12,0,IFERROR(AS19/AR16*AR25*(1-Leadsheet!$D$76),0))</f>
        <v>0</v>
      </c>
      <c r="AT22" s="262">
        <f>IF(AT5&gt;Leadsheet!$E$12,0,IFERROR(AT19/AS16*AS25*(1-Leadsheet!$D$76),0))</f>
        <v>0</v>
      </c>
      <c r="AU22" s="262">
        <f>IF(AU5&gt;Leadsheet!$E$12,0,IFERROR(AU19/AT16*AT25*(1-Leadsheet!$D$76),0))</f>
        <v>0</v>
      </c>
      <c r="AV22" s="262">
        <f>IF(AV5&gt;Leadsheet!$E$12,0,IFERROR(AV19/AU16*AU25*(1-Leadsheet!$D$76),0))</f>
        <v>0</v>
      </c>
      <c r="AW22" s="262">
        <f>IF(AW5&gt;Leadsheet!$E$12,0,IFERROR(AW19/AV16*AV25*(1-Leadsheet!$D$76),0))</f>
        <v>0</v>
      </c>
      <c r="AX22" s="262">
        <f>IF(AX5&gt;Leadsheet!$E$12,0,IFERROR(AX19/AW16*AW25*(1-Leadsheet!$D$76),0))</f>
        <v>0</v>
      </c>
      <c r="AY22" s="262">
        <f>IF(AY5&gt;Leadsheet!$E$12,0,IFERROR(AY19/AX16*AX25*(1-Leadsheet!$D$76),0))</f>
        <v>0</v>
      </c>
      <c r="AZ22" s="262">
        <f>IF(AZ5&gt;Leadsheet!$E$12,0,IFERROR(AZ19/AY16*AY25*(1-Leadsheet!$D$76),0))</f>
        <v>0</v>
      </c>
      <c r="BA22" s="262">
        <f>IF(BA5&gt;Leadsheet!$E$12,0,IFERROR(BA19/AZ16*AZ25*(1-Leadsheet!$D$76),0))</f>
        <v>0</v>
      </c>
      <c r="BB22" s="262">
        <f>IF(BB5&gt;Leadsheet!$E$12,0,IFERROR(BB19/BA16*BA25*(1-Leadsheet!$D$76),0))</f>
        <v>0</v>
      </c>
      <c r="BC22" s="262">
        <f>IF(BC5&gt;Leadsheet!$E$12,0,IFERROR(BC19/BB16*BB25*(1-Leadsheet!$D$76),0))</f>
        <v>0</v>
      </c>
      <c r="BD22" s="262">
        <f>IF(BD5&gt;Leadsheet!$E$12,0,IFERROR(BD19/BC16*BC25*(1-Leadsheet!$D$76),0))</f>
        <v>0</v>
      </c>
      <c r="BE22" s="262">
        <f>IF(BE5&gt;Leadsheet!$E$12,0,IFERROR(BE19/BD16*BD25*(1-Leadsheet!$D$76),0))</f>
        <v>0</v>
      </c>
      <c r="BF22" s="262">
        <f>IF(BF5&gt;Leadsheet!$E$12,0,IFERROR(BF19/BE16*BE25*(1-Leadsheet!$D$76),0))</f>
        <v>0</v>
      </c>
      <c r="BG22" s="262">
        <f>IF(BG5&gt;Leadsheet!$E$12,0,IFERROR(BG19/BF16*BF25*(1-Leadsheet!$D$76),0))</f>
        <v>0</v>
      </c>
      <c r="BH22" s="262">
        <f>IF(BH5&gt;Leadsheet!$E$12,0,IFERROR(BH19/BG16*BG25*(1-Leadsheet!$D$76),0))</f>
        <v>0</v>
      </c>
      <c r="BI22" s="262">
        <f>IF(BI5&gt;Leadsheet!$E$12,0,IFERROR(BI19/BH16*BH25*(1-Leadsheet!$D$76),0))</f>
        <v>0</v>
      </c>
      <c r="BJ22" s="262">
        <f>IF(BJ5&gt;Leadsheet!$E$12,0,IFERROR(BJ19/BI16*BI25*(1-Leadsheet!$D$76),0))</f>
        <v>0</v>
      </c>
      <c r="BK22" s="262">
        <f>IF(BK5&gt;Leadsheet!$E$12,0,IFERROR(BK19/BJ16*BJ25*(1-Leadsheet!$D$76),0))</f>
        <v>0</v>
      </c>
      <c r="BL22" s="262">
        <f>IF(BL5&gt;Leadsheet!$E$12,0,IFERROR(BL19/BK16*BK25*(1-Leadsheet!$D$76),0))</f>
        <v>0</v>
      </c>
    </row>
    <row r="23" spans="1:64" x14ac:dyDescent="0.15">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61"/>
      <c r="BE23" s="161"/>
      <c r="BF23" s="161"/>
      <c r="BG23" s="161"/>
      <c r="BH23" s="161"/>
      <c r="BI23" s="161"/>
      <c r="BJ23" s="161"/>
      <c r="BK23" s="161"/>
      <c r="BL23" s="161"/>
    </row>
    <row r="24" spans="1:64" s="163" customFormat="1" x14ac:dyDescent="0.15">
      <c r="A24" s="263" t="s">
        <v>371</v>
      </c>
      <c r="B24" s="263" t="s">
        <v>215</v>
      </c>
      <c r="C24" s="248" t="s">
        <v>372</v>
      </c>
      <c r="D24" s="260"/>
      <c r="E24" s="260"/>
      <c r="F24" s="260"/>
      <c r="G24" s="260"/>
      <c r="H24" s="260"/>
      <c r="I24" s="260"/>
      <c r="J24" s="260"/>
      <c r="K24" s="260"/>
      <c r="L24" s="260"/>
      <c r="M24" s="260"/>
      <c r="N24" s="260"/>
      <c r="O24" s="260"/>
      <c r="P24" s="260"/>
      <c r="Q24" s="260"/>
      <c r="R24" s="260"/>
      <c r="S24" s="260"/>
      <c r="T24" s="260"/>
      <c r="U24" s="260"/>
      <c r="V24" s="260"/>
      <c r="W24" s="260"/>
      <c r="X24" s="260"/>
      <c r="Y24" s="260"/>
      <c r="Z24" s="260"/>
      <c r="AA24" s="260"/>
      <c r="AB24" s="260"/>
      <c r="AC24" s="260"/>
      <c r="AD24" s="260"/>
      <c r="AE24" s="260"/>
      <c r="AF24" s="260"/>
      <c r="AG24" s="260"/>
      <c r="AH24" s="260"/>
      <c r="AI24" s="260"/>
      <c r="AJ24" s="260"/>
      <c r="AK24" s="260"/>
      <c r="AL24" s="260"/>
      <c r="AM24" s="260"/>
      <c r="AN24" s="260"/>
      <c r="AO24" s="260"/>
      <c r="AP24" s="260"/>
      <c r="AQ24" s="260"/>
      <c r="AR24" s="260"/>
      <c r="AS24" s="260"/>
      <c r="AT24" s="260"/>
      <c r="AU24" s="260"/>
      <c r="AV24" s="260"/>
      <c r="AW24" s="260"/>
      <c r="AX24" s="260"/>
      <c r="AY24" s="260"/>
      <c r="AZ24" s="260"/>
      <c r="BA24" s="260"/>
      <c r="BB24" s="260"/>
      <c r="BC24" s="260"/>
      <c r="BD24" s="260"/>
      <c r="BE24" s="260"/>
      <c r="BF24" s="260"/>
      <c r="BG24" s="260"/>
      <c r="BH24" s="260"/>
      <c r="BI24" s="260"/>
      <c r="BJ24" s="260"/>
      <c r="BK24" s="260"/>
      <c r="BL24" s="260"/>
    </row>
    <row r="25" spans="1:64" s="161" customFormat="1" x14ac:dyDescent="0.15">
      <c r="A25" s="264" t="s">
        <v>373</v>
      </c>
      <c r="B25" s="265">
        <v>0</v>
      </c>
      <c r="C25" s="89" t="s">
        <v>374</v>
      </c>
      <c r="D25" s="266">
        <f>Leadsheet!E10</f>
        <v>3.4739502074405886</v>
      </c>
      <c r="E25" s="267">
        <f>IF(E5&gt;=Leadsheet!$E$12,0,D42+E22-SUM(E26:E39))</f>
        <v>0</v>
      </c>
      <c r="F25" s="267">
        <f>IF(F5&gt;=Leadsheet!$E$12,0,E42+F22-SUM(F26:F39))</f>
        <v>0</v>
      </c>
      <c r="G25" s="267">
        <f>IF(G5&gt;=Leadsheet!$E$12,0,F42+G22-SUM(G26:G39))</f>
        <v>0</v>
      </c>
      <c r="H25" s="267">
        <f>IF(H5&gt;=Leadsheet!$E$12,0,G42+H22-SUM(H26:H39))</f>
        <v>0</v>
      </c>
      <c r="I25" s="267">
        <f>IF(I5&gt;=Leadsheet!$E$12,0,H42+I22-SUM(I26:I39))</f>
        <v>0</v>
      </c>
      <c r="J25" s="267">
        <f>IF(J5&gt;=Leadsheet!$E$12,0,I42+J22-SUM(J26:J39))</f>
        <v>0</v>
      </c>
      <c r="K25" s="267">
        <f>IF(K5&gt;=Leadsheet!$E$12,0,J42+K22-SUM(K26:K39))</f>
        <v>0</v>
      </c>
      <c r="L25" s="267">
        <f>IF(L5&gt;=Leadsheet!$E$12,0,K42+L22-SUM(L26:L39))</f>
        <v>0</v>
      </c>
      <c r="M25" s="267">
        <f>IF(M5&gt;=Leadsheet!$E$12,0,L42+M22-SUM(M26:M39))</f>
        <v>0</v>
      </c>
      <c r="N25" s="267">
        <f>IF(N5&gt;=Leadsheet!$E$12,0,M42+N22-SUM(N26:N39))</f>
        <v>0</v>
      </c>
      <c r="O25" s="267">
        <f>IF(O5&gt;=Leadsheet!$E$12,0,N42+O22-SUM(O26:O39))</f>
        <v>0</v>
      </c>
      <c r="P25" s="267">
        <f>IF(P5&gt;=Leadsheet!$E$12,0,O42+P22-SUM(P26:P39))</f>
        <v>0</v>
      </c>
      <c r="Q25" s="267">
        <f>IF(Q5&gt;=Leadsheet!$E$12,0,P42+Q22-SUM(Q26:Q39))</f>
        <v>0</v>
      </c>
      <c r="R25" s="267">
        <f>IF(R5&gt;=Leadsheet!$E$12,0,Q42+R22-SUM(R26:R39))</f>
        <v>0</v>
      </c>
      <c r="S25" s="267">
        <f>IF(S5&gt;=Leadsheet!$E$12,0,R42+S22-SUM(S26:S39))</f>
        <v>0</v>
      </c>
      <c r="T25" s="267">
        <f>IF(T5&gt;=Leadsheet!$E$12,0,S42+T22-SUM(T26:T39))</f>
        <v>0</v>
      </c>
      <c r="U25" s="267">
        <f>IF(U5&gt;=Leadsheet!$E$12,0,T42+U22-SUM(U26:U39))</f>
        <v>0</v>
      </c>
      <c r="V25" s="267">
        <f>IF(V5&gt;=Leadsheet!$E$12,0,U42+V22-SUM(V26:V39))</f>
        <v>0</v>
      </c>
      <c r="W25" s="267">
        <f>IF(W5&gt;=Leadsheet!$E$12,0,V42+W22-SUM(W26:W39))</f>
        <v>0</v>
      </c>
      <c r="X25" s="267">
        <f>IF(X5&gt;=Leadsheet!$E$12,0,W42+X22-SUM(X26:X39))</f>
        <v>0</v>
      </c>
      <c r="Y25" s="267">
        <f>IF(Y5&gt;=Leadsheet!$E$12,0,X42+Y22-SUM(Y26:Y39))</f>
        <v>0</v>
      </c>
      <c r="Z25" s="267">
        <f>IF(Z5&gt;=Leadsheet!$E$12,0,Y42+Z22-SUM(Z26:Z39))</f>
        <v>0</v>
      </c>
      <c r="AA25" s="267">
        <f>IF(AA5&gt;=Leadsheet!$E$12,0,Z42+AA22-SUM(AA26:AA39))</f>
        <v>0</v>
      </c>
      <c r="AB25" s="267">
        <f>IF(AB5&gt;=Leadsheet!$E$12,0,AA42+AB22-SUM(AB26:AB39))</f>
        <v>0</v>
      </c>
      <c r="AC25" s="267">
        <f>IF(AC5&gt;=Leadsheet!$E$12,0,AB42+AC22-SUM(AC26:AC39))</f>
        <v>0</v>
      </c>
      <c r="AD25" s="267">
        <f>IF(AD5&gt;=Leadsheet!$E$12,0,AC42+AD22-SUM(AD26:AD39))</f>
        <v>0</v>
      </c>
      <c r="AE25" s="267">
        <f>IF(AE5&gt;=Leadsheet!$E$12,0,AD42+AE22-SUM(AE26:AE39))</f>
        <v>0</v>
      </c>
      <c r="AF25" s="267">
        <f>IF(AF5&gt;=Leadsheet!$E$12,0,AE42+AF22-SUM(AF26:AF39))</f>
        <v>0</v>
      </c>
      <c r="AG25" s="267">
        <f>IF(AG5&gt;=Leadsheet!$E$12,0,AF42+AG22-SUM(AG26:AG39))</f>
        <v>0</v>
      </c>
      <c r="AH25" s="267">
        <f>IF(AH5&gt;=Leadsheet!$E$12,0,AG42+AH22-SUM(AH26:AH39))</f>
        <v>0</v>
      </c>
      <c r="AI25" s="267">
        <f>IF(AI5&gt;=Leadsheet!$E$12,0,AH42+AI22-SUM(AI26:AI39))</f>
        <v>0</v>
      </c>
      <c r="AJ25" s="267">
        <f>IF(AJ5&gt;=Leadsheet!$E$12,0,AI42+AJ22-SUM(AJ26:AJ39))</f>
        <v>0</v>
      </c>
      <c r="AK25" s="267">
        <f>IF(AK5&gt;=Leadsheet!$E$12,0,AJ42+AK22-SUM(AK26:AK39))</f>
        <v>0</v>
      </c>
      <c r="AL25" s="267">
        <f>IF(AL5&gt;=Leadsheet!$E$12,0,AK42+AL22-SUM(AL26:AL39))</f>
        <v>0</v>
      </c>
      <c r="AM25" s="267">
        <f>IF(AM5&gt;=Leadsheet!$E$12,0,AL42+AM22-SUM(AM26:AM39))</f>
        <v>0</v>
      </c>
      <c r="AN25" s="267">
        <f>IF(AN5&gt;=Leadsheet!$E$12,0,AM42+AN22-SUM(AN26:AN39))</f>
        <v>0</v>
      </c>
      <c r="AO25" s="267">
        <f>IF(AO5&gt;=Leadsheet!$E$12,0,AN42+AO22-SUM(AO26:AO39))</f>
        <v>0</v>
      </c>
      <c r="AP25" s="267">
        <f>IF(AP5&gt;=Leadsheet!$E$12,0,AO42+AP22-SUM(AP26:AP39))</f>
        <v>0</v>
      </c>
      <c r="AQ25" s="267">
        <f>IF(AQ5&gt;=Leadsheet!$E$12,0,AP42+AQ22-SUM(AQ26:AQ39))</f>
        <v>0</v>
      </c>
      <c r="AR25" s="267">
        <f>IF(AR5&gt;=Leadsheet!$E$12,0,AQ42+AR22-SUM(AR26:AR39))</f>
        <v>0</v>
      </c>
      <c r="AS25" s="267">
        <f>IF(AS5&gt;=Leadsheet!$E$12,0,AR42+AS22-SUM(AS26:AS39))</f>
        <v>0</v>
      </c>
      <c r="AT25" s="267">
        <f>IF(AT5&gt;=Leadsheet!$E$12,0,AS42+AT22-SUM(AT26:AT39))</f>
        <v>0</v>
      </c>
      <c r="AU25" s="267">
        <f>IF(AU5&gt;=Leadsheet!$E$12,0,AT42+AU22-SUM(AU26:AU39))</f>
        <v>0</v>
      </c>
      <c r="AV25" s="267">
        <f>IF(AV5&gt;=Leadsheet!$E$12,0,AU42+AV22-SUM(AV26:AV39))</f>
        <v>0</v>
      </c>
      <c r="AW25" s="267">
        <f>IF(AW5&gt;=Leadsheet!$E$12,0,AV42+AW22-SUM(AW26:AW39))</f>
        <v>0</v>
      </c>
      <c r="AX25" s="267">
        <f>IF(AX5&gt;=Leadsheet!$E$12,0,AW42+AX22-SUM(AX26:AX39))</f>
        <v>0</v>
      </c>
      <c r="AY25" s="267">
        <f>IF(AY5&gt;=Leadsheet!$E$12,0,AX42+AY22-SUM(AY26:AY39))</f>
        <v>0</v>
      </c>
      <c r="AZ25" s="267">
        <f>IF(AZ5&gt;=Leadsheet!$E$12,0,AY42+AZ22-SUM(AZ26:AZ39))</f>
        <v>0</v>
      </c>
      <c r="BA25" s="267">
        <f>IF(BA5&gt;=Leadsheet!$E$12,0,AZ42+BA22-SUM(BA26:BA39))</f>
        <v>0</v>
      </c>
      <c r="BB25" s="267">
        <f>IF(BB5&gt;=Leadsheet!$E$12,0,BA42+BB22-SUM(BB26:BB39))</f>
        <v>0</v>
      </c>
      <c r="BC25" s="267">
        <f>IF(BC5&gt;=Leadsheet!$E$12,0,BB42+BC22-SUM(BC26:BC39))</f>
        <v>0</v>
      </c>
      <c r="BD25" s="267">
        <f>IF(BD5&gt;=Leadsheet!$E$12,0,BC42+BD22-SUM(BD26:BD39))</f>
        <v>0</v>
      </c>
      <c r="BE25" s="267">
        <f>IF(BE5&gt;=Leadsheet!$E$12,0,BD42+BE22-SUM(BE26:BE39))</f>
        <v>0</v>
      </c>
      <c r="BF25" s="267">
        <f>IF(BF5&gt;=Leadsheet!$E$12,0,BE42+BF22-SUM(BF26:BF39))</f>
        <v>0</v>
      </c>
      <c r="BG25" s="267">
        <f>IF(BG5&gt;=Leadsheet!$E$12,0,BF42+BG22-SUM(BG26:BG39))</f>
        <v>0</v>
      </c>
      <c r="BH25" s="267">
        <f>IF(BH5&gt;=Leadsheet!$E$12,0,BG42+BH22-SUM(BH26:BH39))</f>
        <v>0</v>
      </c>
      <c r="BI25" s="267">
        <f>IF(BI5&gt;=Leadsheet!$E$12,0,BH42+BI22-SUM(BI26:BI39))</f>
        <v>0</v>
      </c>
      <c r="BJ25" s="267">
        <f>IF(BJ5&gt;=Leadsheet!$E$12,0,BI42+BJ22-SUM(BJ26:BJ39))</f>
        <v>0</v>
      </c>
      <c r="BK25" s="267">
        <f>IF(BK5&gt;=Leadsheet!$E$12,0,BJ42+BK22-SUM(BK26:BK39))</f>
        <v>0</v>
      </c>
      <c r="BL25" s="267">
        <f>IF(BL5&gt;=Leadsheet!$E$12,0,BK42+BL22-SUM(BL26:BL39))</f>
        <v>0</v>
      </c>
    </row>
    <row r="26" spans="1:64" s="161" customFormat="1" x14ac:dyDescent="0.15">
      <c r="A26" s="264" t="s">
        <v>375</v>
      </c>
      <c r="B26" s="265">
        <v>30</v>
      </c>
      <c r="C26" s="89" t="s">
        <v>376</v>
      </c>
      <c r="D26" s="266"/>
      <c r="E26" s="267">
        <f>IF(E$5&gt;$D$7,0,D25*Leadsheet!$D76)</f>
        <v>0.26402021576548473</v>
      </c>
      <c r="F26" s="267">
        <f>IF(F$5&gt;$D$7,0,E25*Leadsheet!$D76)</f>
        <v>0</v>
      </c>
      <c r="G26" s="267">
        <f>IF(G$5&gt;$D$7,0,F25*Leadsheet!$D76)</f>
        <v>0</v>
      </c>
      <c r="H26" s="267">
        <f>IF(H$5&gt;$D$7,0,G25*Leadsheet!$D76)</f>
        <v>0</v>
      </c>
      <c r="I26" s="267">
        <f>IF(I$5&gt;$D$7,0,H25*Leadsheet!$D76)</f>
        <v>0</v>
      </c>
      <c r="J26" s="267">
        <f>IF(J$5&gt;$D$7,0,I25*Leadsheet!$D76)</f>
        <v>0</v>
      </c>
      <c r="K26" s="267">
        <f>IF(K$5&gt;$D$7,0,J25*Leadsheet!$D76)</f>
        <v>0</v>
      </c>
      <c r="L26" s="267">
        <f>IF(L$5&gt;$D$7,0,K25*Leadsheet!$D76)</f>
        <v>0</v>
      </c>
      <c r="M26" s="267">
        <f>IF(M$5&gt;$D$7,0,L25*Leadsheet!$D76)</f>
        <v>0</v>
      </c>
      <c r="N26" s="267">
        <f>IF(N$5&gt;$D$7,0,M25*Leadsheet!$D76)</f>
        <v>0</v>
      </c>
      <c r="O26" s="267">
        <f>IF(O$5&gt;$D$7,0,N25*Leadsheet!$D76)</f>
        <v>0</v>
      </c>
      <c r="P26" s="267">
        <f>IF(P$5&gt;$D$7,0,O25*Leadsheet!$D76)</f>
        <v>0</v>
      </c>
      <c r="Q26" s="267">
        <f>IF(Q$5&gt;$D$7,0,P25*Leadsheet!$D76)</f>
        <v>0</v>
      </c>
      <c r="R26" s="267">
        <f>IF(R$5&gt;$D$7,0,Q25*Leadsheet!$D76)</f>
        <v>0</v>
      </c>
      <c r="S26" s="267">
        <f>IF(S$5&gt;$D$7,0,R25*Leadsheet!$D76)</f>
        <v>0</v>
      </c>
      <c r="T26" s="266">
        <f>IF(T$5&gt;$D$7,0,S25*Leadsheet!$D76)</f>
        <v>0</v>
      </c>
      <c r="U26" s="266">
        <f>IF(U$5&gt;$D$7,0,T25*Leadsheet!$D76)</f>
        <v>0</v>
      </c>
      <c r="V26" s="266">
        <f>IF(V$5&gt;$D$7,0,U25*Leadsheet!$D76)</f>
        <v>0</v>
      </c>
      <c r="W26" s="266">
        <f>IF(W$5&gt;$D$7,0,V25*Leadsheet!$D76)</f>
        <v>0</v>
      </c>
      <c r="X26" s="266">
        <f>IF(X$5&gt;$D$7,0,W25*Leadsheet!$D76)</f>
        <v>0</v>
      </c>
      <c r="Y26" s="266">
        <f>IF(Y$5&gt;$D$7,0,X25*Leadsheet!$D76)</f>
        <v>0</v>
      </c>
      <c r="Z26" s="266">
        <f>IF(Z$5&gt;$D$7,0,Y25*Leadsheet!$D76)</f>
        <v>0</v>
      </c>
      <c r="AA26" s="266">
        <f>IF(AA$5&gt;$D$7,0,Z25*Leadsheet!$D76)</f>
        <v>0</v>
      </c>
      <c r="AB26" s="266">
        <f>IF(AB$5&gt;$D$7,0,AA25*Leadsheet!$D76)</f>
        <v>0</v>
      </c>
      <c r="AC26" s="266">
        <f>IF(AC$5&gt;$D$7,0,AB25*Leadsheet!$D76)</f>
        <v>0</v>
      </c>
      <c r="AD26" s="266">
        <f>IF(AD$5&gt;$D$7,0,AC25*Leadsheet!$D76)</f>
        <v>0</v>
      </c>
      <c r="AE26" s="266">
        <f>IF(AE$5&gt;$D$7,0,AD25*Leadsheet!$D76)</f>
        <v>0</v>
      </c>
      <c r="AF26" s="266">
        <f>IF(AF$5&gt;$D$7,0,AE25*Leadsheet!$D76)</f>
        <v>0</v>
      </c>
      <c r="AG26" s="266">
        <f>IF(AG$5&gt;$D$7,0,AF25*Leadsheet!$D76)</f>
        <v>0</v>
      </c>
      <c r="AH26" s="266">
        <f>IF(AH$5&gt;$D$7,0,AG25*Leadsheet!$D76)</f>
        <v>0</v>
      </c>
      <c r="AI26" s="266">
        <f>IF(AI$5&gt;$D$7,0,AH25*Leadsheet!$D76)</f>
        <v>0</v>
      </c>
      <c r="AJ26" s="266">
        <f>IF(AJ$5&gt;$D$7,0,AI25*Leadsheet!$D76)</f>
        <v>0</v>
      </c>
      <c r="AK26" s="266">
        <f>IF(AK$5&gt;$D$7,0,AJ25*Leadsheet!$D76)</f>
        <v>0</v>
      </c>
      <c r="AL26" s="266">
        <f>IF(AL$5&gt;$D$7,0,AK25*Leadsheet!$D76)</f>
        <v>0</v>
      </c>
      <c r="AM26" s="266">
        <f>IF(AM$5&gt;$D$7,0,AL25*Leadsheet!$D76)</f>
        <v>0</v>
      </c>
      <c r="AN26" s="266">
        <f>IF(AN$5&gt;$D$7,0,AM25*Leadsheet!$D76)</f>
        <v>0</v>
      </c>
      <c r="AO26" s="266">
        <f>IF(AO$5&gt;$D$7,0,AN25*Leadsheet!$D76)</f>
        <v>0</v>
      </c>
      <c r="AP26" s="266">
        <f>IF(AP$5&gt;$D$7,0,AO25*Leadsheet!$D76)</f>
        <v>0</v>
      </c>
      <c r="AQ26" s="266">
        <f>IF(AQ$5&gt;$D$7,0,AP25*Leadsheet!$D76)</f>
        <v>0</v>
      </c>
      <c r="AR26" s="266">
        <f>IF(AR$5&gt;$D$7,0,AQ25*Leadsheet!$D76)</f>
        <v>0</v>
      </c>
      <c r="AS26" s="266">
        <f>IF(AS$5&gt;$D$7,0,AR25*Leadsheet!$D76)</f>
        <v>0</v>
      </c>
      <c r="AT26" s="266">
        <f>IF(AT$5&gt;$D$7,0,AS25*Leadsheet!$D76)</f>
        <v>0</v>
      </c>
      <c r="AU26" s="266">
        <f>IF(AU$5&gt;$D$7,0,AT25*Leadsheet!$D76)</f>
        <v>0</v>
      </c>
      <c r="AV26" s="266">
        <f>IF(AV$5&gt;$D$7,0,AU25*Leadsheet!$D76)</f>
        <v>0</v>
      </c>
      <c r="AW26" s="266">
        <f>IF(AW$5&gt;$D$7,0,AV25*Leadsheet!$D76)</f>
        <v>0</v>
      </c>
      <c r="AX26" s="266">
        <f>IF(AX$5&gt;$D$7,0,AW25*Leadsheet!$D76)</f>
        <v>0</v>
      </c>
      <c r="AY26" s="266">
        <f>IF(AY$5&gt;$D$7,0,AX25*Leadsheet!$D76)</f>
        <v>0</v>
      </c>
      <c r="AZ26" s="266">
        <f>IF(AZ$5&gt;$D$7,0,AY25*Leadsheet!$D76)</f>
        <v>0</v>
      </c>
      <c r="BA26" s="266">
        <f>IF(BA$5&gt;$D$7,0,AZ25*Leadsheet!$D76)</f>
        <v>0</v>
      </c>
      <c r="BB26" s="266">
        <f>IF(BB$5&gt;$D$7,0,BA25*Leadsheet!$D76)</f>
        <v>0</v>
      </c>
      <c r="BC26" s="266">
        <f>IF(BC$5&gt;$D$7,0,BB25*Leadsheet!$D76)</f>
        <v>0</v>
      </c>
      <c r="BD26" s="266">
        <f>IF(BD$5&gt;$D$7,0,BC25*Leadsheet!$D76)</f>
        <v>0</v>
      </c>
      <c r="BE26" s="266">
        <f>IF(BE$5&gt;$D$7,0,BD25*Leadsheet!$D76)</f>
        <v>0</v>
      </c>
      <c r="BF26" s="266">
        <f>IF(BF$5&gt;$D$7,0,BE25*Leadsheet!$D76)</f>
        <v>0</v>
      </c>
      <c r="BG26" s="266">
        <f>IF(BG$5&gt;$D$7,0,BF25*Leadsheet!$D76)</f>
        <v>0</v>
      </c>
      <c r="BH26" s="266">
        <f>IF(BH$5&gt;$D$7,0,BG25*Leadsheet!$D76)</f>
        <v>0</v>
      </c>
      <c r="BI26" s="266">
        <f>IF(BI$5&gt;$D$7,0,BH25*Leadsheet!$D76)</f>
        <v>0</v>
      </c>
      <c r="BJ26" s="266">
        <f>IF(BJ$5&gt;$D$7,0,BI25*Leadsheet!$D76)</f>
        <v>0</v>
      </c>
      <c r="BK26" s="266">
        <f>IF(BK$5&gt;$D$7,0,BJ25*Leadsheet!$D76)</f>
        <v>0</v>
      </c>
      <c r="BL26" s="266">
        <f>IF(BL$5&gt;$D$7,0,BK25*Leadsheet!$D76)</f>
        <v>0</v>
      </c>
    </row>
    <row r="27" spans="1:64" s="161" customFormat="1" x14ac:dyDescent="0.15">
      <c r="A27" s="264" t="s">
        <v>375</v>
      </c>
      <c r="B27" s="265">
        <v>60</v>
      </c>
      <c r="C27" s="89" t="s">
        <v>377</v>
      </c>
      <c r="D27" s="266"/>
      <c r="E27" s="267">
        <f>IF(E$5&gt;$D$7,0,D26*Leadsheet!$D77)</f>
        <v>0</v>
      </c>
      <c r="F27" s="267">
        <f>IF(F$5&gt;$D$7,0,E26*Leadsheet!$D77)</f>
        <v>0.20329556613942326</v>
      </c>
      <c r="G27" s="267">
        <f>IF(G$5&gt;$D$7,0,F26*Leadsheet!$D77)</f>
        <v>0</v>
      </c>
      <c r="H27" s="267">
        <f>IF(H$5&gt;$D$7,0,G26*Leadsheet!$D77)</f>
        <v>0</v>
      </c>
      <c r="I27" s="267">
        <f>IF(I$5&gt;$D$7,0,H26*Leadsheet!$D77)</f>
        <v>0</v>
      </c>
      <c r="J27" s="267">
        <f>IF(J$5&gt;$D$7,0,I26*Leadsheet!$D77)</f>
        <v>0</v>
      </c>
      <c r="K27" s="267">
        <f>IF(K$5&gt;$D$7,0,J26*Leadsheet!$D77)</f>
        <v>0</v>
      </c>
      <c r="L27" s="267">
        <f>IF(L$5&gt;$D$7,0,K26*Leadsheet!$D77)</f>
        <v>0</v>
      </c>
      <c r="M27" s="267">
        <f>IF(M$5&gt;$D$7,0,L26*Leadsheet!$D77)</f>
        <v>0</v>
      </c>
      <c r="N27" s="267">
        <f>IF(N$5&gt;$D$7,0,M26*Leadsheet!$D77)</f>
        <v>0</v>
      </c>
      <c r="O27" s="267">
        <f>IF(O$5&gt;$D$7,0,N26*Leadsheet!$D77)</f>
        <v>0</v>
      </c>
      <c r="P27" s="267">
        <f>IF(P$5&gt;$D$7,0,O26*Leadsheet!$D77)</f>
        <v>0</v>
      </c>
      <c r="Q27" s="267">
        <f>IF(Q$5&gt;$D$7,0,P26*Leadsheet!$D77)</f>
        <v>0</v>
      </c>
      <c r="R27" s="267">
        <f>IF(R$5&gt;$D$7,0,Q26*Leadsheet!$D77)</f>
        <v>0</v>
      </c>
      <c r="S27" s="267">
        <f>IF(S$5&gt;$D$7,0,R26*Leadsheet!$D77)</f>
        <v>0</v>
      </c>
      <c r="T27" s="266">
        <f>IF(T$5&gt;$D$7,0,S26*Leadsheet!$D77)</f>
        <v>0</v>
      </c>
      <c r="U27" s="266">
        <f>IF(U$5&gt;$D$7,0,T26*Leadsheet!$D77)</f>
        <v>0</v>
      </c>
      <c r="V27" s="266">
        <f>IF(V$5&gt;$D$7,0,U26*Leadsheet!$D77)</f>
        <v>0</v>
      </c>
      <c r="W27" s="266">
        <f>IF(W$5&gt;$D$7,0,V26*Leadsheet!$D77)</f>
        <v>0</v>
      </c>
      <c r="X27" s="266">
        <f>IF(X$5&gt;$D$7,0,W26*Leadsheet!$D77)</f>
        <v>0</v>
      </c>
      <c r="Y27" s="266">
        <f>IF(Y$5&gt;$D$7,0,X26*Leadsheet!$D77)</f>
        <v>0</v>
      </c>
      <c r="Z27" s="266">
        <f>IF(Z$5&gt;$D$7,0,Y26*Leadsheet!$D77)</f>
        <v>0</v>
      </c>
      <c r="AA27" s="266">
        <f>IF(AA$5&gt;$D$7,0,Z26*Leadsheet!$D77)</f>
        <v>0</v>
      </c>
      <c r="AB27" s="266">
        <f>IF(AB$5&gt;$D$7,0,AA26*Leadsheet!$D77)</f>
        <v>0</v>
      </c>
      <c r="AC27" s="266">
        <f>IF(AC$5&gt;$D$7,0,AB26*Leadsheet!$D77)</f>
        <v>0</v>
      </c>
      <c r="AD27" s="266">
        <f>IF(AD$5&gt;$D$7,0,AC26*Leadsheet!$D77)</f>
        <v>0</v>
      </c>
      <c r="AE27" s="266">
        <f>IF(AE$5&gt;$D$7,0,AD26*Leadsheet!$D77)</f>
        <v>0</v>
      </c>
      <c r="AF27" s="266">
        <f>IF(AF$5&gt;$D$7,0,AE26*Leadsheet!$D77)</f>
        <v>0</v>
      </c>
      <c r="AG27" s="266">
        <f>IF(AG$5&gt;$D$7,0,AF26*Leadsheet!$D77)</f>
        <v>0</v>
      </c>
      <c r="AH27" s="266">
        <f>IF(AH$5&gt;$D$7,0,AG26*Leadsheet!$D77)</f>
        <v>0</v>
      </c>
      <c r="AI27" s="266">
        <f>IF(AI$5&gt;$D$7,0,AH26*Leadsheet!$D77)</f>
        <v>0</v>
      </c>
      <c r="AJ27" s="266">
        <f>IF(AJ$5&gt;$D$7,0,AI26*Leadsheet!$D77)</f>
        <v>0</v>
      </c>
      <c r="AK27" s="266">
        <f>IF(AK$5&gt;$D$7,0,AJ26*Leadsheet!$D77)</f>
        <v>0</v>
      </c>
      <c r="AL27" s="266">
        <f>IF(AL$5&gt;$D$7,0,AK26*Leadsheet!$D77)</f>
        <v>0</v>
      </c>
      <c r="AM27" s="266">
        <f>IF(AM$5&gt;$D$7,0,AL26*Leadsheet!$D77)</f>
        <v>0</v>
      </c>
      <c r="AN27" s="266">
        <f>IF(AN$5&gt;$D$7,0,AM26*Leadsheet!$D77)</f>
        <v>0</v>
      </c>
      <c r="AO27" s="266">
        <f>IF(AO$5&gt;$D$7,0,AN26*Leadsheet!$D77)</f>
        <v>0</v>
      </c>
      <c r="AP27" s="266">
        <f>IF(AP$5&gt;$D$7,0,AO26*Leadsheet!$D77)</f>
        <v>0</v>
      </c>
      <c r="AQ27" s="266">
        <f>IF(AQ$5&gt;$D$7,0,AP26*Leadsheet!$D77)</f>
        <v>0</v>
      </c>
      <c r="AR27" s="266">
        <f>IF(AR$5&gt;$D$7,0,AQ26*Leadsheet!$D77)</f>
        <v>0</v>
      </c>
      <c r="AS27" s="266">
        <f>IF(AS$5&gt;$D$7,0,AR26*Leadsheet!$D77)</f>
        <v>0</v>
      </c>
      <c r="AT27" s="266">
        <f>IF(AT$5&gt;$D$7,0,AS26*Leadsheet!$D77)</f>
        <v>0</v>
      </c>
      <c r="AU27" s="266">
        <f>IF(AU$5&gt;$D$7,0,AT26*Leadsheet!$D77)</f>
        <v>0</v>
      </c>
      <c r="AV27" s="266">
        <f>IF(AV$5&gt;$D$7,0,AU26*Leadsheet!$D77)</f>
        <v>0</v>
      </c>
      <c r="AW27" s="266">
        <f>IF(AW$5&gt;$D$7,0,AV26*Leadsheet!$D77)</f>
        <v>0</v>
      </c>
      <c r="AX27" s="266">
        <f>IF(AX$5&gt;$D$7,0,AW26*Leadsheet!$D77)</f>
        <v>0</v>
      </c>
      <c r="AY27" s="266">
        <f>IF(AY$5&gt;$D$7,0,AX26*Leadsheet!$D77)</f>
        <v>0</v>
      </c>
      <c r="AZ27" s="266">
        <f>IF(AZ$5&gt;$D$7,0,AY26*Leadsheet!$D77)</f>
        <v>0</v>
      </c>
      <c r="BA27" s="266">
        <f>IF(BA$5&gt;$D$7,0,AZ26*Leadsheet!$D77)</f>
        <v>0</v>
      </c>
      <c r="BB27" s="266">
        <f>IF(BB$5&gt;$D$7,0,BA26*Leadsheet!$D77)</f>
        <v>0</v>
      </c>
      <c r="BC27" s="266">
        <f>IF(BC$5&gt;$D$7,0,BB26*Leadsheet!$D77)</f>
        <v>0</v>
      </c>
      <c r="BD27" s="266">
        <f>IF(BD$5&gt;$D$7,0,BC26*Leadsheet!$D77)</f>
        <v>0</v>
      </c>
      <c r="BE27" s="266">
        <f>IF(BE$5&gt;$D$7,0,BD26*Leadsheet!$D77)</f>
        <v>0</v>
      </c>
      <c r="BF27" s="266">
        <f>IF(BF$5&gt;$D$7,0,BE26*Leadsheet!$D77)</f>
        <v>0</v>
      </c>
      <c r="BG27" s="266">
        <f>IF(BG$5&gt;$D$7,0,BF26*Leadsheet!$D77)</f>
        <v>0</v>
      </c>
      <c r="BH27" s="266">
        <f>IF(BH$5&gt;$D$7,0,BG26*Leadsheet!$D77)</f>
        <v>0</v>
      </c>
      <c r="BI27" s="266">
        <f>IF(BI$5&gt;$D$7,0,BH26*Leadsheet!$D77)</f>
        <v>0</v>
      </c>
      <c r="BJ27" s="266">
        <f>IF(BJ$5&gt;$D$7,0,BI26*Leadsheet!$D77)</f>
        <v>0</v>
      </c>
      <c r="BK27" s="266">
        <f>IF(BK$5&gt;$D$7,0,BJ26*Leadsheet!$D77)</f>
        <v>0</v>
      </c>
      <c r="BL27" s="266">
        <f>IF(BL$5&gt;$D$7,0,BK26*Leadsheet!$D77)</f>
        <v>0</v>
      </c>
    </row>
    <row r="28" spans="1:64" s="161" customFormat="1" x14ac:dyDescent="0.15">
      <c r="A28" s="264" t="s">
        <v>375</v>
      </c>
      <c r="B28" s="265">
        <v>90</v>
      </c>
      <c r="C28" s="89" t="s">
        <v>378</v>
      </c>
      <c r="D28" s="266"/>
      <c r="E28" s="267">
        <f>IF(E$5&gt;$D$7,0,D27*Leadsheet!$D78)</f>
        <v>0</v>
      </c>
      <c r="F28" s="267">
        <f>IF(F$5&gt;$D$7,0,E27*Leadsheet!$D78)</f>
        <v>0</v>
      </c>
      <c r="G28" s="267">
        <f>IF(G$5&gt;$D$7,0,F27*Leadsheet!$D78)</f>
        <v>0.18574073153782078</v>
      </c>
      <c r="H28" s="267">
        <f>IF(H$5&gt;$D$7,0,G27*Leadsheet!$D78)</f>
        <v>0</v>
      </c>
      <c r="I28" s="267">
        <f>IF(I$5&gt;$D$7,0,H27*Leadsheet!$D78)</f>
        <v>0</v>
      </c>
      <c r="J28" s="267">
        <f>IF(J$5&gt;$D$7,0,I27*Leadsheet!$D78)</f>
        <v>0</v>
      </c>
      <c r="K28" s="267">
        <f>IF(K$5&gt;$D$7,0,J27*Leadsheet!$D78)</f>
        <v>0</v>
      </c>
      <c r="L28" s="267">
        <f>IF(L$5&gt;$D$7,0,K27*Leadsheet!$D78)</f>
        <v>0</v>
      </c>
      <c r="M28" s="267">
        <f>IF(M$5&gt;$D$7,0,L27*Leadsheet!$D78)</f>
        <v>0</v>
      </c>
      <c r="N28" s="267">
        <f>IF(N$5&gt;$D$7,0,M27*Leadsheet!$D78)</f>
        <v>0</v>
      </c>
      <c r="O28" s="267">
        <f>IF(O$5&gt;$D$7,0,N27*Leadsheet!$D78)</f>
        <v>0</v>
      </c>
      <c r="P28" s="267">
        <f>IF(P$5&gt;$D$7,0,O27*Leadsheet!$D78)</f>
        <v>0</v>
      </c>
      <c r="Q28" s="267">
        <f>IF(Q$5&gt;$D$7,0,P27*Leadsheet!$D78)</f>
        <v>0</v>
      </c>
      <c r="R28" s="267">
        <f>IF(R$5&gt;$D$7,0,Q27*Leadsheet!$D78)</f>
        <v>0</v>
      </c>
      <c r="S28" s="267">
        <f>IF(S$5&gt;$D$7,0,R27*Leadsheet!$D78)</f>
        <v>0</v>
      </c>
      <c r="T28" s="266">
        <f>IF(T$5&gt;$D$7,0,S27*Leadsheet!$D78)</f>
        <v>0</v>
      </c>
      <c r="U28" s="266">
        <f>IF(U$5&gt;$D$7,0,T27*Leadsheet!$D78)</f>
        <v>0</v>
      </c>
      <c r="V28" s="266">
        <f>IF(V$5&gt;$D$7,0,U27*Leadsheet!$D78)</f>
        <v>0</v>
      </c>
      <c r="W28" s="266">
        <f>IF(W$5&gt;$D$7,0,V27*Leadsheet!$D78)</f>
        <v>0</v>
      </c>
      <c r="X28" s="266">
        <f>IF(X$5&gt;$D$7,0,W27*Leadsheet!$D78)</f>
        <v>0</v>
      </c>
      <c r="Y28" s="266">
        <f>IF(Y$5&gt;$D$7,0,X27*Leadsheet!$D78)</f>
        <v>0</v>
      </c>
      <c r="Z28" s="266">
        <f>IF(Z$5&gt;$D$7,0,Y27*Leadsheet!$D78)</f>
        <v>0</v>
      </c>
      <c r="AA28" s="266">
        <f>IF(AA$5&gt;$D$7,0,Z27*Leadsheet!$D78)</f>
        <v>0</v>
      </c>
      <c r="AB28" s="266">
        <f>IF(AB$5&gt;$D$7,0,AA27*Leadsheet!$D78)</f>
        <v>0</v>
      </c>
      <c r="AC28" s="266">
        <f>IF(AC$5&gt;$D$7,0,AB27*Leadsheet!$D78)</f>
        <v>0</v>
      </c>
      <c r="AD28" s="266">
        <f>IF(AD$5&gt;$D$7,0,AC27*Leadsheet!$D78)</f>
        <v>0</v>
      </c>
      <c r="AE28" s="266">
        <f>IF(AE$5&gt;$D$7,0,AD27*Leadsheet!$D78)</f>
        <v>0</v>
      </c>
      <c r="AF28" s="266">
        <f>IF(AF$5&gt;$D$7,0,AE27*Leadsheet!$D78)</f>
        <v>0</v>
      </c>
      <c r="AG28" s="266">
        <f>IF(AG$5&gt;$D$7,0,AF27*Leadsheet!$D78)</f>
        <v>0</v>
      </c>
      <c r="AH28" s="266">
        <f>IF(AH$5&gt;$D$7,0,AG27*Leadsheet!$D78)</f>
        <v>0</v>
      </c>
      <c r="AI28" s="266">
        <f>IF(AI$5&gt;$D$7,0,AH27*Leadsheet!$D78)</f>
        <v>0</v>
      </c>
      <c r="AJ28" s="266">
        <f>IF(AJ$5&gt;$D$7,0,AI27*Leadsheet!$D78)</f>
        <v>0</v>
      </c>
      <c r="AK28" s="266">
        <f>IF(AK$5&gt;$D$7,0,AJ27*Leadsheet!$D78)</f>
        <v>0</v>
      </c>
      <c r="AL28" s="266">
        <f>IF(AL$5&gt;$D$7,0,AK27*Leadsheet!$D78)</f>
        <v>0</v>
      </c>
      <c r="AM28" s="266">
        <f>IF(AM$5&gt;$D$7,0,AL27*Leadsheet!$D78)</f>
        <v>0</v>
      </c>
      <c r="AN28" s="266">
        <f>IF(AN$5&gt;$D$7,0,AM27*Leadsheet!$D78)</f>
        <v>0</v>
      </c>
      <c r="AO28" s="266">
        <f>IF(AO$5&gt;$D$7,0,AN27*Leadsheet!$D78)</f>
        <v>0</v>
      </c>
      <c r="AP28" s="266">
        <f>IF(AP$5&gt;$D$7,0,AO27*Leadsheet!$D78)</f>
        <v>0</v>
      </c>
      <c r="AQ28" s="266">
        <f>IF(AQ$5&gt;$D$7,0,AP27*Leadsheet!$D78)</f>
        <v>0</v>
      </c>
      <c r="AR28" s="266">
        <f>IF(AR$5&gt;$D$7,0,AQ27*Leadsheet!$D78)</f>
        <v>0</v>
      </c>
      <c r="AS28" s="266">
        <f>IF(AS$5&gt;$D$7,0,AR27*Leadsheet!$D78)</f>
        <v>0</v>
      </c>
      <c r="AT28" s="266">
        <f>IF(AT$5&gt;$D$7,0,AS27*Leadsheet!$D78)</f>
        <v>0</v>
      </c>
      <c r="AU28" s="266">
        <f>IF(AU$5&gt;$D$7,0,AT27*Leadsheet!$D78)</f>
        <v>0</v>
      </c>
      <c r="AV28" s="266">
        <v>0</v>
      </c>
      <c r="AW28" s="266">
        <f>IF(AW$5&gt;$D$7,0,AV27*Leadsheet!$D78)</f>
        <v>0</v>
      </c>
      <c r="AX28" s="266">
        <f>IF(AX$5&gt;$D$7,0,AW27*Leadsheet!$D78)</f>
        <v>0</v>
      </c>
      <c r="AY28" s="266">
        <f>IF(AY$5&gt;$D$7,0,AX27*Leadsheet!$D78)</f>
        <v>0</v>
      </c>
      <c r="AZ28" s="266">
        <f>IF(AZ$5&gt;$D$7,0,AY27*Leadsheet!$D78)</f>
        <v>0</v>
      </c>
      <c r="BA28" s="266">
        <f>IF(BA$5&gt;$D$7,0,AZ27*Leadsheet!$D78)</f>
        <v>0</v>
      </c>
      <c r="BB28" s="266">
        <f>IF(BB$5&gt;$D$7,0,BA27*Leadsheet!$D78)</f>
        <v>0</v>
      </c>
      <c r="BC28" s="266">
        <f>IF(BC$5&gt;$D$7,0,BB27*Leadsheet!$D78)</f>
        <v>0</v>
      </c>
      <c r="BD28" s="266">
        <f>IF(BD$5&gt;$D$7,0,BC27*Leadsheet!$D78)</f>
        <v>0</v>
      </c>
      <c r="BE28" s="266">
        <f>IF(BE$5&gt;$D$7,0,BD27*Leadsheet!$D78)</f>
        <v>0</v>
      </c>
      <c r="BF28" s="266">
        <f>IF(BF$5&gt;$D$7,0,BE27*Leadsheet!$D78)</f>
        <v>0</v>
      </c>
      <c r="BG28" s="266">
        <f>IF(BG$5&gt;$D$7,0,BF27*Leadsheet!$D78)</f>
        <v>0</v>
      </c>
      <c r="BH28" s="266">
        <f>IF(BH$5&gt;$D$7,0,BG27*Leadsheet!$D78)</f>
        <v>0</v>
      </c>
      <c r="BI28" s="266">
        <f>IF(BI$5&gt;$D$7,0,BH27*Leadsheet!$D78)</f>
        <v>0</v>
      </c>
      <c r="BJ28" s="266">
        <f>IF(BJ$5&gt;$D$7,0,BI27*Leadsheet!$D78)</f>
        <v>0</v>
      </c>
      <c r="BK28" s="266">
        <f>IF(BK$5&gt;$D$7,0,BJ27*Leadsheet!$D78)</f>
        <v>0</v>
      </c>
      <c r="BL28" s="266">
        <f>IF(BL$5&gt;$D$7,0,BK27*Leadsheet!$D78)</f>
        <v>0</v>
      </c>
    </row>
    <row r="29" spans="1:64" x14ac:dyDescent="0.15">
      <c r="A29" s="268" t="s">
        <v>379</v>
      </c>
      <c r="B29" s="269">
        <v>120</v>
      </c>
      <c r="C29" s="89" t="s">
        <v>380</v>
      </c>
      <c r="D29" s="270"/>
      <c r="E29" s="267">
        <f>IF(E$5&gt;$D$7,0,D28*Leadsheet!$D79)</f>
        <v>0</v>
      </c>
      <c r="F29" s="267">
        <f>IF(F$5&gt;$D$7,0,E28*Leadsheet!$D79)</f>
        <v>0</v>
      </c>
      <c r="G29" s="267">
        <f>IF(G$5&gt;$D$7,0,F28*Leadsheet!$D79)</f>
        <v>0</v>
      </c>
      <c r="H29" s="267">
        <f>IF(H$5&gt;$D$7,0,G28*Leadsheet!$D79)</f>
        <v>0.18016850959168615</v>
      </c>
      <c r="I29" s="267">
        <f>IF(I$5&gt;$D$7,0,H28*Leadsheet!$D79)</f>
        <v>0</v>
      </c>
      <c r="J29" s="267">
        <f>IF(J$5&gt;$D$7,0,I28*Leadsheet!$D79)</f>
        <v>0</v>
      </c>
      <c r="K29" s="267">
        <f>IF(K$5&gt;$D$7,0,J28*Leadsheet!$D79)</f>
        <v>0</v>
      </c>
      <c r="L29" s="267">
        <f>IF(L$5&gt;$D$7,0,K28*Leadsheet!$D79)</f>
        <v>0</v>
      </c>
      <c r="M29" s="267">
        <f>IF(M$5&gt;$D$7,0,L28*Leadsheet!$D79)</f>
        <v>0</v>
      </c>
      <c r="N29" s="267">
        <f>IF(N$5&gt;$D$7,0,M28*Leadsheet!$D79)</f>
        <v>0</v>
      </c>
      <c r="O29" s="267">
        <f>IF(O$5&gt;$D$7,0,N28*Leadsheet!$D79)</f>
        <v>0</v>
      </c>
      <c r="P29" s="267">
        <f>IF(P$5&gt;$D$7,0,O28*Leadsheet!$D79)</f>
        <v>0</v>
      </c>
      <c r="Q29" s="267">
        <f>IF(Q$5&gt;$D$7,0,P28*Leadsheet!$D79)</f>
        <v>0</v>
      </c>
      <c r="R29" s="267">
        <f>IF(R$5&gt;$D$7,0,Q28*Leadsheet!$D79)</f>
        <v>0</v>
      </c>
      <c r="S29" s="267">
        <f>IF(S$5&gt;$D$7,0,R28*Leadsheet!$D79)</f>
        <v>0</v>
      </c>
      <c r="T29" s="266">
        <f>IF(T$5&gt;$D$7,0,S28*Leadsheet!$D79)</f>
        <v>0</v>
      </c>
      <c r="U29" s="266">
        <f>IF(U$5&gt;$D$7,0,T28*Leadsheet!$D79)</f>
        <v>0</v>
      </c>
      <c r="V29" s="266">
        <f>IF(V$5&gt;$D$7,0,U28*Leadsheet!$D79)</f>
        <v>0</v>
      </c>
      <c r="W29" s="266">
        <f>IF(W$5&gt;$D$7,0,V28*Leadsheet!$D79)</f>
        <v>0</v>
      </c>
      <c r="X29" s="266">
        <f>IF(X$5&gt;$D$7,0,W28*Leadsheet!$D79)</f>
        <v>0</v>
      </c>
      <c r="Y29" s="266">
        <f>IF(Y$5&gt;$D$7,0,X28*Leadsheet!$D79)</f>
        <v>0</v>
      </c>
      <c r="Z29" s="266">
        <f>IF(Z$5&gt;$D$7,0,Y28*Leadsheet!$D79)</f>
        <v>0</v>
      </c>
      <c r="AA29" s="266">
        <f>IF(AA$5&gt;$D$7,0,Z28*Leadsheet!$D79)</f>
        <v>0</v>
      </c>
      <c r="AB29" s="266">
        <f>IF(AB$5&gt;$D$7,0,AA28*Leadsheet!$D79)</f>
        <v>0</v>
      </c>
      <c r="AC29" s="266">
        <f>IF(AC$5&gt;$D$7,0,AB28*Leadsheet!$D79)</f>
        <v>0</v>
      </c>
      <c r="AD29" s="266">
        <f>IF(AD$5&gt;$D$7,0,AC28*Leadsheet!$D79)</f>
        <v>0</v>
      </c>
      <c r="AE29" s="266">
        <f>IF(AE$5&gt;$D$7,0,AD28*Leadsheet!$D79)</f>
        <v>0</v>
      </c>
      <c r="AF29" s="266">
        <f>IF(AF$5&gt;$D$7,0,AE28*Leadsheet!$D79)</f>
        <v>0</v>
      </c>
      <c r="AG29" s="266">
        <f>IF(AG$5&gt;$D$7,0,AF28*Leadsheet!$D79)</f>
        <v>0</v>
      </c>
      <c r="AH29" s="266">
        <f>IF(AH$5&gt;$D$7,0,AG28*Leadsheet!$D79)</f>
        <v>0</v>
      </c>
      <c r="AI29" s="266">
        <f>IF(AI$5&gt;$D$7,0,AH28*Leadsheet!$D79)</f>
        <v>0</v>
      </c>
      <c r="AJ29" s="266">
        <f>IF(AJ$5&gt;$D$7,0,AI28*Leadsheet!$D79)</f>
        <v>0</v>
      </c>
      <c r="AK29" s="266">
        <f>IF(AK$5&gt;$D$7,0,AJ28*Leadsheet!$D79)</f>
        <v>0</v>
      </c>
      <c r="AL29" s="266">
        <f>IF(AL$5&gt;$D$7,0,AK28*Leadsheet!$D79)</f>
        <v>0</v>
      </c>
      <c r="AM29" s="266">
        <f>IF(AM$5&gt;$D$7,0,AL28*Leadsheet!$D79)</f>
        <v>0</v>
      </c>
      <c r="AN29" s="266">
        <f>IF(AN$5&gt;$D$7,0,AM28*Leadsheet!$D79)</f>
        <v>0</v>
      </c>
      <c r="AO29" s="266">
        <f>IF(AO$5&gt;$D$7,0,AN28*Leadsheet!$D79)</f>
        <v>0</v>
      </c>
      <c r="AP29" s="266">
        <f>IF(AP$5&gt;$D$7,0,AO28*Leadsheet!$D79)</f>
        <v>0</v>
      </c>
      <c r="AQ29" s="266">
        <f>IF(AQ$5&gt;$D$7,0,AP28*Leadsheet!$D79)</f>
        <v>0</v>
      </c>
      <c r="AR29" s="266">
        <f>IF(AR$5&gt;$D$7,0,AQ28*Leadsheet!$D79)</f>
        <v>0</v>
      </c>
      <c r="AS29" s="266">
        <f>IF(AS$5&gt;$D$7,0,AR28*Leadsheet!$D79)</f>
        <v>0</v>
      </c>
      <c r="AT29" s="266">
        <f>IF(AT$5&gt;$D$7,0,AS28*Leadsheet!$D79)</f>
        <v>0</v>
      </c>
      <c r="AU29" s="266">
        <f>IF(AU$5&gt;$D$7,0,AT28*Leadsheet!$D79)</f>
        <v>0</v>
      </c>
      <c r="AV29" s="266">
        <f>IF(AV$5&gt;$D$7,0,AU28*Leadsheet!$D79)</f>
        <v>0</v>
      </c>
      <c r="AW29" s="266">
        <f>IF(AW$5&gt;$D$7,0,AV28*Leadsheet!$D79)</f>
        <v>0</v>
      </c>
      <c r="AX29" s="266">
        <f>IF(AX$5&gt;$D$7,0,AW28*Leadsheet!$D79)</f>
        <v>0</v>
      </c>
      <c r="AY29" s="266">
        <f>IF(AY$5&gt;$D$7,0,AX28*Leadsheet!$D79)</f>
        <v>0</v>
      </c>
      <c r="AZ29" s="266">
        <f>IF(AZ$5&gt;$D$7,0,AY28*Leadsheet!$D79)</f>
        <v>0</v>
      </c>
      <c r="BA29" s="266">
        <f>IF(BA$5&gt;$D$7,0,AZ28*Leadsheet!$D79)</f>
        <v>0</v>
      </c>
      <c r="BB29" s="266">
        <f>IF(BB$5&gt;$D$7,0,BA28*Leadsheet!$D79)</f>
        <v>0</v>
      </c>
      <c r="BC29" s="266">
        <f>IF(BC$5&gt;$D$7,0,BB28*Leadsheet!$D79)</f>
        <v>0</v>
      </c>
      <c r="BD29" s="266">
        <f>IF(BD$5&gt;$D$7,0,BC28*Leadsheet!$D79)</f>
        <v>0</v>
      </c>
      <c r="BE29" s="266">
        <f>IF(BE$5&gt;$D$7,0,BD28*Leadsheet!$D79)</f>
        <v>0</v>
      </c>
      <c r="BF29" s="266">
        <f>IF(BF$5&gt;$D$7,0,BE28*Leadsheet!$D79)</f>
        <v>0</v>
      </c>
      <c r="BG29" s="266">
        <f>IF(BG$5&gt;$D$7,0,BF28*Leadsheet!$D79)</f>
        <v>0</v>
      </c>
      <c r="BH29" s="266">
        <f>IF(BH$5&gt;$D$7,0,BG28*Leadsheet!$D79)</f>
        <v>0</v>
      </c>
      <c r="BI29" s="266">
        <f>IF(BI$5&gt;$D$7,0,BH28*Leadsheet!$D79)</f>
        <v>0</v>
      </c>
      <c r="BJ29" s="266">
        <f>IF(BJ$5&gt;$D$7,0,BI28*Leadsheet!$D79)</f>
        <v>0</v>
      </c>
      <c r="BK29" s="266">
        <f>IF(BK$5&gt;$D$7,0,BJ28*Leadsheet!$D79)</f>
        <v>0</v>
      </c>
      <c r="BL29" s="266">
        <f>IF(BL$5&gt;$D$7,0,BK28*Leadsheet!$D79)</f>
        <v>0</v>
      </c>
    </row>
    <row r="30" spans="1:64" x14ac:dyDescent="0.15">
      <c r="A30" s="268" t="s">
        <v>379</v>
      </c>
      <c r="B30" s="269">
        <v>150</v>
      </c>
      <c r="C30" s="89" t="s">
        <v>381</v>
      </c>
      <c r="D30" s="270"/>
      <c r="E30" s="267">
        <f>IF(E$5&gt;$D$7,0,D29*Leadsheet!$D80)</f>
        <v>0</v>
      </c>
      <c r="F30" s="267">
        <f>IF(F$5&gt;$D$7,0,E29*Leadsheet!$D80)</f>
        <v>0</v>
      </c>
      <c r="G30" s="267">
        <f>IF(G$5&gt;$D$7,0,F29*Leadsheet!$D80)</f>
        <v>0</v>
      </c>
      <c r="H30" s="267">
        <f>IF(H$5&gt;$D$7,0,G29*Leadsheet!$D80)</f>
        <v>0</v>
      </c>
      <c r="I30" s="267">
        <f>IF(I$5&gt;$D$7,0,H29*Leadsheet!$D80)</f>
        <v>0.17836682449576929</v>
      </c>
      <c r="J30" s="267">
        <f>IF(J$5&gt;$D$7,0,I29*Leadsheet!$D80)</f>
        <v>0</v>
      </c>
      <c r="K30" s="267">
        <f>IF(K$5&gt;$D$7,0,J29*Leadsheet!$D80)</f>
        <v>0</v>
      </c>
      <c r="L30" s="267">
        <f>IF(L$5&gt;$D$7,0,K29*Leadsheet!$D80)</f>
        <v>0</v>
      </c>
      <c r="M30" s="267">
        <f>IF(M$5&gt;$D$7,0,L29*Leadsheet!$D80)</f>
        <v>0</v>
      </c>
      <c r="N30" s="267">
        <f>IF(N$5&gt;$D$7,0,M29*Leadsheet!$D80)</f>
        <v>0</v>
      </c>
      <c r="O30" s="267">
        <f>IF(O$5&gt;$D$7,0,N29*Leadsheet!$D80)</f>
        <v>0</v>
      </c>
      <c r="P30" s="267">
        <f>IF(P$5&gt;$D$7,0,O29*Leadsheet!$D80)</f>
        <v>0</v>
      </c>
      <c r="Q30" s="267">
        <f>IF(Q$5&gt;$D$7,0,P29*Leadsheet!$D80)</f>
        <v>0</v>
      </c>
      <c r="R30" s="267">
        <f>IF(R$5&gt;$D$7,0,Q29*Leadsheet!$D80)</f>
        <v>0</v>
      </c>
      <c r="S30" s="267">
        <f>IF(S$5&gt;$D$7,0,R29*Leadsheet!$D80)</f>
        <v>0</v>
      </c>
      <c r="T30" s="266">
        <f>IF(T$5&gt;$D$7,0,S29*Leadsheet!$D80)</f>
        <v>0</v>
      </c>
      <c r="U30" s="266">
        <f>IF(U$5&gt;$D$7,0,T29*Leadsheet!$D80)</f>
        <v>0</v>
      </c>
      <c r="V30" s="266">
        <f>IF(V$5&gt;$D$7,0,U29*Leadsheet!$D80)</f>
        <v>0</v>
      </c>
      <c r="W30" s="266">
        <f>IF(W$5&gt;$D$7,0,V29*Leadsheet!$D80)</f>
        <v>0</v>
      </c>
      <c r="X30" s="266">
        <f>IF(X$5&gt;$D$7,0,W29*Leadsheet!$D80)</f>
        <v>0</v>
      </c>
      <c r="Y30" s="266">
        <f>IF(Y$5&gt;$D$7,0,X29*Leadsheet!$D80)</f>
        <v>0</v>
      </c>
      <c r="Z30" s="266">
        <f>IF(Z$5&gt;$D$7,0,Y29*Leadsheet!$D80)</f>
        <v>0</v>
      </c>
      <c r="AA30" s="266">
        <f>IF(AA$5&gt;$D$7,0,Z29*Leadsheet!$D80)</f>
        <v>0</v>
      </c>
      <c r="AB30" s="266">
        <f>IF(AB$5&gt;$D$7,0,AA29*Leadsheet!$D80)</f>
        <v>0</v>
      </c>
      <c r="AC30" s="266">
        <f>IF(AC$5&gt;$D$7,0,AB29*Leadsheet!$D80)</f>
        <v>0</v>
      </c>
      <c r="AD30" s="266">
        <f>IF(AD$5&gt;$D$7,0,AC29*Leadsheet!$D80)</f>
        <v>0</v>
      </c>
      <c r="AE30" s="266">
        <f>IF(AE$5&gt;$D$7,0,AD29*Leadsheet!$D80)</f>
        <v>0</v>
      </c>
      <c r="AF30" s="266">
        <f>IF(AF$5&gt;$D$7,0,AE29*Leadsheet!$D80)</f>
        <v>0</v>
      </c>
      <c r="AG30" s="266">
        <f>IF(AG$5&gt;$D$7,0,AF29*Leadsheet!$D80)</f>
        <v>0</v>
      </c>
      <c r="AH30" s="266">
        <f>IF(AH$5&gt;$D$7,0,AG29*Leadsheet!$D80)</f>
        <v>0</v>
      </c>
      <c r="AI30" s="266">
        <f>IF(AI$5&gt;$D$7,0,AH29*Leadsheet!$D80)</f>
        <v>0</v>
      </c>
      <c r="AJ30" s="266">
        <f>IF(AJ$5&gt;$D$7,0,AI29*Leadsheet!$D80)</f>
        <v>0</v>
      </c>
      <c r="AK30" s="266">
        <f>IF(AK$5&gt;$D$7,0,AJ29*Leadsheet!$D80)</f>
        <v>0</v>
      </c>
      <c r="AL30" s="266">
        <f>IF(AL$5&gt;$D$7,0,AK29*Leadsheet!$D80)</f>
        <v>0</v>
      </c>
      <c r="AM30" s="266">
        <f>IF(AM$5&gt;$D$7,0,AL29*Leadsheet!$D80)</f>
        <v>0</v>
      </c>
      <c r="AN30" s="266">
        <f>IF(AN$5&gt;$D$7,0,AM29*Leadsheet!$D80)</f>
        <v>0</v>
      </c>
      <c r="AO30" s="266">
        <f>IF(AO$5&gt;$D$7,0,AN29*Leadsheet!$D80)</f>
        <v>0</v>
      </c>
      <c r="AP30" s="266">
        <f>IF(AP$5&gt;$D$7,0,AO29*Leadsheet!$D80)</f>
        <v>0</v>
      </c>
      <c r="AQ30" s="266">
        <f>IF(AQ$5&gt;$D$7,0,AP29*Leadsheet!$D80)</f>
        <v>0</v>
      </c>
      <c r="AR30" s="266">
        <f>IF(AR$5&gt;$D$7,0,AQ29*Leadsheet!$D80)</f>
        <v>0</v>
      </c>
      <c r="AS30" s="266">
        <f>IF(AS$5&gt;$D$7,0,AR29*Leadsheet!$D80)</f>
        <v>0</v>
      </c>
      <c r="AT30" s="266">
        <f>IF(AT$5&gt;$D$7,0,AS29*Leadsheet!$D80)</f>
        <v>0</v>
      </c>
      <c r="AU30" s="266">
        <f>IF(AU$5&gt;$D$7,0,AT29*Leadsheet!$D80)</f>
        <v>0</v>
      </c>
      <c r="AV30" s="266">
        <f>IF(AV$5&gt;$D$7,0,AU29*Leadsheet!$D80)</f>
        <v>0</v>
      </c>
      <c r="AW30" s="266">
        <f>IF(AW$5&gt;$D$7,0,AV29*Leadsheet!$D80)</f>
        <v>0</v>
      </c>
      <c r="AX30" s="266">
        <f>IF(AX$5&gt;$D$7,0,AW29*Leadsheet!$D80)</f>
        <v>0</v>
      </c>
      <c r="AY30" s="266">
        <f>IF(AY$5&gt;$D$7,0,AX29*Leadsheet!$D80)</f>
        <v>0</v>
      </c>
      <c r="AZ30" s="266">
        <f>IF(AZ$5&gt;$D$7,0,AY29*Leadsheet!$D80)</f>
        <v>0</v>
      </c>
      <c r="BA30" s="266">
        <f>IF(BA$5&gt;$D$7,0,AZ29*Leadsheet!$D80)</f>
        <v>0</v>
      </c>
      <c r="BB30" s="266">
        <f>IF(BB$5&gt;$D$7,0,BA29*Leadsheet!$D80)</f>
        <v>0</v>
      </c>
      <c r="BC30" s="266">
        <f>IF(BC$5&gt;$D$7,0,BB29*Leadsheet!$D80)</f>
        <v>0</v>
      </c>
      <c r="BD30" s="266">
        <f>IF(BD$5&gt;$D$7,0,BC29*Leadsheet!$D80)</f>
        <v>0</v>
      </c>
      <c r="BE30" s="266">
        <f>IF(BE$5&gt;$D$7,0,BD29*Leadsheet!$D80)</f>
        <v>0</v>
      </c>
      <c r="BF30" s="266">
        <f>IF(BF$5&gt;$D$7,0,BE29*Leadsheet!$D80)</f>
        <v>0</v>
      </c>
      <c r="BG30" s="266">
        <f>IF(BG$5&gt;$D$7,0,BF29*Leadsheet!$D80)</f>
        <v>0</v>
      </c>
      <c r="BH30" s="266">
        <f>IF(BH$5&gt;$D$7,0,BG29*Leadsheet!$D80)</f>
        <v>0</v>
      </c>
      <c r="BI30" s="266">
        <f>IF(BI$5&gt;$D$7,0,BH29*Leadsheet!$D80)</f>
        <v>0</v>
      </c>
      <c r="BJ30" s="266">
        <f>IF(BJ$5&gt;$D$7,0,BI29*Leadsheet!$D80)</f>
        <v>0</v>
      </c>
      <c r="BK30" s="266">
        <f>IF(BK$5&gt;$D$7,0,BJ29*Leadsheet!$D80)</f>
        <v>0</v>
      </c>
      <c r="BL30" s="266">
        <f>IF(BL$5&gt;$D$7,0,BK29*Leadsheet!$D80)</f>
        <v>0</v>
      </c>
    </row>
    <row r="31" spans="1:64" s="163" customFormat="1" x14ac:dyDescent="0.15">
      <c r="A31" s="268" t="s">
        <v>379</v>
      </c>
      <c r="B31" s="269">
        <v>180</v>
      </c>
      <c r="C31" s="89" t="s">
        <v>382</v>
      </c>
      <c r="D31" s="271"/>
      <c r="E31" s="267">
        <f>IF(E$5&gt;$D$7,0,D30*Leadsheet!$D81)</f>
        <v>0</v>
      </c>
      <c r="F31" s="267">
        <f>IF(F$5&gt;$D$7,0,E30*Leadsheet!$D81)</f>
        <v>0</v>
      </c>
      <c r="G31" s="267">
        <f>IF(G$5&gt;$D$7,0,F30*Leadsheet!$D81)</f>
        <v>0</v>
      </c>
      <c r="H31" s="267">
        <f>IF(H$5&gt;$D$7,0,G30*Leadsheet!$D81)</f>
        <v>0</v>
      </c>
      <c r="I31" s="267">
        <f>IF(I$5&gt;$D$7,0,H30*Leadsheet!$D81)</f>
        <v>0</v>
      </c>
      <c r="J31" s="267">
        <f>IF(J$5&gt;$D$7,0,I30*Leadsheet!$D81)</f>
        <v>0.17658315625081161</v>
      </c>
      <c r="K31" s="267">
        <f>IF(K$5&gt;$D$7,0,J30*Leadsheet!$D81)</f>
        <v>0</v>
      </c>
      <c r="L31" s="267">
        <f>IF(L$5&gt;$D$7,0,K30*Leadsheet!$D81)</f>
        <v>0</v>
      </c>
      <c r="M31" s="267">
        <f>IF(M$5&gt;$D$7,0,L30*Leadsheet!$D81)</f>
        <v>0</v>
      </c>
      <c r="N31" s="267">
        <f>IF(N$5&gt;$D$7,0,M30*Leadsheet!$D81)</f>
        <v>0</v>
      </c>
      <c r="O31" s="267">
        <f>IF(O$5&gt;$D$7,0,N30*Leadsheet!$D81)</f>
        <v>0</v>
      </c>
      <c r="P31" s="267">
        <f>IF(P$5&gt;$D$7,0,O30*Leadsheet!$D81)</f>
        <v>0</v>
      </c>
      <c r="Q31" s="267">
        <f>IF(Q$5&gt;$D$7,0,P30*Leadsheet!$D81)</f>
        <v>0</v>
      </c>
      <c r="R31" s="267">
        <f>IF(R$5&gt;$D$7,0,Q30*Leadsheet!$D81)</f>
        <v>0</v>
      </c>
      <c r="S31" s="267">
        <f>IF(S$5&gt;$D$7,0,R30*Leadsheet!$D81)</f>
        <v>0</v>
      </c>
      <c r="T31" s="266">
        <f>IF(T$5&gt;$D$7,0,S30*Leadsheet!$D81)</f>
        <v>0</v>
      </c>
      <c r="U31" s="266">
        <f>IF(U$5&gt;$D$7,0,T30*Leadsheet!$D81)</f>
        <v>0</v>
      </c>
      <c r="V31" s="266">
        <f>IF(V$5&gt;$D$7,0,U30*Leadsheet!$D81)</f>
        <v>0</v>
      </c>
      <c r="W31" s="266">
        <f>IF(W$5&gt;$D$7,0,V30*Leadsheet!$D81)</f>
        <v>0</v>
      </c>
      <c r="X31" s="266">
        <f>IF(X$5&gt;$D$7,0,W30*Leadsheet!$D81)</f>
        <v>0</v>
      </c>
      <c r="Y31" s="266">
        <f>IF(Y$5&gt;$D$7,0,X30*Leadsheet!$D81)</f>
        <v>0</v>
      </c>
      <c r="Z31" s="266">
        <f>IF(Z$5&gt;$D$7,0,Y30*Leadsheet!$D81)</f>
        <v>0</v>
      </c>
      <c r="AA31" s="266">
        <f>IF(AA$5&gt;$D$7,0,Z30*Leadsheet!$D81)</f>
        <v>0</v>
      </c>
      <c r="AB31" s="266">
        <f>IF(AB$5&gt;$D$7,0,AA30*Leadsheet!$D81)</f>
        <v>0</v>
      </c>
      <c r="AC31" s="266">
        <f>IF(AC$5&gt;$D$7,0,AB30*Leadsheet!$D81)</f>
        <v>0</v>
      </c>
      <c r="AD31" s="266">
        <f>IF(AD$5&gt;$D$7,0,AC30*Leadsheet!$D81)</f>
        <v>0</v>
      </c>
      <c r="AE31" s="266">
        <f>IF(AE$5&gt;$D$7,0,AD30*Leadsheet!$D81)</f>
        <v>0</v>
      </c>
      <c r="AF31" s="266">
        <f>IF(AF$5&gt;$D$7,0,AE30*Leadsheet!$D81)</f>
        <v>0</v>
      </c>
      <c r="AG31" s="266">
        <f>IF(AG$5&gt;$D$7,0,AF30*Leadsheet!$D81)</f>
        <v>0</v>
      </c>
      <c r="AH31" s="266">
        <f>IF(AH$5&gt;$D$7,0,AG30*Leadsheet!$D81)</f>
        <v>0</v>
      </c>
      <c r="AI31" s="266">
        <f>IF(AI$5&gt;$D$7,0,AH30*Leadsheet!$D81)</f>
        <v>0</v>
      </c>
      <c r="AJ31" s="266">
        <f>IF(AJ$5&gt;$D$7,0,AI30*Leadsheet!$D81)</f>
        <v>0</v>
      </c>
      <c r="AK31" s="266">
        <f>IF(AK$5&gt;$D$7,0,AJ30*Leadsheet!$D81)</f>
        <v>0</v>
      </c>
      <c r="AL31" s="266">
        <f>IF(AL$5&gt;$D$7,0,AK30*Leadsheet!$D81)</f>
        <v>0</v>
      </c>
      <c r="AM31" s="266">
        <f>IF(AM$5&gt;$D$7,0,AL30*Leadsheet!$D81)</f>
        <v>0</v>
      </c>
      <c r="AN31" s="266">
        <f>IF(AN$5&gt;$D$7,0,AM30*Leadsheet!$D81)</f>
        <v>0</v>
      </c>
      <c r="AO31" s="266">
        <f>IF(AO$5&gt;$D$7,0,AN30*Leadsheet!$D81)</f>
        <v>0</v>
      </c>
      <c r="AP31" s="266">
        <f>IF(AP$5&gt;$D$7,0,AO30*Leadsheet!$D81)</f>
        <v>0</v>
      </c>
      <c r="AQ31" s="266">
        <f>IF(AQ$5&gt;$D$7,0,AP30*Leadsheet!$D81)</f>
        <v>0</v>
      </c>
      <c r="AR31" s="266">
        <f>IF(AR$5&gt;$D$7,0,AQ30*Leadsheet!$D81)</f>
        <v>0</v>
      </c>
      <c r="AS31" s="266">
        <f>IF(AS$5&gt;$D$7,0,AR30*Leadsheet!$D81)</f>
        <v>0</v>
      </c>
      <c r="AT31" s="266">
        <f>IF(AT$5&gt;$D$7,0,AS30*Leadsheet!$D81)</f>
        <v>0</v>
      </c>
      <c r="AU31" s="266">
        <f>IF(AU$5&gt;$D$7,0,AT30*Leadsheet!$D81)</f>
        <v>0</v>
      </c>
      <c r="AV31" s="266">
        <f>IF(AV$5&gt;$D$7,0,AU30*Leadsheet!$D81)</f>
        <v>0</v>
      </c>
      <c r="AW31" s="266">
        <f>IF(AW$5&gt;$D$7,0,AV30*Leadsheet!$D81)</f>
        <v>0</v>
      </c>
      <c r="AX31" s="266">
        <f>IF(AX$5&gt;$D$7,0,AW30*Leadsheet!$D81)</f>
        <v>0</v>
      </c>
      <c r="AY31" s="266">
        <f>IF(AY$5&gt;$D$7,0,AX30*Leadsheet!$D81)</f>
        <v>0</v>
      </c>
      <c r="AZ31" s="266">
        <f>IF(AZ$5&gt;$D$7,0,AY30*Leadsheet!$D81)</f>
        <v>0</v>
      </c>
      <c r="BA31" s="266">
        <f>IF(BA$5&gt;$D$7,0,AZ30*Leadsheet!$D81)</f>
        <v>0</v>
      </c>
      <c r="BB31" s="266">
        <f>IF(BB$5&gt;$D$7,0,BA30*Leadsheet!$D81)</f>
        <v>0</v>
      </c>
      <c r="BC31" s="266">
        <f>IF(BC$5&gt;$D$7,0,BB30*Leadsheet!$D81)</f>
        <v>0</v>
      </c>
      <c r="BD31" s="266">
        <f>IF(BD$5&gt;$D$7,0,BC30*Leadsheet!$D81)</f>
        <v>0</v>
      </c>
      <c r="BE31" s="266">
        <f>IF(BE$5&gt;$D$7,0,BD30*Leadsheet!$D81)</f>
        <v>0</v>
      </c>
      <c r="BF31" s="266">
        <f>IF(BF$5&gt;$D$7,0,BE30*Leadsheet!$D81)</f>
        <v>0</v>
      </c>
      <c r="BG31" s="266">
        <f>IF(BG$5&gt;$D$7,0,BF30*Leadsheet!$D81)</f>
        <v>0</v>
      </c>
      <c r="BH31" s="266">
        <f>IF(BH$5&gt;$D$7,0,BG30*Leadsheet!$D81)</f>
        <v>0</v>
      </c>
      <c r="BI31" s="266">
        <f>IF(BI$5&gt;$D$7,0,BH30*Leadsheet!$D81)</f>
        <v>0</v>
      </c>
      <c r="BJ31" s="266">
        <f>IF(BJ$5&gt;$D$7,0,BI30*Leadsheet!$D81)</f>
        <v>0</v>
      </c>
      <c r="BK31" s="266">
        <f>IF(BK$5&gt;$D$7,0,BJ30*Leadsheet!$D81)</f>
        <v>0</v>
      </c>
      <c r="BL31" s="266">
        <f>IF(BL$5&gt;$D$7,0,BK30*Leadsheet!$D81)</f>
        <v>0</v>
      </c>
    </row>
    <row r="32" spans="1:64" s="163" customFormat="1" x14ac:dyDescent="0.15">
      <c r="A32" s="268" t="s">
        <v>383</v>
      </c>
      <c r="B32" s="269">
        <v>210</v>
      </c>
      <c r="C32" s="89" t="s">
        <v>384</v>
      </c>
      <c r="D32" s="271"/>
      <c r="E32" s="267">
        <f>IF(E$5&gt;$D$7,0,D31*Leadsheet!$D82)</f>
        <v>0</v>
      </c>
      <c r="F32" s="267">
        <f>IF(F$5&gt;$D$7,0,E31*Leadsheet!$D82)</f>
        <v>0</v>
      </c>
      <c r="G32" s="267">
        <f>IF(G$5&gt;$D$7,0,F31*Leadsheet!$D82)</f>
        <v>0</v>
      </c>
      <c r="H32" s="267">
        <f>IF(H$5&gt;$D$7,0,G31*Leadsheet!$D82)</f>
        <v>0</v>
      </c>
      <c r="I32" s="267">
        <f>IF(I$5&gt;$D$7,0,H31*Leadsheet!$D82)</f>
        <v>0</v>
      </c>
      <c r="J32" s="267">
        <f>IF(J$5&gt;$D$7,0,I31*Leadsheet!$D82)</f>
        <v>0</v>
      </c>
      <c r="K32" s="267">
        <f>IF(K$5&gt;$D$7,0,J31*Leadsheet!$D82)</f>
        <v>0.17570024046955757</v>
      </c>
      <c r="L32" s="267">
        <f>IF(L$5&gt;$D$7,0,K31*Leadsheet!$D82)</f>
        <v>0</v>
      </c>
      <c r="M32" s="267">
        <f>IF(M$5&gt;$D$7,0,L31*Leadsheet!$D82)</f>
        <v>0</v>
      </c>
      <c r="N32" s="267">
        <f>IF(N$5&gt;$D$7,0,M31*Leadsheet!$D82)</f>
        <v>0</v>
      </c>
      <c r="O32" s="267">
        <f>IF(O$5&gt;$D$7,0,N31*Leadsheet!$D82)</f>
        <v>0</v>
      </c>
      <c r="P32" s="267">
        <f>IF(P$5&gt;$D$7,0,O31*Leadsheet!$D82)</f>
        <v>0</v>
      </c>
      <c r="Q32" s="267">
        <f>IF(Q$5&gt;$D$7,0,P31*Leadsheet!$D82)</f>
        <v>0</v>
      </c>
      <c r="R32" s="267">
        <f>IF(R$5&gt;$D$7,0,Q31*Leadsheet!$D82)</f>
        <v>0</v>
      </c>
      <c r="S32" s="267">
        <f>IF(S$5&gt;$D$7,0,R31*Leadsheet!$D82)</f>
        <v>0</v>
      </c>
      <c r="T32" s="266">
        <f>IF(T$5&gt;$D$7,0,S31*Leadsheet!$D82)</f>
        <v>0</v>
      </c>
      <c r="U32" s="266">
        <f>IF(U$5&gt;$D$7,0,T31*Leadsheet!$D82)</f>
        <v>0</v>
      </c>
      <c r="V32" s="266">
        <f>IF(V$5&gt;$D$7,0,U31*Leadsheet!$D82)</f>
        <v>0</v>
      </c>
      <c r="W32" s="266">
        <f>IF(W$5&gt;$D$7,0,V31*Leadsheet!$D82)</f>
        <v>0</v>
      </c>
      <c r="X32" s="266">
        <f>IF(X$5&gt;$D$7,0,W31*Leadsheet!$D82)</f>
        <v>0</v>
      </c>
      <c r="Y32" s="266">
        <f>IF(Y$5&gt;$D$7,0,X31*Leadsheet!$D82)</f>
        <v>0</v>
      </c>
      <c r="Z32" s="266">
        <f>IF(Z$5&gt;$D$7,0,Y31*Leadsheet!$D82)</f>
        <v>0</v>
      </c>
      <c r="AA32" s="266">
        <f>IF(AA$5&gt;$D$7,0,Z31*Leadsheet!$D82)</f>
        <v>0</v>
      </c>
      <c r="AB32" s="266">
        <f>IF(AB$5&gt;$D$7,0,AA31*Leadsheet!$D82)</f>
        <v>0</v>
      </c>
      <c r="AC32" s="266">
        <f>IF(AC$5&gt;$D$7,0,AB31*Leadsheet!$D82)</f>
        <v>0</v>
      </c>
      <c r="AD32" s="266">
        <f>IF(AD$5&gt;$D$7,0,AC31*Leadsheet!$D82)</f>
        <v>0</v>
      </c>
      <c r="AE32" s="266">
        <f>IF(AE$5&gt;$D$7,0,AD31*Leadsheet!$D82)</f>
        <v>0</v>
      </c>
      <c r="AF32" s="266">
        <f>IF(AF$5&gt;$D$7,0,AE31*Leadsheet!$D82)</f>
        <v>0</v>
      </c>
      <c r="AG32" s="266">
        <f>IF(AG$5&gt;$D$7,0,AF31*Leadsheet!$D82)</f>
        <v>0</v>
      </c>
      <c r="AH32" s="266">
        <f>IF(AH$5&gt;$D$7,0,AG31*Leadsheet!$D82)</f>
        <v>0</v>
      </c>
      <c r="AI32" s="266">
        <f>IF(AI$5&gt;$D$7,0,AH31*Leadsheet!$D82)</f>
        <v>0</v>
      </c>
      <c r="AJ32" s="266">
        <f>IF(AJ$5&gt;$D$7,0,AI31*Leadsheet!$D82)</f>
        <v>0</v>
      </c>
      <c r="AK32" s="266">
        <f>IF(AK$5&gt;$D$7,0,AJ31*Leadsheet!$D82)</f>
        <v>0</v>
      </c>
      <c r="AL32" s="266">
        <f>IF(AL$5&gt;$D$7,0,AK31*Leadsheet!$D82)</f>
        <v>0</v>
      </c>
      <c r="AM32" s="266">
        <f>IF(AM$5&gt;$D$7,0,AL31*Leadsheet!$D82)</f>
        <v>0</v>
      </c>
      <c r="AN32" s="266">
        <f>IF(AN$5&gt;$D$7,0,AM31*Leadsheet!$D82)</f>
        <v>0</v>
      </c>
      <c r="AO32" s="266">
        <f>IF(AO$5&gt;$D$7,0,AN31*Leadsheet!$D82)</f>
        <v>0</v>
      </c>
      <c r="AP32" s="266">
        <f>IF(AP$5&gt;$D$7,0,AO31*Leadsheet!$D82)</f>
        <v>0</v>
      </c>
      <c r="AQ32" s="266">
        <f>IF(AQ$5&gt;$D$7,0,AP31*Leadsheet!$D82)</f>
        <v>0</v>
      </c>
      <c r="AR32" s="266">
        <f>IF(AR$5&gt;$D$7,0,AQ31*Leadsheet!$D82)</f>
        <v>0</v>
      </c>
      <c r="AS32" s="266">
        <f>IF(AS$5&gt;$D$7,0,AR31*Leadsheet!$D82)</f>
        <v>0</v>
      </c>
      <c r="AT32" s="266">
        <f>IF(AT$5&gt;$D$7,0,AS31*Leadsheet!$D82)</f>
        <v>0</v>
      </c>
      <c r="AU32" s="266">
        <f>IF(AU$5&gt;$D$7,0,AT31*Leadsheet!$D82)</f>
        <v>0</v>
      </c>
      <c r="AV32" s="266">
        <f>IF(AV$5&gt;$D$7,0,AU31*Leadsheet!$D82)</f>
        <v>0</v>
      </c>
      <c r="AW32" s="266">
        <f>IF(AW$5&gt;$D$7,0,AV31*Leadsheet!$D82)</f>
        <v>0</v>
      </c>
      <c r="AX32" s="266">
        <f>IF(AX$5&gt;$D$7,0,AW31*Leadsheet!$D82)</f>
        <v>0</v>
      </c>
      <c r="AY32" s="266">
        <f>IF(AY$5&gt;$D$7,0,AX31*Leadsheet!$D82)</f>
        <v>0</v>
      </c>
      <c r="AZ32" s="266">
        <f>IF(AZ$5&gt;$D$7,0,AY31*Leadsheet!$D82)</f>
        <v>0</v>
      </c>
      <c r="BA32" s="266">
        <f>IF(BA$5&gt;$D$7,0,AZ31*Leadsheet!$D82)</f>
        <v>0</v>
      </c>
      <c r="BB32" s="266">
        <f>IF(BB$5&gt;$D$7,0,BA31*Leadsheet!$D82)</f>
        <v>0</v>
      </c>
      <c r="BC32" s="266">
        <f>IF(BC$5&gt;$D$7,0,BB31*Leadsheet!$D82)</f>
        <v>0</v>
      </c>
      <c r="BD32" s="266">
        <f>IF(BD$5&gt;$D$7,0,BC31*Leadsheet!$D82)</f>
        <v>0</v>
      </c>
      <c r="BE32" s="266">
        <f>IF(BE$5&gt;$D$7,0,BD31*Leadsheet!$D82)</f>
        <v>0</v>
      </c>
      <c r="BF32" s="266">
        <f>IF(BF$5&gt;$D$7,0,BE31*Leadsheet!$D82)</f>
        <v>0</v>
      </c>
      <c r="BG32" s="266">
        <f>IF(BG$5&gt;$D$7,0,BF31*Leadsheet!$D82)</f>
        <v>0</v>
      </c>
      <c r="BH32" s="266">
        <f>IF(BH$5&gt;$D$7,0,BG31*Leadsheet!$D82)</f>
        <v>0</v>
      </c>
      <c r="BI32" s="266">
        <f>IF(BI$5&gt;$D$7,0,BH31*Leadsheet!$D82)</f>
        <v>0</v>
      </c>
      <c r="BJ32" s="266">
        <f>IF(BJ$5&gt;$D$7,0,BI31*Leadsheet!$D82)</f>
        <v>0</v>
      </c>
      <c r="BK32" s="266">
        <f>IF(BK$5&gt;$D$7,0,BJ31*Leadsheet!$D82)</f>
        <v>0</v>
      </c>
      <c r="BL32" s="266">
        <f>IF(BL$5&gt;$D$7,0,BK31*Leadsheet!$D82)</f>
        <v>0</v>
      </c>
    </row>
    <row r="33" spans="1:64" s="163" customFormat="1" x14ac:dyDescent="0.15">
      <c r="A33" s="268" t="s">
        <v>383</v>
      </c>
      <c r="B33" s="269">
        <v>240</v>
      </c>
      <c r="C33" s="89" t="s">
        <v>385</v>
      </c>
      <c r="D33" s="271"/>
      <c r="E33" s="267">
        <f>IF(E$5&gt;$D$7,0,D32*Leadsheet!$D83)</f>
        <v>0</v>
      </c>
      <c r="F33" s="267">
        <f>IF(F$5&gt;$D$7,0,E32*Leadsheet!$D83)</f>
        <v>0</v>
      </c>
      <c r="G33" s="267">
        <f>IF(G$5&gt;$D$7,0,F32*Leadsheet!$D83)</f>
        <v>0</v>
      </c>
      <c r="H33" s="267">
        <f>IF(H$5&gt;$D$7,0,G32*Leadsheet!$D83)</f>
        <v>0</v>
      </c>
      <c r="I33" s="267">
        <f>IF(I$5&gt;$D$7,0,H32*Leadsheet!$D83)</f>
        <v>0</v>
      </c>
      <c r="J33" s="267">
        <f>IF(J$5&gt;$D$7,0,I32*Leadsheet!$D83)</f>
        <v>0</v>
      </c>
      <c r="K33" s="267">
        <f>IF(K$5&gt;$D$7,0,J32*Leadsheet!$D83)</f>
        <v>0</v>
      </c>
      <c r="L33" s="267">
        <f>IF(L$5&gt;$D$7,0,K32*Leadsheet!$D83)</f>
        <v>0</v>
      </c>
      <c r="M33" s="267">
        <f>IF(M$5&gt;$D$7,0,L32*Leadsheet!$D83)</f>
        <v>0</v>
      </c>
      <c r="N33" s="267">
        <f>IF(N$5&gt;$D$7,0,M32*Leadsheet!$D83)</f>
        <v>0</v>
      </c>
      <c r="O33" s="267">
        <f>IF(O$5&gt;$D$7,0,N32*Leadsheet!$D83)</f>
        <v>0</v>
      </c>
      <c r="P33" s="267">
        <f>IF(P$5&gt;$D$7,0,O32*Leadsheet!$D83)</f>
        <v>0</v>
      </c>
      <c r="Q33" s="267">
        <f>IF(Q$5&gt;$D$7,0,P32*Leadsheet!$D83)</f>
        <v>0</v>
      </c>
      <c r="R33" s="267">
        <f>IF(R$5&gt;$D$7,0,Q32*Leadsheet!$D83)</f>
        <v>0</v>
      </c>
      <c r="S33" s="267">
        <f>IF(S$5&gt;$D$7,0,R32*Leadsheet!$D83)</f>
        <v>0</v>
      </c>
      <c r="T33" s="266">
        <f>IF(T$5&gt;$D$7,0,S32*Leadsheet!$D83)</f>
        <v>0</v>
      </c>
      <c r="U33" s="266">
        <f>IF(U$5&gt;$D$7,0,T32*Leadsheet!$D83)</f>
        <v>0</v>
      </c>
      <c r="V33" s="266">
        <f>IF(V$5&gt;$D$7,0,U32*Leadsheet!$D83)</f>
        <v>0</v>
      </c>
      <c r="W33" s="266">
        <f>IF(W$5&gt;$D$7,0,V32*Leadsheet!$D83)</f>
        <v>0</v>
      </c>
      <c r="X33" s="266">
        <f>IF(X$5&gt;$D$7,0,W32*Leadsheet!$D83)</f>
        <v>0</v>
      </c>
      <c r="Y33" s="266">
        <f>IF(Y$5&gt;$D$7,0,X32*Leadsheet!$D83)</f>
        <v>0</v>
      </c>
      <c r="Z33" s="266">
        <f>IF(Z$5&gt;$D$7,0,Y32*Leadsheet!$D83)</f>
        <v>0</v>
      </c>
      <c r="AA33" s="266">
        <f>IF(AA$5&gt;$D$7,0,Z32*Leadsheet!$D83)</f>
        <v>0</v>
      </c>
      <c r="AB33" s="266">
        <f>IF(AB$5&gt;$D$7,0,AA32*Leadsheet!$D83)</f>
        <v>0</v>
      </c>
      <c r="AC33" s="266">
        <f>IF(AC$5&gt;$D$7,0,AB32*Leadsheet!$D83)</f>
        <v>0</v>
      </c>
      <c r="AD33" s="266">
        <f>IF(AD$5&gt;$D$7,0,AC32*Leadsheet!$D83)</f>
        <v>0</v>
      </c>
      <c r="AE33" s="266">
        <f>IF(AE$5&gt;$D$7,0,AD32*Leadsheet!$D83)</f>
        <v>0</v>
      </c>
      <c r="AF33" s="266">
        <f>IF(AF$5&gt;$D$7,0,AE32*Leadsheet!$D83)</f>
        <v>0</v>
      </c>
      <c r="AG33" s="266">
        <f>IF(AG$5&gt;$D$7,0,AF32*Leadsheet!$D83)</f>
        <v>0</v>
      </c>
      <c r="AH33" s="266">
        <f>IF(AH$5&gt;$D$7,0,AG32*Leadsheet!$D83)</f>
        <v>0</v>
      </c>
      <c r="AI33" s="266">
        <f>IF(AI$5&gt;$D$7,0,AH32*Leadsheet!$D83)</f>
        <v>0</v>
      </c>
      <c r="AJ33" s="266">
        <f>IF(AJ$5&gt;$D$7,0,AI32*Leadsheet!$D83)</f>
        <v>0</v>
      </c>
      <c r="AK33" s="266">
        <f>IF(AK$5&gt;$D$7,0,AJ32*Leadsheet!$D83)</f>
        <v>0</v>
      </c>
      <c r="AL33" s="266">
        <f>IF(AL$5&gt;$D$7,0,AK32*Leadsheet!$D83)</f>
        <v>0</v>
      </c>
      <c r="AM33" s="266">
        <f>IF(AM$5&gt;$D$7,0,AL32*Leadsheet!$D83)</f>
        <v>0</v>
      </c>
      <c r="AN33" s="266">
        <f>IF(AN$5&gt;$D$7,0,AM32*Leadsheet!$D83)</f>
        <v>0</v>
      </c>
      <c r="AO33" s="266">
        <f>IF(AO$5&gt;$D$7,0,AN32*Leadsheet!$D83)</f>
        <v>0</v>
      </c>
      <c r="AP33" s="266">
        <f>IF(AP$5&gt;$D$7,0,AO32*Leadsheet!$D83)</f>
        <v>0</v>
      </c>
      <c r="AQ33" s="266">
        <f>IF(AQ$5&gt;$D$7,0,AP32*Leadsheet!$D83)</f>
        <v>0</v>
      </c>
      <c r="AR33" s="266">
        <f>IF(AR$5&gt;$D$7,0,AQ32*Leadsheet!$D83)</f>
        <v>0</v>
      </c>
      <c r="AS33" s="266">
        <f>IF(AS$5&gt;$D$7,0,AR32*Leadsheet!$D83)</f>
        <v>0</v>
      </c>
      <c r="AT33" s="266">
        <f>IF(AT$5&gt;$D$7,0,AS32*Leadsheet!$D83)</f>
        <v>0</v>
      </c>
      <c r="AU33" s="266">
        <f>IF(AU$5&gt;$D$7,0,AT32*Leadsheet!$D83)</f>
        <v>0</v>
      </c>
      <c r="AV33" s="266">
        <f>IF(AV$5&gt;$D$7,0,AU32*Leadsheet!$D83)</f>
        <v>0</v>
      </c>
      <c r="AW33" s="266">
        <f>IF(AW$5&gt;$D$7,0,AV32*Leadsheet!$D83)</f>
        <v>0</v>
      </c>
      <c r="AX33" s="266">
        <f>IF(AX$5&gt;$D$7,0,AW32*Leadsheet!$D83)</f>
        <v>0</v>
      </c>
      <c r="AY33" s="266">
        <f>IF(AY$5&gt;$D$7,0,AX32*Leadsheet!$D83)</f>
        <v>0</v>
      </c>
      <c r="AZ33" s="266">
        <f>IF(AZ$5&gt;$D$7,0,AY32*Leadsheet!$D83)</f>
        <v>0</v>
      </c>
      <c r="BA33" s="266">
        <f>IF(BA$5&gt;$D$7,0,AZ32*Leadsheet!$D83)</f>
        <v>0</v>
      </c>
      <c r="BB33" s="266">
        <f>IF(BB$5&gt;$D$7,0,BA32*Leadsheet!$D83)</f>
        <v>0</v>
      </c>
      <c r="BC33" s="266">
        <f>IF(BC$5&gt;$D$7,0,BB32*Leadsheet!$D83)</f>
        <v>0</v>
      </c>
      <c r="BD33" s="266">
        <f>IF(BD$5&gt;$D$7,0,BC32*Leadsheet!$D83)</f>
        <v>0</v>
      </c>
      <c r="BE33" s="266">
        <f>IF(BE$5&gt;$D$7,0,BD32*Leadsheet!$D83)</f>
        <v>0</v>
      </c>
      <c r="BF33" s="266">
        <f>IF(BF$5&gt;$D$7,0,BE32*Leadsheet!$D83)</f>
        <v>0</v>
      </c>
      <c r="BG33" s="266">
        <f>IF(BG$5&gt;$D$7,0,BF32*Leadsheet!$D83)</f>
        <v>0</v>
      </c>
      <c r="BH33" s="266">
        <f>IF(BH$5&gt;$D$7,0,BG32*Leadsheet!$D83)</f>
        <v>0</v>
      </c>
      <c r="BI33" s="266">
        <f>IF(BI$5&gt;$D$7,0,BH32*Leadsheet!$D83)</f>
        <v>0</v>
      </c>
      <c r="BJ33" s="266">
        <f>IF(BJ$5&gt;$D$7,0,BI32*Leadsheet!$D83)</f>
        <v>0</v>
      </c>
      <c r="BK33" s="266">
        <f>IF(BK$5&gt;$D$7,0,BJ32*Leadsheet!$D83)</f>
        <v>0</v>
      </c>
      <c r="BL33" s="266">
        <f>IF(BL$5&gt;$D$7,0,BK32*Leadsheet!$D83)</f>
        <v>0</v>
      </c>
    </row>
    <row r="34" spans="1:64" s="163" customFormat="1" x14ac:dyDescent="0.15">
      <c r="A34" s="268" t="s">
        <v>383</v>
      </c>
      <c r="B34" s="269">
        <v>270</v>
      </c>
      <c r="C34" s="89" t="s">
        <v>386</v>
      </c>
      <c r="D34" s="271"/>
      <c r="E34" s="267">
        <f>IF(E$5&gt;$D$7,0,D33*Leadsheet!$D84)</f>
        <v>0</v>
      </c>
      <c r="F34" s="267">
        <f>IF(F$5&gt;$D$7,0,E33*Leadsheet!$D84)</f>
        <v>0</v>
      </c>
      <c r="G34" s="267">
        <f>IF(G$5&gt;$D$7,0,F33*Leadsheet!$D84)</f>
        <v>0</v>
      </c>
      <c r="H34" s="267">
        <f>IF(H$5&gt;$D$7,0,G33*Leadsheet!$D84)</f>
        <v>0</v>
      </c>
      <c r="I34" s="267">
        <f>IF(I$5&gt;$D$7,0,H33*Leadsheet!$D84)</f>
        <v>0</v>
      </c>
      <c r="J34" s="267">
        <f>IF(J$5&gt;$D$7,0,I33*Leadsheet!$D84)</f>
        <v>0</v>
      </c>
      <c r="K34" s="267">
        <f>IF(K$5&gt;$D$7,0,J33*Leadsheet!$D84)</f>
        <v>0</v>
      </c>
      <c r="L34" s="267">
        <f>IF(L$5&gt;$D$7,0,K33*Leadsheet!$D84)</f>
        <v>0</v>
      </c>
      <c r="M34" s="267">
        <f>IF(M$5&gt;$D$7,0,L33*Leadsheet!$D84)</f>
        <v>0</v>
      </c>
      <c r="N34" s="267">
        <f>IF(N$5&gt;$D$7,0,M33*Leadsheet!$D84)</f>
        <v>0</v>
      </c>
      <c r="O34" s="267">
        <f>IF(O$5&gt;$D$7,0,N33*Leadsheet!$D84)</f>
        <v>0</v>
      </c>
      <c r="P34" s="267">
        <f>IF(P$5&gt;$D$7,0,O33*Leadsheet!$D84)</f>
        <v>0</v>
      </c>
      <c r="Q34" s="267">
        <f>IF(Q$5&gt;$D$7,0,P33*Leadsheet!$D84)</f>
        <v>0</v>
      </c>
      <c r="R34" s="267">
        <f>IF(R$5&gt;$D$7,0,Q33*Leadsheet!$D84)</f>
        <v>0</v>
      </c>
      <c r="S34" s="267">
        <f>IF(S$5&gt;$D$7,0,R33*Leadsheet!$D84)</f>
        <v>0</v>
      </c>
      <c r="T34" s="266">
        <f>IF(T$5&gt;$D$7,0,S33*Leadsheet!$D84)</f>
        <v>0</v>
      </c>
      <c r="U34" s="266">
        <f>IF(U$5&gt;$D$7,0,T33*Leadsheet!$D84)</f>
        <v>0</v>
      </c>
      <c r="V34" s="266">
        <f>IF(V$5&gt;$D$7,0,U33*Leadsheet!$D84)</f>
        <v>0</v>
      </c>
      <c r="W34" s="266">
        <f>IF(W$5&gt;$D$7,0,V33*Leadsheet!$D84)</f>
        <v>0</v>
      </c>
      <c r="X34" s="266">
        <f>IF(X$5&gt;$D$7,0,W33*Leadsheet!$D84)</f>
        <v>0</v>
      </c>
      <c r="Y34" s="266">
        <f>IF(Y$5&gt;$D$7,0,X33*Leadsheet!$D84)</f>
        <v>0</v>
      </c>
      <c r="Z34" s="266">
        <f>IF(Z$5&gt;$D$7,0,Y33*Leadsheet!$D84)</f>
        <v>0</v>
      </c>
      <c r="AA34" s="266">
        <f>IF(AA$5&gt;$D$7,0,Z33*Leadsheet!$D84)</f>
        <v>0</v>
      </c>
      <c r="AB34" s="266">
        <f>IF(AB$5&gt;$D$7,0,AA33*Leadsheet!$D84)</f>
        <v>0</v>
      </c>
      <c r="AC34" s="266">
        <f>IF(AC$5&gt;$D$7,0,AB33*Leadsheet!$D84)</f>
        <v>0</v>
      </c>
      <c r="AD34" s="266">
        <f>IF(AD$5&gt;$D$7,0,AC33*Leadsheet!$D84)</f>
        <v>0</v>
      </c>
      <c r="AE34" s="266">
        <f>IF(AE$5&gt;$D$7,0,AD33*Leadsheet!$D84)</f>
        <v>0</v>
      </c>
      <c r="AF34" s="266">
        <f>IF(AF$5&gt;$D$7,0,AE33*Leadsheet!$D84)</f>
        <v>0</v>
      </c>
      <c r="AG34" s="266">
        <f>IF(AG$5&gt;$D$7,0,AF33*Leadsheet!$D84)</f>
        <v>0</v>
      </c>
      <c r="AH34" s="266">
        <f>IF(AH$5&gt;$D$7,0,AG33*Leadsheet!$D84)</f>
        <v>0</v>
      </c>
      <c r="AI34" s="266">
        <f>IF(AI$5&gt;$D$7,0,AH33*Leadsheet!$D84)</f>
        <v>0</v>
      </c>
      <c r="AJ34" s="266">
        <f>IF(AJ$5&gt;$D$7,0,AI33*Leadsheet!$D84)</f>
        <v>0</v>
      </c>
      <c r="AK34" s="266">
        <f>IF(AK$5&gt;$D$7,0,AJ33*Leadsheet!$D84)</f>
        <v>0</v>
      </c>
      <c r="AL34" s="266">
        <f>IF(AL$5&gt;$D$7,0,AK33*Leadsheet!$D84)</f>
        <v>0</v>
      </c>
      <c r="AM34" s="266">
        <f>IF(AM$5&gt;$D$7,0,AL33*Leadsheet!$D84)</f>
        <v>0</v>
      </c>
      <c r="AN34" s="266">
        <f>IF(AN$5&gt;$D$7,0,AM33*Leadsheet!$D84)</f>
        <v>0</v>
      </c>
      <c r="AO34" s="266">
        <f>IF(AO$5&gt;$D$7,0,AN33*Leadsheet!$D84)</f>
        <v>0</v>
      </c>
      <c r="AP34" s="266">
        <f>IF(AP$5&gt;$D$7,0,AO33*Leadsheet!$D84)</f>
        <v>0</v>
      </c>
      <c r="AQ34" s="266">
        <f>IF(AQ$5&gt;$D$7,0,AP33*Leadsheet!$D84)</f>
        <v>0</v>
      </c>
      <c r="AR34" s="266">
        <f>IF(AR$5&gt;$D$7,0,AQ33*Leadsheet!$D84)</f>
        <v>0</v>
      </c>
      <c r="AS34" s="266">
        <f>IF(AS$5&gt;$D$7,0,AR33*Leadsheet!$D84)</f>
        <v>0</v>
      </c>
      <c r="AT34" s="266">
        <f>IF(AT$5&gt;$D$7,0,AS33*Leadsheet!$D84)</f>
        <v>0</v>
      </c>
      <c r="AU34" s="266">
        <f>IF(AU$5&gt;$D$7,0,AT33*Leadsheet!$D84)</f>
        <v>0</v>
      </c>
      <c r="AV34" s="266">
        <f>IF(AV$5&gt;$D$7,0,AU33*Leadsheet!$D84)</f>
        <v>0</v>
      </c>
      <c r="AW34" s="266">
        <f>IF(AW$5&gt;$D$7,0,AV33*Leadsheet!$D84)</f>
        <v>0</v>
      </c>
      <c r="AX34" s="266">
        <f>IF(AX$5&gt;$D$7,0,AW33*Leadsheet!$D84)</f>
        <v>0</v>
      </c>
      <c r="AY34" s="266">
        <f>IF(AY$5&gt;$D$7,0,AX33*Leadsheet!$D84)</f>
        <v>0</v>
      </c>
      <c r="AZ34" s="266">
        <f>IF(AZ$5&gt;$D$7,0,AY33*Leadsheet!$D84)</f>
        <v>0</v>
      </c>
      <c r="BA34" s="266">
        <f>IF(BA$5&gt;$D$7,0,AZ33*Leadsheet!$D84)</f>
        <v>0</v>
      </c>
      <c r="BB34" s="266">
        <f>IF(BB$5&gt;$D$7,0,BA33*Leadsheet!$D84)</f>
        <v>0</v>
      </c>
      <c r="BC34" s="266">
        <f>IF(BC$5&gt;$D$7,0,BB33*Leadsheet!$D84)</f>
        <v>0</v>
      </c>
      <c r="BD34" s="266">
        <f>IF(BD$5&gt;$D$7,0,BC33*Leadsheet!$D84)</f>
        <v>0</v>
      </c>
      <c r="BE34" s="266">
        <f>IF(BE$5&gt;$D$7,0,BD33*Leadsheet!$D84)</f>
        <v>0</v>
      </c>
      <c r="BF34" s="266">
        <f>IF(BF$5&gt;$D$7,0,BE33*Leadsheet!$D84)</f>
        <v>0</v>
      </c>
      <c r="BG34" s="266">
        <f>IF(BG$5&gt;$D$7,0,BF33*Leadsheet!$D84)</f>
        <v>0</v>
      </c>
      <c r="BH34" s="266">
        <f>IF(BH$5&gt;$D$7,0,BG33*Leadsheet!$D84)</f>
        <v>0</v>
      </c>
      <c r="BI34" s="266">
        <f>IF(BI$5&gt;$D$7,0,BH33*Leadsheet!$D84)</f>
        <v>0</v>
      </c>
      <c r="BJ34" s="266">
        <f>IF(BJ$5&gt;$D$7,0,BI33*Leadsheet!$D84)</f>
        <v>0</v>
      </c>
      <c r="BK34" s="266">
        <f>IF(BK$5&gt;$D$7,0,BJ33*Leadsheet!$D84)</f>
        <v>0</v>
      </c>
      <c r="BL34" s="266">
        <f>IF(BL$5&gt;$D$7,0,BK33*Leadsheet!$D84)</f>
        <v>0</v>
      </c>
    </row>
    <row r="35" spans="1:64" s="163" customFormat="1" x14ac:dyDescent="0.15">
      <c r="A35" s="268" t="s">
        <v>383</v>
      </c>
      <c r="B35" s="269">
        <v>300</v>
      </c>
      <c r="C35" s="89" t="s">
        <v>320</v>
      </c>
      <c r="D35" s="271"/>
      <c r="E35" s="267">
        <f>IF(E$5&gt;$D$7,0,D34*Leadsheet!$D85)</f>
        <v>0</v>
      </c>
      <c r="F35" s="267">
        <f>IF(F$5&gt;$D$7,0,E34*Leadsheet!$D85)</f>
        <v>0</v>
      </c>
      <c r="G35" s="267">
        <f>IF(G$5&gt;$D$7,0,F34*Leadsheet!$D85)</f>
        <v>0</v>
      </c>
      <c r="H35" s="267">
        <f>IF(H$5&gt;$D$7,0,G34*Leadsheet!$D85)</f>
        <v>0</v>
      </c>
      <c r="I35" s="267">
        <f>IF(I$5&gt;$D$7,0,H34*Leadsheet!$D85)</f>
        <v>0</v>
      </c>
      <c r="J35" s="267">
        <f>IF(J$5&gt;$D$7,0,I34*Leadsheet!$D85)</f>
        <v>0</v>
      </c>
      <c r="K35" s="267">
        <f>IF(K$5&gt;$D$7,0,J34*Leadsheet!$D85)</f>
        <v>0</v>
      </c>
      <c r="L35" s="267">
        <f>IF(L$5&gt;$D$7,0,K34*Leadsheet!$D85)</f>
        <v>0</v>
      </c>
      <c r="M35" s="267">
        <f>IF(M$5&gt;$D$7,0,L34*Leadsheet!$D85)</f>
        <v>0</v>
      </c>
      <c r="N35" s="267">
        <f>IF(N$5&gt;$D$7,0,M34*Leadsheet!$D85)</f>
        <v>0</v>
      </c>
      <c r="O35" s="267">
        <f>IF(O$5&gt;$D$7,0,N34*Leadsheet!$D85)</f>
        <v>0</v>
      </c>
      <c r="P35" s="267">
        <f>IF(P$5&gt;$D$7,0,O34*Leadsheet!$D85)</f>
        <v>0</v>
      </c>
      <c r="Q35" s="267">
        <f>IF(Q$5&gt;$D$7,0,P34*Leadsheet!$D85)</f>
        <v>0</v>
      </c>
      <c r="R35" s="267">
        <f>IF(R$5&gt;$D$7,0,Q34*Leadsheet!$D85)</f>
        <v>0</v>
      </c>
      <c r="S35" s="267">
        <f>IF(S$5&gt;$D$7,0,R34*Leadsheet!$D85)</f>
        <v>0</v>
      </c>
      <c r="T35" s="266">
        <f>IF(T$5&gt;$D$7,0,S34*Leadsheet!$D85)</f>
        <v>0</v>
      </c>
      <c r="U35" s="266">
        <f>IF(U$5&gt;$D$7,0,T34*Leadsheet!$D85)</f>
        <v>0</v>
      </c>
      <c r="V35" s="266">
        <f>IF(V$5&gt;$D$7,0,U34*Leadsheet!$D85)</f>
        <v>0</v>
      </c>
      <c r="W35" s="266">
        <f>IF(W$5&gt;$D$7,0,V34*Leadsheet!$D85)</f>
        <v>0</v>
      </c>
      <c r="X35" s="266">
        <f>IF(X$5&gt;$D$7,0,W34*Leadsheet!$D85)</f>
        <v>0</v>
      </c>
      <c r="Y35" s="266">
        <f>IF(Y$5&gt;$D$7,0,X34*Leadsheet!$D85)</f>
        <v>0</v>
      </c>
      <c r="Z35" s="266">
        <f>IF(Z$5&gt;$D$7,0,Y34*Leadsheet!$D85)</f>
        <v>0</v>
      </c>
      <c r="AA35" s="266">
        <f>IF(AA$5&gt;$D$7,0,Z34*Leadsheet!$D85)</f>
        <v>0</v>
      </c>
      <c r="AB35" s="266">
        <f>IF(AB$5&gt;$D$7,0,AA34*Leadsheet!$D85)</f>
        <v>0</v>
      </c>
      <c r="AC35" s="266">
        <f>IF(AC$5&gt;$D$7,0,AB34*Leadsheet!$D85)</f>
        <v>0</v>
      </c>
      <c r="AD35" s="266">
        <f>IF(AD$5&gt;$D$7,0,AC34*Leadsheet!$D85)</f>
        <v>0</v>
      </c>
      <c r="AE35" s="266">
        <f>IF(AE$5&gt;$D$7,0,AD34*Leadsheet!$D85)</f>
        <v>0</v>
      </c>
      <c r="AF35" s="266">
        <f>IF(AF$5&gt;$D$7,0,AE34*Leadsheet!$D85)</f>
        <v>0</v>
      </c>
      <c r="AG35" s="266">
        <f>IF(AG$5&gt;$D$7,0,AF34*Leadsheet!$D85)</f>
        <v>0</v>
      </c>
      <c r="AH35" s="266">
        <f>IF(AH$5&gt;$D$7,0,AG34*Leadsheet!$D85)</f>
        <v>0</v>
      </c>
      <c r="AI35" s="266">
        <f>IF(AI$5&gt;$D$7,0,AH34*Leadsheet!$D85)</f>
        <v>0</v>
      </c>
      <c r="AJ35" s="266">
        <f>IF(AJ$5&gt;$D$7,0,AI34*Leadsheet!$D85)</f>
        <v>0</v>
      </c>
      <c r="AK35" s="266">
        <f>IF(AK$5&gt;$D$7,0,AJ34*Leadsheet!$D85)</f>
        <v>0</v>
      </c>
      <c r="AL35" s="266">
        <f>IF(AL$5&gt;$D$7,0,AK34*Leadsheet!$D85)</f>
        <v>0</v>
      </c>
      <c r="AM35" s="266">
        <f>IF(AM$5&gt;$D$7,0,AL34*Leadsheet!$D85)</f>
        <v>0</v>
      </c>
      <c r="AN35" s="266">
        <f>IF(AN$5&gt;$D$7,0,AM34*Leadsheet!$D85)</f>
        <v>0</v>
      </c>
      <c r="AO35" s="266">
        <f>IF(AO$5&gt;$D$7,0,AN34*Leadsheet!$D85)</f>
        <v>0</v>
      </c>
      <c r="AP35" s="266">
        <f>IF(AP$5&gt;$D$7,0,AO34*Leadsheet!$D85)</f>
        <v>0</v>
      </c>
      <c r="AQ35" s="266">
        <f>IF(AQ$5&gt;$D$7,0,AP34*Leadsheet!$D85)</f>
        <v>0</v>
      </c>
      <c r="AR35" s="266">
        <f>IF(AR$5&gt;$D$7,0,AQ34*Leadsheet!$D85)</f>
        <v>0</v>
      </c>
      <c r="AS35" s="266">
        <f>IF(AS$5&gt;$D$7,0,AR34*Leadsheet!$D85)</f>
        <v>0</v>
      </c>
      <c r="AT35" s="266">
        <f>IF(AT$5&gt;$D$7,0,AS34*Leadsheet!$D85)</f>
        <v>0</v>
      </c>
      <c r="AU35" s="266">
        <f>IF(AU$5&gt;$D$7,0,AT34*Leadsheet!$D85)</f>
        <v>0</v>
      </c>
      <c r="AV35" s="266">
        <f>IF(AV$5&gt;$D$7,0,AU34*Leadsheet!$D85)</f>
        <v>0</v>
      </c>
      <c r="AW35" s="266">
        <f>IF(AW$5&gt;$D$7,0,AV34*Leadsheet!$D85)</f>
        <v>0</v>
      </c>
      <c r="AX35" s="266">
        <f>IF(AX$5&gt;$D$7,0,AW34*Leadsheet!$D85)</f>
        <v>0</v>
      </c>
      <c r="AY35" s="266">
        <f>IF(AY$5&gt;$D$7,0,AX34*Leadsheet!$D85)</f>
        <v>0</v>
      </c>
      <c r="AZ35" s="266">
        <f>IF(AZ$5&gt;$D$7,0,AY34*Leadsheet!$D85)</f>
        <v>0</v>
      </c>
      <c r="BA35" s="266">
        <f>IF(BA$5&gt;$D$7,0,AZ34*Leadsheet!$D85)</f>
        <v>0</v>
      </c>
      <c r="BB35" s="266">
        <f>IF(BB$5&gt;$D$7,0,BA34*Leadsheet!$D85)</f>
        <v>0</v>
      </c>
      <c r="BC35" s="266">
        <f>IF(BC$5&gt;$D$7,0,BB34*Leadsheet!$D85)</f>
        <v>0</v>
      </c>
      <c r="BD35" s="266">
        <f>IF(BD$5&gt;$D$7,0,BC34*Leadsheet!$D85)</f>
        <v>0</v>
      </c>
      <c r="BE35" s="266">
        <f>IF(BE$5&gt;$D$7,0,BD34*Leadsheet!$D85)</f>
        <v>0</v>
      </c>
      <c r="BF35" s="266">
        <f>IF(BF$5&gt;$D$7,0,BE34*Leadsheet!$D85)</f>
        <v>0</v>
      </c>
      <c r="BG35" s="266">
        <f>IF(BG$5&gt;$D$7,0,BF34*Leadsheet!$D85)</f>
        <v>0</v>
      </c>
      <c r="BH35" s="266">
        <f>IF(BH$5&gt;$D$7,0,BG34*Leadsheet!$D85)</f>
        <v>0</v>
      </c>
      <c r="BI35" s="266">
        <f>IF(BI$5&gt;$D$7,0,BH34*Leadsheet!$D85)</f>
        <v>0</v>
      </c>
      <c r="BJ35" s="266">
        <f>IF(BJ$5&gt;$D$7,0,BI34*Leadsheet!$D85)</f>
        <v>0</v>
      </c>
      <c r="BK35" s="266">
        <f>IF(BK$5&gt;$D$7,0,BJ34*Leadsheet!$D85)</f>
        <v>0</v>
      </c>
      <c r="BL35" s="266">
        <f>IF(BL$5&gt;$D$7,0,BK34*Leadsheet!$D85)</f>
        <v>0</v>
      </c>
    </row>
    <row r="36" spans="1:64" s="163" customFormat="1" x14ac:dyDescent="0.15">
      <c r="A36" s="268" t="s">
        <v>383</v>
      </c>
      <c r="B36" s="269">
        <v>330</v>
      </c>
      <c r="C36" s="89" t="s">
        <v>321</v>
      </c>
      <c r="D36" s="271"/>
      <c r="E36" s="267">
        <f>IF(E$5&gt;$D$7,0,D35*Leadsheet!$D86)</f>
        <v>0</v>
      </c>
      <c r="F36" s="267">
        <f>IF(F$5&gt;$D$7,0,E35*Leadsheet!$D86)</f>
        <v>0</v>
      </c>
      <c r="G36" s="267">
        <f>IF(G$5&gt;$D$7,0,F35*Leadsheet!$D86)</f>
        <v>0</v>
      </c>
      <c r="H36" s="267">
        <f>IF(H$5&gt;$D$7,0,G35*Leadsheet!$D86)</f>
        <v>0</v>
      </c>
      <c r="I36" s="267">
        <f>IF(I$5&gt;$D$7,0,H35*Leadsheet!$D86)</f>
        <v>0</v>
      </c>
      <c r="J36" s="267">
        <f>IF(J$5&gt;$D$7,0,I35*Leadsheet!$D86)</f>
        <v>0</v>
      </c>
      <c r="K36" s="267">
        <f>IF(K$5&gt;$D$7,0,J35*Leadsheet!$D86)</f>
        <v>0</v>
      </c>
      <c r="L36" s="267">
        <f>IF(L$5&gt;$D$7,0,K35*Leadsheet!$D86)</f>
        <v>0</v>
      </c>
      <c r="M36" s="267">
        <f>IF(M$5&gt;$D$7,0,L35*Leadsheet!$D86)</f>
        <v>0</v>
      </c>
      <c r="N36" s="267">
        <f>IF(N$5&gt;$D$7,0,M35*Leadsheet!$D86)</f>
        <v>0</v>
      </c>
      <c r="O36" s="267">
        <f>IF(O$5&gt;$D$7,0,N35*Leadsheet!$D86)</f>
        <v>0</v>
      </c>
      <c r="P36" s="267">
        <f>IF(P$5&gt;$D$7,0,O35*Leadsheet!$D86)</f>
        <v>0</v>
      </c>
      <c r="Q36" s="267">
        <f>IF(Q$5&gt;$D$7,0,P35*Leadsheet!$D86)</f>
        <v>0</v>
      </c>
      <c r="R36" s="267">
        <f>IF(R$5&gt;$D$7,0,Q35*Leadsheet!$D86)</f>
        <v>0</v>
      </c>
      <c r="S36" s="267">
        <f>IF(S$5&gt;$D$7,0,R35*Leadsheet!$D86)</f>
        <v>0</v>
      </c>
      <c r="T36" s="266">
        <f>IF(T$5&gt;$D$7,0,S35*Leadsheet!$D86)</f>
        <v>0</v>
      </c>
      <c r="U36" s="266">
        <f>IF(U$5&gt;$D$7,0,T35*Leadsheet!$D86)</f>
        <v>0</v>
      </c>
      <c r="V36" s="266">
        <f>IF(V$5&gt;$D$7,0,U35*Leadsheet!$D86)</f>
        <v>0</v>
      </c>
      <c r="W36" s="266">
        <f>IF(W$5&gt;$D$7,0,V35*Leadsheet!$D86)</f>
        <v>0</v>
      </c>
      <c r="X36" s="266">
        <f>IF(X$5&gt;$D$7,0,W35*Leadsheet!$D86)</f>
        <v>0</v>
      </c>
      <c r="Y36" s="266">
        <f>IF(Y$5&gt;$D$7,0,X35*Leadsheet!$D86)</f>
        <v>0</v>
      </c>
      <c r="Z36" s="266">
        <f>IF(Z$5&gt;$D$7,0,Y35*Leadsheet!$D86)</f>
        <v>0</v>
      </c>
      <c r="AA36" s="266">
        <f>IF(AA$5&gt;$D$7,0,Z35*Leadsheet!$D86)</f>
        <v>0</v>
      </c>
      <c r="AB36" s="266">
        <f>IF(AB$5&gt;$D$7,0,AA35*Leadsheet!$D86)</f>
        <v>0</v>
      </c>
      <c r="AC36" s="266">
        <f>IF(AC$5&gt;$D$7,0,AB35*Leadsheet!$D86)</f>
        <v>0</v>
      </c>
      <c r="AD36" s="266">
        <f>IF(AD$5&gt;$D$7,0,AC35*Leadsheet!$D86)</f>
        <v>0</v>
      </c>
      <c r="AE36" s="266">
        <f>IF(AE$5&gt;$D$7,0,AD35*Leadsheet!$D86)</f>
        <v>0</v>
      </c>
      <c r="AF36" s="266">
        <f>IF(AF$5&gt;$D$7,0,AE35*Leadsheet!$D86)</f>
        <v>0</v>
      </c>
      <c r="AG36" s="266">
        <f>IF(AG$5&gt;$D$7,0,AF35*Leadsheet!$D86)</f>
        <v>0</v>
      </c>
      <c r="AH36" s="266">
        <f>IF(AH$5&gt;$D$7,0,AG35*Leadsheet!$D86)</f>
        <v>0</v>
      </c>
      <c r="AI36" s="266">
        <f>IF(AI$5&gt;$D$7,0,AH35*Leadsheet!$D86)</f>
        <v>0</v>
      </c>
      <c r="AJ36" s="266">
        <f>IF(AJ$5&gt;$D$7,0,AI35*Leadsheet!$D86)</f>
        <v>0</v>
      </c>
      <c r="AK36" s="266">
        <f>IF(AK$5&gt;$D$7,0,AJ35*Leadsheet!$D86)</f>
        <v>0</v>
      </c>
      <c r="AL36" s="266">
        <f>IF(AL$5&gt;$D$7,0,AK35*Leadsheet!$D86)</f>
        <v>0</v>
      </c>
      <c r="AM36" s="266">
        <f>IF(AM$5&gt;$D$7,0,AL35*Leadsheet!$D86)</f>
        <v>0</v>
      </c>
      <c r="AN36" s="266">
        <f>IF(AN$5&gt;$D$7,0,AM35*Leadsheet!$D86)</f>
        <v>0</v>
      </c>
      <c r="AO36" s="266">
        <f>IF(AO$5&gt;$D$7,0,AN35*Leadsheet!$D86)</f>
        <v>0</v>
      </c>
      <c r="AP36" s="266">
        <f>IF(AP$5&gt;$D$7,0,AO35*Leadsheet!$D86)</f>
        <v>0</v>
      </c>
      <c r="AQ36" s="266">
        <f>IF(AQ$5&gt;$D$7,0,AP35*Leadsheet!$D86)</f>
        <v>0</v>
      </c>
      <c r="AR36" s="266">
        <f>IF(AR$5&gt;$D$7,0,AQ35*Leadsheet!$D86)</f>
        <v>0</v>
      </c>
      <c r="AS36" s="266">
        <f>IF(AS$5&gt;$D$7,0,AR35*Leadsheet!$D86)</f>
        <v>0</v>
      </c>
      <c r="AT36" s="266">
        <f>IF(AT$5&gt;$D$7,0,AS35*Leadsheet!$D86)</f>
        <v>0</v>
      </c>
      <c r="AU36" s="266">
        <f>IF(AU$5&gt;$D$7,0,AT35*Leadsheet!$D86)</f>
        <v>0</v>
      </c>
      <c r="AV36" s="266">
        <f>IF(AV$5&gt;$D$7,0,AU35*Leadsheet!$D86)</f>
        <v>0</v>
      </c>
      <c r="AW36" s="266">
        <f>IF(AW$5&gt;$D$7,0,AV35*Leadsheet!$D86)</f>
        <v>0</v>
      </c>
      <c r="AX36" s="266">
        <f>IF(AX$5&gt;$D$7,0,AW35*Leadsheet!$D86)</f>
        <v>0</v>
      </c>
      <c r="AY36" s="266">
        <f>IF(AY$5&gt;$D$7,0,AX35*Leadsheet!$D86)</f>
        <v>0</v>
      </c>
      <c r="AZ36" s="266">
        <f>IF(AZ$5&gt;$D$7,0,AY35*Leadsheet!$D86)</f>
        <v>0</v>
      </c>
      <c r="BA36" s="266">
        <f>IF(BA$5&gt;$D$7,0,AZ35*Leadsheet!$D86)</f>
        <v>0</v>
      </c>
      <c r="BB36" s="266">
        <f>IF(BB$5&gt;$D$7,0,BA35*Leadsheet!$D86)</f>
        <v>0</v>
      </c>
      <c r="BC36" s="266">
        <f>IF(BC$5&gt;$D$7,0,BB35*Leadsheet!$D86)</f>
        <v>0</v>
      </c>
      <c r="BD36" s="266">
        <f>IF(BD$5&gt;$D$7,0,BC35*Leadsheet!$D86)</f>
        <v>0</v>
      </c>
      <c r="BE36" s="266">
        <f>IF(BE$5&gt;$D$7,0,BD35*Leadsheet!$D86)</f>
        <v>0</v>
      </c>
      <c r="BF36" s="266">
        <f>IF(BF$5&gt;$D$7,0,BE35*Leadsheet!$D86)</f>
        <v>0</v>
      </c>
      <c r="BG36" s="266">
        <f>IF(BG$5&gt;$D$7,0,BF35*Leadsheet!$D86)</f>
        <v>0</v>
      </c>
      <c r="BH36" s="266">
        <f>IF(BH$5&gt;$D$7,0,BG35*Leadsheet!$D86)</f>
        <v>0</v>
      </c>
      <c r="BI36" s="266">
        <f>IF(BI$5&gt;$D$7,0,BH35*Leadsheet!$D86)</f>
        <v>0</v>
      </c>
      <c r="BJ36" s="266">
        <f>IF(BJ$5&gt;$D$7,0,BI35*Leadsheet!$D86)</f>
        <v>0</v>
      </c>
      <c r="BK36" s="266">
        <f>IF(BK$5&gt;$D$7,0,BJ35*Leadsheet!$D86)</f>
        <v>0</v>
      </c>
      <c r="BL36" s="266">
        <f>IF(BL$5&gt;$D$7,0,BK35*Leadsheet!$D86)</f>
        <v>0</v>
      </c>
    </row>
    <row r="37" spans="1:64" s="163" customFormat="1" x14ac:dyDescent="0.15">
      <c r="A37" s="268" t="s">
        <v>383</v>
      </c>
      <c r="B37" s="269">
        <v>360</v>
      </c>
      <c r="C37" s="89" t="s">
        <v>322</v>
      </c>
      <c r="D37" s="271"/>
      <c r="E37" s="267">
        <f>IF(E$5&gt;$D$7,0,D36*Leadsheet!$D87)</f>
        <v>0</v>
      </c>
      <c r="F37" s="267">
        <f>IF(F$5&gt;$D$7,0,E36*Leadsheet!$D87)</f>
        <v>0</v>
      </c>
      <c r="G37" s="267">
        <f>IF(G$5&gt;$D$7,0,F36*Leadsheet!$D87)</f>
        <v>0</v>
      </c>
      <c r="H37" s="267">
        <f>IF(H$5&gt;$D$7,0,G36*Leadsheet!$D87)</f>
        <v>0</v>
      </c>
      <c r="I37" s="267">
        <f>IF(I$5&gt;$D$7,0,H36*Leadsheet!$D87)</f>
        <v>0</v>
      </c>
      <c r="J37" s="267">
        <f>IF(J$5&gt;$D$7,0,I36*Leadsheet!$D87)</f>
        <v>0</v>
      </c>
      <c r="K37" s="267">
        <f>IF(K$5&gt;$D$7,0,J36*Leadsheet!$D87)</f>
        <v>0</v>
      </c>
      <c r="L37" s="267">
        <f>IF(L$5&gt;$D$7,0,K36*Leadsheet!$D87)</f>
        <v>0</v>
      </c>
      <c r="M37" s="267">
        <f>IF(M$5&gt;$D$7,0,L36*Leadsheet!$D87)</f>
        <v>0</v>
      </c>
      <c r="N37" s="267">
        <f>IF(N$5&gt;$D$7,0,M36*Leadsheet!$D87)</f>
        <v>0</v>
      </c>
      <c r="O37" s="267">
        <f>IF(O$5&gt;$D$7,0,N36*Leadsheet!$D87)</f>
        <v>0</v>
      </c>
      <c r="P37" s="267">
        <f>IF(P$5&gt;$D$7,0,O36*Leadsheet!$D87)</f>
        <v>0</v>
      </c>
      <c r="Q37" s="267">
        <f>IF(Q$5&gt;$D$7,0,P36*Leadsheet!$D87)</f>
        <v>0</v>
      </c>
      <c r="R37" s="267">
        <f>IF(R$5&gt;$D$7,0,Q36*Leadsheet!$D87)</f>
        <v>0</v>
      </c>
      <c r="S37" s="267">
        <f>IF(S$5&gt;$D$7,0,R36*Leadsheet!$D87)</f>
        <v>0</v>
      </c>
      <c r="T37" s="266">
        <f>IF(T$5&gt;$D$7,0,S36*Leadsheet!$D87)</f>
        <v>0</v>
      </c>
      <c r="U37" s="266">
        <f>IF(U$5&gt;$D$7,0,T36*Leadsheet!$D87)</f>
        <v>0</v>
      </c>
      <c r="V37" s="266">
        <f>IF(V$5&gt;$D$7,0,U36*Leadsheet!$D87)</f>
        <v>0</v>
      </c>
      <c r="W37" s="266">
        <f>IF(W$5&gt;$D$7,0,V36*Leadsheet!$D87)</f>
        <v>0</v>
      </c>
      <c r="X37" s="266">
        <f>IF(X$5&gt;$D$7,0,W36*Leadsheet!$D87)</f>
        <v>0</v>
      </c>
      <c r="Y37" s="266">
        <f>IF(Y$5&gt;$D$7,0,X36*Leadsheet!$D87)</f>
        <v>0</v>
      </c>
      <c r="Z37" s="266">
        <f>IF(Z$5&gt;$D$7,0,Y36*Leadsheet!$D87)</f>
        <v>0</v>
      </c>
      <c r="AA37" s="266">
        <f>IF(AA$5&gt;$D$7,0,Z36*Leadsheet!$D87)</f>
        <v>0</v>
      </c>
      <c r="AB37" s="266">
        <f>IF(AB$5&gt;$D$7,0,AA36*Leadsheet!$D87)</f>
        <v>0</v>
      </c>
      <c r="AC37" s="266">
        <f>IF(AC$5&gt;$D$7,0,AB36*Leadsheet!$D87)</f>
        <v>0</v>
      </c>
      <c r="AD37" s="266">
        <f>IF(AD$5&gt;$D$7,0,AC36*Leadsheet!$D87)</f>
        <v>0</v>
      </c>
      <c r="AE37" s="266">
        <f>IF(AE$5&gt;$D$7,0,AD36*Leadsheet!$D87)</f>
        <v>0</v>
      </c>
      <c r="AF37" s="266">
        <f>IF(AF$5&gt;$D$7,0,AE36*Leadsheet!$D87)</f>
        <v>0</v>
      </c>
      <c r="AG37" s="266">
        <f>IF(AG$5&gt;$D$7,0,AF36*Leadsheet!$D87)</f>
        <v>0</v>
      </c>
      <c r="AH37" s="266">
        <f>IF(AH$5&gt;$D$7,0,AG36*Leadsheet!$D87)</f>
        <v>0</v>
      </c>
      <c r="AI37" s="266">
        <f>IF(AI$5&gt;$D$7,0,AH36*Leadsheet!$D87)</f>
        <v>0</v>
      </c>
      <c r="AJ37" s="266">
        <f>IF(AJ$5&gt;$D$7,0,AI36*Leadsheet!$D87)</f>
        <v>0</v>
      </c>
      <c r="AK37" s="266">
        <f>IF(AK$5&gt;$D$7,0,AJ36*Leadsheet!$D87)</f>
        <v>0</v>
      </c>
      <c r="AL37" s="266">
        <f>IF(AL$5&gt;$D$7,0,AK36*Leadsheet!$D87)</f>
        <v>0</v>
      </c>
      <c r="AM37" s="266">
        <f>IF(AM$5&gt;$D$7,0,AL36*Leadsheet!$D87)</f>
        <v>0</v>
      </c>
      <c r="AN37" s="266">
        <f>IF(AN$5&gt;$D$7,0,AM36*Leadsheet!$D87)</f>
        <v>0</v>
      </c>
      <c r="AO37" s="266">
        <f>IF(AO$5&gt;$D$7,0,AN36*Leadsheet!$D87)</f>
        <v>0</v>
      </c>
      <c r="AP37" s="266">
        <f>IF(AP$5&gt;$D$7,0,AO36*Leadsheet!$D87)</f>
        <v>0</v>
      </c>
      <c r="AQ37" s="266">
        <f>IF(AQ$5&gt;$D$7,0,AP36*Leadsheet!$D87)</f>
        <v>0</v>
      </c>
      <c r="AR37" s="266">
        <f>IF(AR$5&gt;$D$7,0,AQ36*Leadsheet!$D87)</f>
        <v>0</v>
      </c>
      <c r="AS37" s="266">
        <f>IF(AS$5&gt;$D$7,0,AR36*Leadsheet!$D87)</f>
        <v>0</v>
      </c>
      <c r="AT37" s="266">
        <f>IF(AT$5&gt;$D$7,0,AS36*Leadsheet!$D87)</f>
        <v>0</v>
      </c>
      <c r="AU37" s="266">
        <f>IF(AU$5&gt;$D$7,0,AT36*Leadsheet!$D87)</f>
        <v>0</v>
      </c>
      <c r="AV37" s="266">
        <f>IF(AV$5&gt;$D$7,0,AU36*Leadsheet!$D87)</f>
        <v>0</v>
      </c>
      <c r="AW37" s="266">
        <f>IF(AW$5&gt;$D$7,0,AV36*Leadsheet!$D87)</f>
        <v>0</v>
      </c>
      <c r="AX37" s="266">
        <f>IF(AX$5&gt;$D$7,0,AW36*Leadsheet!$D87)</f>
        <v>0</v>
      </c>
      <c r="AY37" s="266">
        <f>IF(AY$5&gt;$D$7,0,AX36*Leadsheet!$D87)</f>
        <v>0</v>
      </c>
      <c r="AZ37" s="266">
        <f>IF(AZ$5&gt;$D$7,0,AY36*Leadsheet!$D87)</f>
        <v>0</v>
      </c>
      <c r="BA37" s="266">
        <f>IF(BA$5&gt;$D$7,0,AZ36*Leadsheet!$D87)</f>
        <v>0</v>
      </c>
      <c r="BB37" s="266">
        <f>IF(BB$5&gt;$D$7,0,BA36*Leadsheet!$D87)</f>
        <v>0</v>
      </c>
      <c r="BC37" s="266">
        <f>IF(BC$5&gt;$D$7,0,BB36*Leadsheet!$D87)</f>
        <v>0</v>
      </c>
      <c r="BD37" s="266">
        <f>IF(BD$5&gt;$D$7,0,BC36*Leadsheet!$D87)</f>
        <v>0</v>
      </c>
      <c r="BE37" s="266">
        <f>IF(BE$5&gt;$D$7,0,BD36*Leadsheet!$D87)</f>
        <v>0</v>
      </c>
      <c r="BF37" s="266">
        <f>IF(BF$5&gt;$D$7,0,BE36*Leadsheet!$D87)</f>
        <v>0</v>
      </c>
      <c r="BG37" s="266">
        <f>IF(BG$5&gt;$D$7,0,BF36*Leadsheet!$D87)</f>
        <v>0</v>
      </c>
      <c r="BH37" s="266">
        <f>IF(BH$5&gt;$D$7,0,BG36*Leadsheet!$D87)</f>
        <v>0</v>
      </c>
      <c r="BI37" s="266">
        <f>IF(BI$5&gt;$D$7,0,BH36*Leadsheet!$D87)</f>
        <v>0</v>
      </c>
      <c r="BJ37" s="266">
        <f>IF(BJ$5&gt;$D$7,0,BI36*Leadsheet!$D87)</f>
        <v>0</v>
      </c>
      <c r="BK37" s="266">
        <f>IF(BK$5&gt;$D$7,0,BJ36*Leadsheet!$D87)</f>
        <v>0</v>
      </c>
      <c r="BL37" s="266">
        <f>IF(BL$5&gt;$D$7,0,BK36*Leadsheet!$D87)</f>
        <v>0</v>
      </c>
    </row>
    <row r="38" spans="1:64" x14ac:dyDescent="0.15">
      <c r="A38" s="268" t="s">
        <v>387</v>
      </c>
      <c r="B38" s="269">
        <v>390</v>
      </c>
      <c r="C38" s="89" t="s">
        <v>323</v>
      </c>
      <c r="D38" s="270"/>
      <c r="E38" s="267">
        <f>IF(E$5&gt;$D$7,0,D37*Leadsheet!$D88)</f>
        <v>0</v>
      </c>
      <c r="F38" s="267">
        <f>IF(F$5&gt;$D$7,0,E37*Leadsheet!$D88)</f>
        <v>0</v>
      </c>
      <c r="G38" s="267">
        <f>IF(G$5&gt;$D$7,0,F37*Leadsheet!$D88)</f>
        <v>0</v>
      </c>
      <c r="H38" s="267">
        <f>IF(H$5&gt;$D$7,0,G37*Leadsheet!$D88)</f>
        <v>0</v>
      </c>
      <c r="I38" s="267">
        <f>IF(I$5&gt;$D$7,0,H37*Leadsheet!$D88)</f>
        <v>0</v>
      </c>
      <c r="J38" s="267">
        <f>IF(J$5&gt;$D$7,0,I37*Leadsheet!$D88)</f>
        <v>0</v>
      </c>
      <c r="K38" s="267">
        <f>IF(K$5&gt;$D$7,0,J37*Leadsheet!$D88)</f>
        <v>0</v>
      </c>
      <c r="L38" s="267">
        <f>IF(L$5&gt;$D$7,0,K37*Leadsheet!$D88)</f>
        <v>0</v>
      </c>
      <c r="M38" s="267">
        <f>IF(M$5&gt;$D$7,0,L37*Leadsheet!$D88)</f>
        <v>0</v>
      </c>
      <c r="N38" s="267">
        <f>IF(N$5&gt;$D$7,0,M37*Leadsheet!$D88)</f>
        <v>0</v>
      </c>
      <c r="O38" s="267">
        <f>IF(O$5&gt;$D$7,0,N37*Leadsheet!$D88)</f>
        <v>0</v>
      </c>
      <c r="P38" s="267">
        <f>IF(P$5&gt;$D$7,0,O37*Leadsheet!$D88)</f>
        <v>0</v>
      </c>
      <c r="Q38" s="267">
        <f>IF(Q$5&gt;$D$7,0,P37*Leadsheet!$D88)</f>
        <v>0</v>
      </c>
      <c r="R38" s="267">
        <f>IF(R$5&gt;$D$7,0,Q37*Leadsheet!$D88)</f>
        <v>0</v>
      </c>
      <c r="S38" s="267">
        <f>IF(S$5&gt;$D$7,0,R37*Leadsheet!$D88)</f>
        <v>0</v>
      </c>
      <c r="T38" s="266">
        <f>IF(T$5&gt;$D$7,0,S37*Leadsheet!$D88)</f>
        <v>0</v>
      </c>
      <c r="U38" s="266">
        <f>IF(U$5&gt;$D$7,0,T37*Leadsheet!$D88)</f>
        <v>0</v>
      </c>
      <c r="V38" s="266">
        <f>IF(V$5&gt;$D$7,0,U37*Leadsheet!$D88)</f>
        <v>0</v>
      </c>
      <c r="W38" s="266">
        <f>IF(W$5&gt;$D$7,0,V37*Leadsheet!$D88)</f>
        <v>0</v>
      </c>
      <c r="X38" s="266">
        <f>IF(X$5&gt;$D$7,0,W37*Leadsheet!$D88)</f>
        <v>0</v>
      </c>
      <c r="Y38" s="266">
        <f>IF(Y$5&gt;$D$7,0,X37*Leadsheet!$D88)</f>
        <v>0</v>
      </c>
      <c r="Z38" s="266">
        <f>IF(Z$5&gt;$D$7,0,Y37*Leadsheet!$D88)</f>
        <v>0</v>
      </c>
      <c r="AA38" s="266">
        <f>IF(AA$5&gt;$D$7,0,Z37*Leadsheet!$D88)</f>
        <v>0</v>
      </c>
      <c r="AB38" s="266">
        <f>IF(AB$5&gt;$D$7,0,AA37*Leadsheet!$D88)</f>
        <v>0</v>
      </c>
      <c r="AC38" s="266">
        <f>IF(AC$5&gt;$D$7,0,AB37*Leadsheet!$D88)</f>
        <v>0</v>
      </c>
      <c r="AD38" s="266">
        <f>IF(AD$5&gt;$D$7,0,AC37*Leadsheet!$D88)</f>
        <v>0</v>
      </c>
      <c r="AE38" s="266">
        <f>IF(AE$5&gt;$D$7,0,AD37*Leadsheet!$D88)</f>
        <v>0</v>
      </c>
      <c r="AF38" s="266">
        <f>IF(AF$5&gt;$D$7,0,AE37*Leadsheet!$D88)</f>
        <v>0</v>
      </c>
      <c r="AG38" s="266">
        <f>IF(AG$5&gt;$D$7,0,AF37*Leadsheet!$D88)</f>
        <v>0</v>
      </c>
      <c r="AH38" s="266">
        <f>IF(AH$5&gt;$D$7,0,AG37*Leadsheet!$D88)</f>
        <v>0</v>
      </c>
      <c r="AI38" s="266">
        <f>IF(AI$5&gt;$D$7,0,AH37*Leadsheet!$D88)</f>
        <v>0</v>
      </c>
      <c r="AJ38" s="266">
        <f>IF(AJ$5&gt;$D$7,0,AI37*Leadsheet!$D88)</f>
        <v>0</v>
      </c>
      <c r="AK38" s="266">
        <f>IF(AK$5&gt;$D$7,0,AJ37*Leadsheet!$D88)</f>
        <v>0</v>
      </c>
      <c r="AL38" s="266">
        <f>IF(AL$5&gt;$D$7,0,AK37*Leadsheet!$D88)</f>
        <v>0</v>
      </c>
      <c r="AM38" s="266">
        <f>IF(AM$5&gt;$D$7,0,AL37*Leadsheet!$D88)</f>
        <v>0</v>
      </c>
      <c r="AN38" s="266">
        <f>IF(AN$5&gt;$D$7,0,AM37*Leadsheet!$D88)</f>
        <v>0</v>
      </c>
      <c r="AO38" s="266">
        <f>IF(AO$5&gt;$D$7,0,AN37*Leadsheet!$D88)</f>
        <v>0</v>
      </c>
      <c r="AP38" s="266">
        <f>IF(AP$5&gt;$D$7,0,AO37*Leadsheet!$D88)</f>
        <v>0</v>
      </c>
      <c r="AQ38" s="266">
        <f>IF(AQ$5&gt;$D$7,0,AP37*Leadsheet!$D88)</f>
        <v>0</v>
      </c>
      <c r="AR38" s="266">
        <f>IF(AR$5&gt;$D$7,0,AQ37*Leadsheet!$D88)</f>
        <v>0</v>
      </c>
      <c r="AS38" s="266">
        <f>IF(AS$5&gt;$D$7,0,AR37*Leadsheet!$D88)</f>
        <v>0</v>
      </c>
      <c r="AT38" s="266">
        <f>IF(AT$5&gt;$D$7,0,AS37*Leadsheet!$D88)</f>
        <v>0</v>
      </c>
      <c r="AU38" s="266">
        <f>IF(AU$5&gt;$D$7,0,AT37*Leadsheet!$D88)</f>
        <v>0</v>
      </c>
      <c r="AV38" s="266">
        <f>IF(AV$5&gt;$D$7,0,AU37*Leadsheet!$D88)</f>
        <v>0</v>
      </c>
      <c r="AW38" s="266">
        <f>IF(AW$5&gt;$D$7,0,AV37*Leadsheet!$D88)</f>
        <v>0</v>
      </c>
      <c r="AX38" s="266">
        <f>IF(AX$5&gt;$D$7,0,AW37*Leadsheet!$D88)</f>
        <v>0</v>
      </c>
      <c r="AY38" s="266">
        <f>IF(AY$5&gt;$D$7,0,AX37*Leadsheet!$D88)</f>
        <v>0</v>
      </c>
      <c r="AZ38" s="266">
        <f>IF(AZ$5&gt;$D$7,0,AY37*Leadsheet!$D88)</f>
        <v>0</v>
      </c>
      <c r="BA38" s="266">
        <f>IF(BA$5&gt;$D$7,0,AZ37*Leadsheet!$D88)</f>
        <v>0</v>
      </c>
      <c r="BB38" s="266">
        <f>IF(BB$5&gt;$D$7,0,BA37*Leadsheet!$D88)</f>
        <v>0</v>
      </c>
      <c r="BC38" s="266">
        <f>IF(BC$5&gt;$D$7,0,BB37*Leadsheet!$D88)</f>
        <v>0</v>
      </c>
      <c r="BD38" s="266">
        <f>IF(BD$5&gt;$D$7,0,BC37*Leadsheet!$D88)</f>
        <v>0</v>
      </c>
      <c r="BE38" s="266">
        <f>IF(BE$5&gt;$D$7,0,BD37*Leadsheet!$D88)</f>
        <v>0</v>
      </c>
      <c r="BF38" s="266">
        <f>IF(BF$5&gt;$D$7,0,BE37*Leadsheet!$D88)</f>
        <v>0</v>
      </c>
      <c r="BG38" s="266">
        <f>IF(BG$5&gt;$D$7,0,BF37*Leadsheet!$D88)</f>
        <v>0</v>
      </c>
      <c r="BH38" s="266">
        <f>IF(BH$5&gt;$D$7,0,BG37*Leadsheet!$D88)</f>
        <v>0</v>
      </c>
      <c r="BI38" s="266">
        <f>IF(BI$5&gt;$D$7,0,BH37*Leadsheet!$D88)</f>
        <v>0</v>
      </c>
      <c r="BJ38" s="266">
        <f>IF(BJ$5&gt;$D$7,0,BI37*Leadsheet!$D88)</f>
        <v>0</v>
      </c>
      <c r="BK38" s="266">
        <f>IF(BK$5&gt;$D$7,0,BJ37*Leadsheet!$D88)</f>
        <v>0</v>
      </c>
      <c r="BL38" s="266">
        <f>IF(BL$5&gt;$D$7,0,BK37*Leadsheet!$D88)</f>
        <v>0</v>
      </c>
    </row>
    <row r="39" spans="1:64" x14ac:dyDescent="0.15">
      <c r="A39" s="268" t="s">
        <v>387</v>
      </c>
      <c r="B39" s="269" t="s">
        <v>388</v>
      </c>
      <c r="C39" s="89" t="s">
        <v>389</v>
      </c>
      <c r="D39" s="270"/>
      <c r="E39" s="266">
        <f t="shared" ref="E39:BL39" si="5">IF(E5&gt;$D$7,0,D38+D39)</f>
        <v>0</v>
      </c>
      <c r="F39" s="266">
        <f t="shared" si="5"/>
        <v>0</v>
      </c>
      <c r="G39" s="266">
        <f t="shared" si="5"/>
        <v>0</v>
      </c>
      <c r="H39" s="266">
        <f t="shared" si="5"/>
        <v>0</v>
      </c>
      <c r="I39" s="266">
        <f t="shared" si="5"/>
        <v>0</v>
      </c>
      <c r="J39" s="266">
        <f t="shared" si="5"/>
        <v>0</v>
      </c>
      <c r="K39" s="266">
        <f t="shared" si="5"/>
        <v>0</v>
      </c>
      <c r="L39" s="266">
        <f t="shared" si="5"/>
        <v>0</v>
      </c>
      <c r="M39" s="266">
        <f t="shared" si="5"/>
        <v>0</v>
      </c>
      <c r="N39" s="266">
        <f t="shared" si="5"/>
        <v>0</v>
      </c>
      <c r="O39" s="266">
        <f t="shared" si="5"/>
        <v>0</v>
      </c>
      <c r="P39" s="266">
        <f t="shared" si="5"/>
        <v>0</v>
      </c>
      <c r="Q39" s="266">
        <f t="shared" si="5"/>
        <v>0</v>
      </c>
      <c r="R39" s="266">
        <f t="shared" si="5"/>
        <v>0</v>
      </c>
      <c r="S39" s="266">
        <f t="shared" si="5"/>
        <v>0</v>
      </c>
      <c r="T39" s="266">
        <f t="shared" si="5"/>
        <v>0</v>
      </c>
      <c r="U39" s="266">
        <f t="shared" si="5"/>
        <v>0</v>
      </c>
      <c r="V39" s="266">
        <f t="shared" si="5"/>
        <v>0</v>
      </c>
      <c r="W39" s="266">
        <f t="shared" si="5"/>
        <v>0</v>
      </c>
      <c r="X39" s="266">
        <f t="shared" si="5"/>
        <v>0</v>
      </c>
      <c r="Y39" s="266">
        <f t="shared" si="5"/>
        <v>0</v>
      </c>
      <c r="Z39" s="266">
        <f t="shared" si="5"/>
        <v>0</v>
      </c>
      <c r="AA39" s="266">
        <f t="shared" si="5"/>
        <v>0</v>
      </c>
      <c r="AB39" s="266">
        <f t="shared" si="5"/>
        <v>0</v>
      </c>
      <c r="AC39" s="266">
        <f t="shared" si="5"/>
        <v>0</v>
      </c>
      <c r="AD39" s="266">
        <f t="shared" si="5"/>
        <v>0</v>
      </c>
      <c r="AE39" s="266">
        <f t="shared" si="5"/>
        <v>0</v>
      </c>
      <c r="AF39" s="266">
        <f t="shared" si="5"/>
        <v>0</v>
      </c>
      <c r="AG39" s="266">
        <f t="shared" si="5"/>
        <v>0</v>
      </c>
      <c r="AH39" s="266">
        <f t="shared" si="5"/>
        <v>0</v>
      </c>
      <c r="AI39" s="266">
        <f t="shared" si="5"/>
        <v>0</v>
      </c>
      <c r="AJ39" s="266">
        <f t="shared" si="5"/>
        <v>0</v>
      </c>
      <c r="AK39" s="266">
        <f t="shared" si="5"/>
        <v>0</v>
      </c>
      <c r="AL39" s="266">
        <f t="shared" si="5"/>
        <v>0</v>
      </c>
      <c r="AM39" s="266">
        <f t="shared" si="5"/>
        <v>0</v>
      </c>
      <c r="AN39" s="266">
        <f t="shared" si="5"/>
        <v>0</v>
      </c>
      <c r="AO39" s="266">
        <f t="shared" si="5"/>
        <v>0</v>
      </c>
      <c r="AP39" s="266">
        <f t="shared" si="5"/>
        <v>0</v>
      </c>
      <c r="AQ39" s="266">
        <f t="shared" si="5"/>
        <v>0</v>
      </c>
      <c r="AR39" s="266">
        <f t="shared" si="5"/>
        <v>0</v>
      </c>
      <c r="AS39" s="266">
        <f t="shared" si="5"/>
        <v>0</v>
      </c>
      <c r="AT39" s="266">
        <f t="shared" si="5"/>
        <v>0</v>
      </c>
      <c r="AU39" s="266">
        <f t="shared" si="5"/>
        <v>0</v>
      </c>
      <c r="AV39" s="266">
        <f t="shared" si="5"/>
        <v>0</v>
      </c>
      <c r="AW39" s="266">
        <f t="shared" si="5"/>
        <v>0</v>
      </c>
      <c r="AX39" s="266">
        <f t="shared" si="5"/>
        <v>0</v>
      </c>
      <c r="AY39" s="266">
        <f t="shared" si="5"/>
        <v>0</v>
      </c>
      <c r="AZ39" s="266">
        <f t="shared" si="5"/>
        <v>0</v>
      </c>
      <c r="BA39" s="266">
        <f t="shared" si="5"/>
        <v>0</v>
      </c>
      <c r="BB39" s="266">
        <f t="shared" si="5"/>
        <v>0</v>
      </c>
      <c r="BC39" s="266">
        <f t="shared" si="5"/>
        <v>0</v>
      </c>
      <c r="BD39" s="266">
        <f t="shared" si="5"/>
        <v>0</v>
      </c>
      <c r="BE39" s="266">
        <f t="shared" si="5"/>
        <v>0</v>
      </c>
      <c r="BF39" s="266">
        <f t="shared" si="5"/>
        <v>0</v>
      </c>
      <c r="BG39" s="266">
        <f t="shared" si="5"/>
        <v>0</v>
      </c>
      <c r="BH39" s="266">
        <f t="shared" si="5"/>
        <v>0</v>
      </c>
      <c r="BI39" s="266">
        <f t="shared" si="5"/>
        <v>0</v>
      </c>
      <c r="BJ39" s="266">
        <f t="shared" si="5"/>
        <v>0</v>
      </c>
      <c r="BK39" s="266">
        <f t="shared" si="5"/>
        <v>0</v>
      </c>
      <c r="BL39" s="266">
        <f t="shared" si="5"/>
        <v>0</v>
      </c>
    </row>
    <row r="40" spans="1:64" x14ac:dyDescent="0.15">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61"/>
      <c r="BE40" s="161"/>
      <c r="BF40" s="161"/>
      <c r="BG40" s="161"/>
      <c r="BH40" s="161"/>
      <c r="BI40" s="161"/>
      <c r="BJ40" s="161"/>
      <c r="BK40" s="161"/>
      <c r="BL40" s="161"/>
    </row>
    <row r="41" spans="1:64" x14ac:dyDescent="0.15">
      <c r="B41" s="163" t="s">
        <v>390</v>
      </c>
      <c r="C41" s="248"/>
      <c r="E41" s="272"/>
      <c r="F41" s="272"/>
      <c r="G41" s="272"/>
      <c r="H41" s="272"/>
      <c r="I41" s="272"/>
      <c r="J41" s="272"/>
      <c r="K41" s="272"/>
      <c r="L41" s="272"/>
      <c r="M41" s="272"/>
      <c r="N41" s="272"/>
      <c r="O41" s="272"/>
      <c r="P41" s="272"/>
      <c r="Q41" s="272"/>
      <c r="R41" s="272"/>
      <c r="S41" s="272"/>
      <c r="T41" s="156"/>
      <c r="U41" s="156"/>
      <c r="V41" s="156"/>
      <c r="W41" s="156"/>
      <c r="X41" s="156"/>
      <c r="Y41" s="156"/>
      <c r="Z41" s="156"/>
      <c r="AA41" s="156"/>
      <c r="AB41" s="156"/>
    </row>
    <row r="42" spans="1:64" s="161" customFormat="1" x14ac:dyDescent="0.15">
      <c r="C42" s="163" t="s">
        <v>391</v>
      </c>
      <c r="D42" s="260">
        <f t="shared" ref="D42:BL42" si="6">SUM(D25:D39)</f>
        <v>3.4739502074405886</v>
      </c>
      <c r="E42" s="260">
        <f t="shared" si="6"/>
        <v>0.26402021576548473</v>
      </c>
      <c r="F42" s="260">
        <f t="shared" si="6"/>
        <v>0.20329556613942326</v>
      </c>
      <c r="G42" s="260">
        <f t="shared" si="6"/>
        <v>0.18574073153782078</v>
      </c>
      <c r="H42" s="260">
        <f t="shared" si="6"/>
        <v>0.18016850959168615</v>
      </c>
      <c r="I42" s="260">
        <f t="shared" si="6"/>
        <v>0.17836682449576929</v>
      </c>
      <c r="J42" s="260">
        <f t="shared" si="6"/>
        <v>0.17658315625081161</v>
      </c>
      <c r="K42" s="260">
        <f t="shared" si="6"/>
        <v>0.17570024046955757</v>
      </c>
      <c r="L42" s="260">
        <f t="shared" si="6"/>
        <v>0</v>
      </c>
      <c r="M42" s="260">
        <f t="shared" si="6"/>
        <v>0</v>
      </c>
      <c r="N42" s="260">
        <f t="shared" si="6"/>
        <v>0</v>
      </c>
      <c r="O42" s="260">
        <f t="shared" si="6"/>
        <v>0</v>
      </c>
      <c r="P42" s="260">
        <f t="shared" si="6"/>
        <v>0</v>
      </c>
      <c r="Q42" s="260">
        <f t="shared" si="6"/>
        <v>0</v>
      </c>
      <c r="R42" s="260">
        <f t="shared" si="6"/>
        <v>0</v>
      </c>
      <c r="S42" s="260">
        <f t="shared" si="6"/>
        <v>0</v>
      </c>
      <c r="T42" s="260">
        <f t="shared" si="6"/>
        <v>0</v>
      </c>
      <c r="U42" s="260">
        <f t="shared" si="6"/>
        <v>0</v>
      </c>
      <c r="V42" s="260">
        <f t="shared" si="6"/>
        <v>0</v>
      </c>
      <c r="W42" s="260">
        <f t="shared" si="6"/>
        <v>0</v>
      </c>
      <c r="X42" s="260">
        <f t="shared" si="6"/>
        <v>0</v>
      </c>
      <c r="Y42" s="260">
        <f>SUM(Y25:Y39)</f>
        <v>0</v>
      </c>
      <c r="Z42" s="260">
        <f t="shared" si="6"/>
        <v>0</v>
      </c>
      <c r="AA42" s="260">
        <f t="shared" si="6"/>
        <v>0</v>
      </c>
      <c r="AB42" s="260">
        <f t="shared" si="6"/>
        <v>0</v>
      </c>
      <c r="AC42" s="260">
        <f t="shared" si="6"/>
        <v>0</v>
      </c>
      <c r="AD42" s="260">
        <f t="shared" si="6"/>
        <v>0</v>
      </c>
      <c r="AE42" s="260">
        <f t="shared" si="6"/>
        <v>0</v>
      </c>
      <c r="AF42" s="260">
        <f t="shared" si="6"/>
        <v>0</v>
      </c>
      <c r="AG42" s="260">
        <f t="shared" si="6"/>
        <v>0</v>
      </c>
      <c r="AH42" s="260">
        <f t="shared" si="6"/>
        <v>0</v>
      </c>
      <c r="AI42" s="260">
        <f t="shared" si="6"/>
        <v>0</v>
      </c>
      <c r="AJ42" s="260">
        <f t="shared" si="6"/>
        <v>0</v>
      </c>
      <c r="AK42" s="260">
        <f t="shared" si="6"/>
        <v>0</v>
      </c>
      <c r="AL42" s="260">
        <f t="shared" si="6"/>
        <v>0</v>
      </c>
      <c r="AM42" s="260">
        <f t="shared" si="6"/>
        <v>0</v>
      </c>
      <c r="AN42" s="260">
        <f t="shared" si="6"/>
        <v>0</v>
      </c>
      <c r="AO42" s="260">
        <f t="shared" si="6"/>
        <v>0</v>
      </c>
      <c r="AP42" s="260">
        <f t="shared" si="6"/>
        <v>0</v>
      </c>
      <c r="AQ42" s="260">
        <f t="shared" si="6"/>
        <v>0</v>
      </c>
      <c r="AR42" s="260">
        <f t="shared" si="6"/>
        <v>0</v>
      </c>
      <c r="AS42" s="260">
        <f t="shared" si="6"/>
        <v>0</v>
      </c>
      <c r="AT42" s="260">
        <f t="shared" si="6"/>
        <v>0</v>
      </c>
      <c r="AU42" s="260">
        <f t="shared" si="6"/>
        <v>0</v>
      </c>
      <c r="AV42" s="260">
        <f t="shared" si="6"/>
        <v>0</v>
      </c>
      <c r="AW42" s="260">
        <f t="shared" si="6"/>
        <v>0</v>
      </c>
      <c r="AX42" s="260">
        <f t="shared" si="6"/>
        <v>0</v>
      </c>
      <c r="AY42" s="260">
        <f t="shared" si="6"/>
        <v>0</v>
      </c>
      <c r="AZ42" s="260">
        <f t="shared" si="6"/>
        <v>0</v>
      </c>
      <c r="BA42" s="260">
        <f t="shared" si="6"/>
        <v>0</v>
      </c>
      <c r="BB42" s="260">
        <f t="shared" si="6"/>
        <v>0</v>
      </c>
      <c r="BC42" s="260">
        <f t="shared" si="6"/>
        <v>0</v>
      </c>
      <c r="BD42" s="260">
        <f t="shared" si="6"/>
        <v>0</v>
      </c>
      <c r="BE42" s="260">
        <f t="shared" si="6"/>
        <v>0</v>
      </c>
      <c r="BF42" s="260">
        <f t="shared" si="6"/>
        <v>0</v>
      </c>
      <c r="BG42" s="260">
        <f t="shared" si="6"/>
        <v>0</v>
      </c>
      <c r="BH42" s="260">
        <f t="shared" si="6"/>
        <v>0</v>
      </c>
      <c r="BI42" s="260">
        <f t="shared" si="6"/>
        <v>0</v>
      </c>
      <c r="BJ42" s="260">
        <f t="shared" si="6"/>
        <v>0</v>
      </c>
      <c r="BK42" s="260">
        <f t="shared" si="6"/>
        <v>0</v>
      </c>
      <c r="BL42" s="260">
        <f t="shared" si="6"/>
        <v>0</v>
      </c>
    </row>
    <row r="43" spans="1:64" s="163" customFormat="1" x14ac:dyDescent="0.15">
      <c r="C43" s="261" t="s">
        <v>392</v>
      </c>
      <c r="D43" s="161" cm="1">
        <f t="array" ref="D43">IF(D5=$D$7,0,_xlfn.IFS(Leadsheet!$G$5="DPD360+",SUM(SAP_Speadsheet!D25:D38),Leadsheet!$G$5="DPD180+",SUM(SAP_Speadsheet!D25:D32)))</f>
        <v>3.4739502074405886</v>
      </c>
      <c r="E43" s="161" cm="1">
        <f t="array" ref="E43">IF(E5=$D$7,0,_xlfn.IFS(Leadsheet!$G$5="DPD360+",SUM(SAP_Speadsheet!E25:E38),Leadsheet!$G$5="DPD180+",SUM(SAP_Speadsheet!E25:E32)))</f>
        <v>0.26402021576548473</v>
      </c>
      <c r="F43" s="161" cm="1">
        <f t="array" ref="F43">IF(F5=$D$7,0,_xlfn.IFS(Leadsheet!$G$5="DPD360+",SUM(SAP_Speadsheet!F25:F38),Leadsheet!$G$5="DPD180+",SUM(SAP_Speadsheet!F25:F32)))</f>
        <v>0.20329556613942326</v>
      </c>
      <c r="G43" s="161" cm="1">
        <f t="array" ref="G43">IF(G5=$D$7,0,_xlfn.IFS(Leadsheet!$G$5="DPD360+",SUM(SAP_Speadsheet!G25:G38),Leadsheet!$G$5="DPD180+",SUM(SAP_Speadsheet!G25:G32)))</f>
        <v>0.18574073153782078</v>
      </c>
      <c r="H43" s="161" cm="1">
        <f t="array" ref="H43">IF(H5=$D$7,0,_xlfn.IFS(Leadsheet!$G$5="DPD360+",SUM(SAP_Speadsheet!H25:H38),Leadsheet!$G$5="DPD180+",SUM(SAP_Speadsheet!H25:H32)))</f>
        <v>0.18016850959168615</v>
      </c>
      <c r="I43" s="161" cm="1">
        <f t="array" ref="I43">IF(I5=$D$7,0,_xlfn.IFS(Leadsheet!$G$5="DPD360+",SUM(SAP_Speadsheet!I25:I38),Leadsheet!$G$5="DPD180+",SUM(SAP_Speadsheet!I25:I32)))</f>
        <v>0.17836682449576929</v>
      </c>
      <c r="J43" s="161" cm="1">
        <f t="array" ref="J43">IF(J5=$D$7,0,_xlfn.IFS(Leadsheet!$G$5="DPD360+",SUM(SAP_Speadsheet!J25:J38),Leadsheet!$G$5="DPD180+",SUM(SAP_Speadsheet!J25:J32)))</f>
        <v>0.17658315625081161</v>
      </c>
      <c r="K43" s="161" cm="1">
        <f t="array" ref="K43">IF(K5=$D$7,0,_xlfn.IFS(Leadsheet!$G$5="DPD360+",SUM(SAP_Speadsheet!K25:K38),Leadsheet!$G$5="DPD180+",SUM(SAP_Speadsheet!K25:K32)))</f>
        <v>0</v>
      </c>
      <c r="L43" s="161" cm="1">
        <f t="array" ref="L43">IF(L5=$D$7,0,_xlfn.IFS(Leadsheet!$G$5="DPD360+",SUM(SAP_Speadsheet!L25:L38),Leadsheet!$G$5="DPD180+",SUM(SAP_Speadsheet!L25:L32)))</f>
        <v>0</v>
      </c>
      <c r="M43" s="161" cm="1">
        <f t="array" ref="M43">IF(M5=$D$7,0,_xlfn.IFS(Leadsheet!$G$5="DPD360+",SUM(SAP_Speadsheet!M25:M38),Leadsheet!$G$5="DPD180+",SUM(SAP_Speadsheet!M25:M32)))</f>
        <v>0</v>
      </c>
      <c r="N43" s="161" cm="1">
        <f t="array" ref="N43">IF(N5=$D$7,0,_xlfn.IFS(Leadsheet!$G$5="DPD360+",SUM(SAP_Speadsheet!N25:N38),Leadsheet!$G$5="DPD180+",SUM(SAP_Speadsheet!N25:N32)))</f>
        <v>0</v>
      </c>
      <c r="O43" s="161" cm="1">
        <f t="array" ref="O43">IF(O5=$D$7,0,_xlfn.IFS(Leadsheet!$G$5="DPD360+",SUM(SAP_Speadsheet!O25:O38),Leadsheet!$G$5="DPD180+",SUM(SAP_Speadsheet!O25:O32)))</f>
        <v>0</v>
      </c>
      <c r="P43" s="161" cm="1">
        <f t="array" ref="P43">IF(P5=$D$7,0,_xlfn.IFS(Leadsheet!$G$5="DPD360+",SUM(SAP_Speadsheet!P25:P38),Leadsheet!$G$5="DPD180+",SUM(SAP_Speadsheet!P25:P32)))</f>
        <v>0</v>
      </c>
      <c r="Q43" s="161" cm="1">
        <f t="array" ref="Q43">IF(Q5=$D$7,0,_xlfn.IFS(Leadsheet!$G$5="DPD360+",SUM(SAP_Speadsheet!Q25:Q38),Leadsheet!$G$5="DPD180+",SUM(SAP_Speadsheet!Q25:Q32)))</f>
        <v>0</v>
      </c>
      <c r="R43" s="161" cm="1">
        <f t="array" ref="R43">IF(R5=$D$7,0,_xlfn.IFS(Leadsheet!$G$5="DPD360+",SUM(SAP_Speadsheet!R25:R38),Leadsheet!$G$5="DPD180+",SUM(SAP_Speadsheet!R25:R32)))</f>
        <v>0</v>
      </c>
      <c r="S43" s="161" cm="1">
        <f t="array" ref="S43">IF(S5=$D$7,0,_xlfn.IFS(Leadsheet!$G$5="DPD360+",SUM(SAP_Speadsheet!S25:S38),Leadsheet!$G$5="DPD180+",SUM(SAP_Speadsheet!S25:S32)))</f>
        <v>0</v>
      </c>
      <c r="T43" s="161" cm="1">
        <f t="array" ref="T43">IF(T5=$D$7,0,_xlfn.IFS(Leadsheet!$G$5="DPD360+",SUM(SAP_Speadsheet!T25:T38),Leadsheet!$G$5="DPD180+",SUM(SAP_Speadsheet!T25:T32)))</f>
        <v>0</v>
      </c>
      <c r="U43" s="161" cm="1">
        <f t="array" ref="U43">IF(U5=$D$7,0,_xlfn.IFS(Leadsheet!$G$5="DPD360+",SUM(SAP_Speadsheet!U25:U38),Leadsheet!$G$5="DPD180+",SUM(SAP_Speadsheet!U25:U32)))</f>
        <v>0</v>
      </c>
      <c r="V43" s="161" cm="1">
        <f t="array" ref="V43">IF(V5=$D$7,0,_xlfn.IFS(Leadsheet!$G$5="DPD360+",SUM(SAP_Speadsheet!V25:V38),Leadsheet!$G$5="DPD180+",SUM(SAP_Speadsheet!V25:V32)))</f>
        <v>0</v>
      </c>
      <c r="W43" s="161" cm="1">
        <f t="array" ref="W43">IF(W5=$D$7,0,_xlfn.IFS(Leadsheet!$G$5="DPD360+",SUM(SAP_Speadsheet!W25:W38),Leadsheet!$G$5="DPD180+",SUM(SAP_Speadsheet!W25:W32)))</f>
        <v>0</v>
      </c>
      <c r="X43" s="161" cm="1">
        <f t="array" ref="X43">IF(X5=$D$7,0,_xlfn.IFS(Leadsheet!$G$5="DPD360+",SUM(SAP_Speadsheet!X25:X38),Leadsheet!$G$5="DPD180+",SUM(SAP_Speadsheet!X25:X32)))</f>
        <v>0</v>
      </c>
      <c r="Y43" s="161" cm="1">
        <f t="array" ref="Y43">IF(Y5=$D$7,0,_xlfn.IFS(Leadsheet!$G$5="DPD360+",SUM(SAP_Speadsheet!Y25:Y38),Leadsheet!$G$5="DPD180+",SUM(SAP_Speadsheet!Y25:Y32)))</f>
        <v>0</v>
      </c>
      <c r="Z43" s="161" cm="1">
        <f t="array" ref="Z43">IF(Z5=$D$7,0,_xlfn.IFS(Leadsheet!$G$5="DPD360+",SUM(SAP_Speadsheet!Z25:Z38),Leadsheet!$G$5="DPD180+",SUM(SAP_Speadsheet!Z25:Z32)))</f>
        <v>0</v>
      </c>
      <c r="AA43" s="161" cm="1">
        <f t="array" ref="AA43">IF(AA5=$D$7,0,_xlfn.IFS(Leadsheet!$G$5="DPD360+",SUM(SAP_Speadsheet!AA25:AA38),Leadsheet!$G$5="DPD180+",SUM(SAP_Speadsheet!AA25:AA32)))</f>
        <v>0</v>
      </c>
      <c r="AB43" s="161" cm="1">
        <f t="array" ref="AB43">IF(AB5=$D$7,0,_xlfn.IFS(Leadsheet!$G$5="DPD360+",SUM(SAP_Speadsheet!AB25:AB38),Leadsheet!$G$5="DPD180+",SUM(SAP_Speadsheet!AB25:AB32)))</f>
        <v>0</v>
      </c>
      <c r="AC43" s="161" cm="1">
        <f t="array" ref="AC43">IF(AC5=$D$7,0,_xlfn.IFS(Leadsheet!$G$5="DPD360+",SUM(SAP_Speadsheet!AC25:AC38),Leadsheet!$G$5="DPD180+",SUM(SAP_Speadsheet!AC25:AC32)))</f>
        <v>0</v>
      </c>
      <c r="AD43" s="161" cm="1">
        <f t="array" ref="AD43">IF(AD5=$D$7,0,_xlfn.IFS(Leadsheet!$G$5="DPD360+",SUM(SAP_Speadsheet!AD25:AD38),Leadsheet!$G$5="DPD180+",SUM(SAP_Speadsheet!AD25:AD32)))</f>
        <v>0</v>
      </c>
      <c r="AE43" s="161" cm="1">
        <f t="array" ref="AE43">IF(AE5=$D$7,0,_xlfn.IFS(Leadsheet!$G$5="DPD360+",SUM(SAP_Speadsheet!AE25:AE38),Leadsheet!$G$5="DPD180+",SUM(SAP_Speadsheet!AE25:AE32)))</f>
        <v>0</v>
      </c>
      <c r="AF43" s="161" cm="1">
        <f t="array" ref="AF43">IF(AF5=$D$7,0,_xlfn.IFS(Leadsheet!$G$5="DPD360+",SUM(SAP_Speadsheet!AF25:AF38),Leadsheet!$G$5="DPD180+",SUM(SAP_Speadsheet!AF25:AF32)))</f>
        <v>0</v>
      </c>
      <c r="AG43" s="161" cm="1">
        <f t="array" ref="AG43">IF(AG5=$D$7,0,_xlfn.IFS(Leadsheet!$G$5="DPD360+",SUM(SAP_Speadsheet!AG25:AG38),Leadsheet!$G$5="DPD180+",SUM(SAP_Speadsheet!AG25:AG32)))</f>
        <v>0</v>
      </c>
      <c r="AH43" s="161" cm="1">
        <f t="array" ref="AH43">IF(AH5=$D$7,0,_xlfn.IFS(Leadsheet!$G$5="DPD360+",SUM(SAP_Speadsheet!AH25:AH38),Leadsheet!$G$5="DPD180+",SUM(SAP_Speadsheet!AH25:AH32)))</f>
        <v>0</v>
      </c>
      <c r="AI43" s="161" cm="1">
        <f t="array" ref="AI43">IF(AI5=$D$7,0,_xlfn.IFS(Leadsheet!$G$5="DPD360+",SUM(SAP_Speadsheet!AI25:AI38),Leadsheet!$G$5="DPD180+",SUM(SAP_Speadsheet!AI25:AI32)))</f>
        <v>0</v>
      </c>
      <c r="AJ43" s="161" cm="1">
        <f t="array" ref="AJ43">IF(AJ5=$D$7,0,_xlfn.IFS(Leadsheet!$G$5="DPD360+",SUM(SAP_Speadsheet!AJ25:AJ38),Leadsheet!$G$5="DPD180+",SUM(SAP_Speadsheet!AJ25:AJ32)))</f>
        <v>0</v>
      </c>
      <c r="AK43" s="161" cm="1">
        <f t="array" ref="AK43">IF(AK5=$D$7,0,_xlfn.IFS(Leadsheet!$G$5="DPD360+",SUM(SAP_Speadsheet!AK25:AK38),Leadsheet!$G$5="DPD180+",SUM(SAP_Speadsheet!AK25:AK32)))</f>
        <v>0</v>
      </c>
      <c r="AL43" s="161" cm="1">
        <f t="array" ref="AL43">IF(AL5=$D$7,0,_xlfn.IFS(Leadsheet!$G$5="DPD360+",SUM(SAP_Speadsheet!AL25:AL38),Leadsheet!$G$5="DPD180+",SUM(SAP_Speadsheet!AL25:AL32)))</f>
        <v>0</v>
      </c>
      <c r="AM43" s="161" cm="1">
        <f t="array" ref="AM43">IF(AM5=$D$7,0,_xlfn.IFS(Leadsheet!$G$5="DPD360+",SUM(SAP_Speadsheet!AM25:AM38),Leadsheet!$G$5="DPD180+",SUM(SAP_Speadsheet!AM25:AM32)))</f>
        <v>0</v>
      </c>
      <c r="AN43" s="161" cm="1">
        <f t="array" ref="AN43">IF(AN5=$D$7,0,_xlfn.IFS(Leadsheet!$G$5="DPD360+",SUM(SAP_Speadsheet!AN25:AN38),Leadsheet!$G$5="DPD180+",SUM(SAP_Speadsheet!AN25:AN32)))</f>
        <v>0</v>
      </c>
      <c r="AO43" s="161" cm="1">
        <f t="array" ref="AO43">IF(AO5=$D$7,0,_xlfn.IFS(Leadsheet!$G$5="DPD360+",SUM(SAP_Speadsheet!AO25:AO38),Leadsheet!$G$5="DPD180+",SUM(SAP_Speadsheet!AO25:AO32)))</f>
        <v>0</v>
      </c>
      <c r="AP43" s="161" cm="1">
        <f t="array" ref="AP43">IF(AP5=$D$7,0,_xlfn.IFS(Leadsheet!$G$5="DPD360+",SUM(SAP_Speadsheet!AP25:AP38),Leadsheet!$G$5="DPD180+",SUM(SAP_Speadsheet!AP25:AP32)))</f>
        <v>0</v>
      </c>
      <c r="AQ43" s="161" cm="1">
        <f t="array" ref="AQ43">IF(AQ5=$D$7,0,_xlfn.IFS(Leadsheet!$G$5="DPD360+",SUM(SAP_Speadsheet!AQ25:AQ38),Leadsheet!$G$5="DPD180+",SUM(SAP_Speadsheet!AQ25:AQ32)))</f>
        <v>0</v>
      </c>
      <c r="AR43" s="161" cm="1">
        <f t="array" ref="AR43">IF(AR5=$D$7,0,_xlfn.IFS(Leadsheet!$G$5="DPD360+",SUM(SAP_Speadsheet!AR25:AR38),Leadsheet!$G$5="DPD180+",SUM(SAP_Speadsheet!AR25:AR32)))</f>
        <v>0</v>
      </c>
      <c r="AS43" s="161" cm="1">
        <f t="array" ref="AS43">IF(AS5=$D$7,0,_xlfn.IFS(Leadsheet!$G$5="DPD360+",SUM(SAP_Speadsheet!AS25:AS38),Leadsheet!$G$5="DPD180+",SUM(SAP_Speadsheet!AS25:AS32)))</f>
        <v>0</v>
      </c>
      <c r="AT43" s="161" cm="1">
        <f t="array" ref="AT43">IF(AT5=$D$7,0,_xlfn.IFS(Leadsheet!$G$5="DPD360+",SUM(SAP_Speadsheet!AT25:AT38),Leadsheet!$G$5="DPD180+",SUM(SAP_Speadsheet!AT25:AT32)))</f>
        <v>0</v>
      </c>
      <c r="AU43" s="161" cm="1">
        <f t="array" ref="AU43">IF(AU5=$D$7,0,_xlfn.IFS(Leadsheet!$G$5="DPD360+",SUM(SAP_Speadsheet!AU25:AU38),Leadsheet!$G$5="DPD180+",SUM(SAP_Speadsheet!AU25:AU32)))</f>
        <v>0</v>
      </c>
      <c r="AV43" s="161" cm="1">
        <f t="array" ref="AV43">IF(AV5=$D$7,0,_xlfn.IFS(Leadsheet!$G$5="DPD360+",SUM(SAP_Speadsheet!AV25:AV38),Leadsheet!$G$5="DPD180+",SUM(SAP_Speadsheet!AV25:AV32)))</f>
        <v>0</v>
      </c>
      <c r="AW43" s="161" cm="1">
        <f t="array" ref="AW43">IF(AW5=$D$7,0,_xlfn.IFS(Leadsheet!$G$5="DPD360+",SUM(SAP_Speadsheet!AW25:AW38),Leadsheet!$G$5="DPD180+",SUM(SAP_Speadsheet!AW25:AW32)))</f>
        <v>0</v>
      </c>
      <c r="AX43" s="161" cm="1">
        <f t="array" ref="AX43">IF(AX5=$D$7,0,_xlfn.IFS(Leadsheet!$G$5="DPD360+",SUM(SAP_Speadsheet!AX25:AX38),Leadsheet!$G$5="DPD180+",SUM(SAP_Speadsheet!AX25:AX32)))</f>
        <v>0</v>
      </c>
      <c r="AY43" s="161" cm="1">
        <f t="array" ref="AY43">IF(AY5=$D$7,0,_xlfn.IFS(Leadsheet!$G$5="DPD360+",SUM(SAP_Speadsheet!AY25:AY38),Leadsheet!$G$5="DPD180+",SUM(SAP_Speadsheet!AY25:AY32)))</f>
        <v>0</v>
      </c>
      <c r="AZ43" s="161" cm="1">
        <f t="array" ref="AZ43">IF(AZ5=$D$7,0,_xlfn.IFS(Leadsheet!$G$5="DPD360+",SUM(SAP_Speadsheet!AZ25:AZ38),Leadsheet!$G$5="DPD180+",SUM(SAP_Speadsheet!AZ25:AZ32)))</f>
        <v>0</v>
      </c>
      <c r="BA43" s="161" cm="1">
        <f t="array" ref="BA43">IF(BA5=$D$7,0,_xlfn.IFS(Leadsheet!$G$5="DPD360+",SUM(SAP_Speadsheet!BA25:BA38),Leadsheet!$G$5="DPD180+",SUM(SAP_Speadsheet!BA25:BA32)))</f>
        <v>0</v>
      </c>
      <c r="BB43" s="161" cm="1">
        <f t="array" ref="BB43">IF(BB5=$D$7,0,_xlfn.IFS(Leadsheet!$G$5="DPD360+",SUM(SAP_Speadsheet!BB25:BB38),Leadsheet!$G$5="DPD180+",SUM(SAP_Speadsheet!BB25:BB32)))</f>
        <v>0</v>
      </c>
      <c r="BC43" s="161" cm="1">
        <f t="array" ref="BC43">IF(BC5=$D$7,0,_xlfn.IFS(Leadsheet!$G$5="DPD360+",SUM(SAP_Speadsheet!BC25:BC38),Leadsheet!$G$5="DPD180+",SUM(SAP_Speadsheet!BC25:BC32)))</f>
        <v>0</v>
      </c>
      <c r="BD43" s="161" cm="1">
        <f t="array" ref="BD43">IF(BD5=$D$7,0,_xlfn.IFS(Leadsheet!$G$5="DPD360+",SUM(SAP_Speadsheet!BD25:BD38),Leadsheet!$G$5="DPD180+",SUM(SAP_Speadsheet!BD25:BD32)))</f>
        <v>0</v>
      </c>
      <c r="BE43" s="161" cm="1">
        <f t="array" ref="BE43">IF(BE5=$D$7,0,_xlfn.IFS(Leadsheet!$G$5="DPD360+",SUM(SAP_Speadsheet!BE25:BE38),Leadsheet!$G$5="DPD180+",SUM(SAP_Speadsheet!BE25:BE32)))</f>
        <v>0</v>
      </c>
      <c r="BF43" s="161" cm="1">
        <f t="array" ref="BF43">IF(BF5=$D$7,0,_xlfn.IFS(Leadsheet!$G$5="DPD360+",SUM(SAP_Speadsheet!BF25:BF38),Leadsheet!$G$5="DPD180+",SUM(SAP_Speadsheet!BF25:BF32)))</f>
        <v>0</v>
      </c>
      <c r="BG43" s="161" cm="1">
        <f t="array" ref="BG43">IF(BG5=$D$7,0,_xlfn.IFS(Leadsheet!$G$5="DPD360+",SUM(SAP_Speadsheet!BG25:BG38),Leadsheet!$G$5="DPD180+",SUM(SAP_Speadsheet!BG25:BG32)))</f>
        <v>0</v>
      </c>
      <c r="BH43" s="161" cm="1">
        <f t="array" ref="BH43">IF(BH5=$D$7,0,_xlfn.IFS(Leadsheet!$G$5="DPD360+",SUM(SAP_Speadsheet!BH25:BH38),Leadsheet!$G$5="DPD180+",SUM(SAP_Speadsheet!BH25:BH32)))</f>
        <v>0</v>
      </c>
      <c r="BI43" s="161" cm="1">
        <f t="array" ref="BI43">IF(BI5=$D$7,0,_xlfn.IFS(Leadsheet!$G$5="DPD360+",SUM(SAP_Speadsheet!BI25:BI38),Leadsheet!$G$5="DPD180+",SUM(SAP_Speadsheet!BI25:BI32)))</f>
        <v>0</v>
      </c>
      <c r="BJ43" s="161" cm="1">
        <f t="array" ref="BJ43">IF(BJ5=$D$7,0,_xlfn.IFS(Leadsheet!$G$5="DPD360+",SUM(SAP_Speadsheet!BJ25:BJ38),Leadsheet!$G$5="DPD180+",SUM(SAP_Speadsheet!BJ25:BJ32)))</f>
        <v>0</v>
      </c>
      <c r="BK43" s="161" cm="1">
        <f t="array" ref="BK43">IF(BK5=$D$7,0,_xlfn.IFS(Leadsheet!$G$5="DPD360+",SUM(SAP_Speadsheet!BK25:BK38),Leadsheet!$G$5="DPD180+",SUM(SAP_Speadsheet!BK25:BK32)))</f>
        <v>0</v>
      </c>
      <c r="BL43" s="161" cm="1">
        <f t="array" ref="BL43">IF(BL5=$D$7,0,_xlfn.IFS(Leadsheet!$G$5="DPD360+",SUM(SAP_Speadsheet!BL25:BL38),Leadsheet!$G$5="DPD180+",SUM(SAP_Speadsheet!BL25:BL32)))</f>
        <v>0</v>
      </c>
    </row>
    <row r="44" spans="1:64" s="163" customFormat="1" x14ac:dyDescent="0.15">
      <c r="C44" s="261" t="s">
        <v>393</v>
      </c>
      <c r="D44" s="161">
        <f>D42-D43</f>
        <v>0</v>
      </c>
      <c r="E44" s="161">
        <f t="shared" ref="E44:BL44" si="7">E42-E43</f>
        <v>0</v>
      </c>
      <c r="F44" s="161">
        <f t="shared" si="7"/>
        <v>0</v>
      </c>
      <c r="G44" s="161">
        <f t="shared" si="7"/>
        <v>0</v>
      </c>
      <c r="H44" s="161">
        <f t="shared" si="7"/>
        <v>0</v>
      </c>
      <c r="I44" s="161">
        <f t="shared" si="7"/>
        <v>0</v>
      </c>
      <c r="J44" s="161">
        <f t="shared" si="7"/>
        <v>0</v>
      </c>
      <c r="K44" s="161">
        <f t="shared" si="7"/>
        <v>0.17570024046955757</v>
      </c>
      <c r="L44" s="161">
        <f t="shared" si="7"/>
        <v>0</v>
      </c>
      <c r="M44" s="161">
        <f t="shared" si="7"/>
        <v>0</v>
      </c>
      <c r="N44" s="161">
        <f t="shared" si="7"/>
        <v>0</v>
      </c>
      <c r="O44" s="161">
        <f t="shared" si="7"/>
        <v>0</v>
      </c>
      <c r="P44" s="161">
        <f t="shared" si="7"/>
        <v>0</v>
      </c>
      <c r="Q44" s="161">
        <f t="shared" si="7"/>
        <v>0</v>
      </c>
      <c r="R44" s="161">
        <f t="shared" si="7"/>
        <v>0</v>
      </c>
      <c r="S44" s="161">
        <f t="shared" si="7"/>
        <v>0</v>
      </c>
      <c r="T44" s="161">
        <f t="shared" si="7"/>
        <v>0</v>
      </c>
      <c r="U44" s="161">
        <f t="shared" si="7"/>
        <v>0</v>
      </c>
      <c r="V44" s="161">
        <f t="shared" si="7"/>
        <v>0</v>
      </c>
      <c r="W44" s="161">
        <f t="shared" si="7"/>
        <v>0</v>
      </c>
      <c r="X44" s="161">
        <f t="shared" si="7"/>
        <v>0</v>
      </c>
      <c r="Y44" s="161">
        <f>Y42-Y43</f>
        <v>0</v>
      </c>
      <c r="Z44" s="161">
        <f t="shared" si="7"/>
        <v>0</v>
      </c>
      <c r="AA44" s="161">
        <f t="shared" si="7"/>
        <v>0</v>
      </c>
      <c r="AB44" s="161">
        <f t="shared" si="7"/>
        <v>0</v>
      </c>
      <c r="AC44" s="161">
        <f t="shared" si="7"/>
        <v>0</v>
      </c>
      <c r="AD44" s="161">
        <f t="shared" si="7"/>
        <v>0</v>
      </c>
      <c r="AE44" s="161">
        <f t="shared" si="7"/>
        <v>0</v>
      </c>
      <c r="AF44" s="161">
        <f t="shared" si="7"/>
        <v>0</v>
      </c>
      <c r="AG44" s="161">
        <f t="shared" si="7"/>
        <v>0</v>
      </c>
      <c r="AH44" s="161">
        <f t="shared" si="7"/>
        <v>0</v>
      </c>
      <c r="AI44" s="161">
        <f t="shared" si="7"/>
        <v>0</v>
      </c>
      <c r="AJ44" s="161">
        <f t="shared" si="7"/>
        <v>0</v>
      </c>
      <c r="AK44" s="161">
        <f t="shared" si="7"/>
        <v>0</v>
      </c>
      <c r="AL44" s="161">
        <f t="shared" si="7"/>
        <v>0</v>
      </c>
      <c r="AM44" s="161">
        <f t="shared" si="7"/>
        <v>0</v>
      </c>
      <c r="AN44" s="161">
        <f t="shared" si="7"/>
        <v>0</v>
      </c>
      <c r="AO44" s="161">
        <f t="shared" si="7"/>
        <v>0</v>
      </c>
      <c r="AP44" s="161">
        <f t="shared" si="7"/>
        <v>0</v>
      </c>
      <c r="AQ44" s="161">
        <f t="shared" si="7"/>
        <v>0</v>
      </c>
      <c r="AR44" s="161">
        <f t="shared" si="7"/>
        <v>0</v>
      </c>
      <c r="AS44" s="161">
        <f t="shared" si="7"/>
        <v>0</v>
      </c>
      <c r="AT44" s="161">
        <f t="shared" si="7"/>
        <v>0</v>
      </c>
      <c r="AU44" s="161">
        <f t="shared" si="7"/>
        <v>0</v>
      </c>
      <c r="AV44" s="161">
        <f t="shared" si="7"/>
        <v>0</v>
      </c>
      <c r="AW44" s="161">
        <f t="shared" si="7"/>
        <v>0</v>
      </c>
      <c r="AX44" s="161">
        <f t="shared" si="7"/>
        <v>0</v>
      </c>
      <c r="AY44" s="161">
        <f t="shared" si="7"/>
        <v>0</v>
      </c>
      <c r="AZ44" s="161">
        <f t="shared" si="7"/>
        <v>0</v>
      </c>
      <c r="BA44" s="161">
        <f t="shared" si="7"/>
        <v>0</v>
      </c>
      <c r="BB44" s="161">
        <f t="shared" si="7"/>
        <v>0</v>
      </c>
      <c r="BC44" s="161">
        <f t="shared" si="7"/>
        <v>0</v>
      </c>
      <c r="BD44" s="161">
        <f t="shared" si="7"/>
        <v>0</v>
      </c>
      <c r="BE44" s="161">
        <f t="shared" si="7"/>
        <v>0</v>
      </c>
      <c r="BF44" s="161">
        <f t="shared" si="7"/>
        <v>0</v>
      </c>
      <c r="BG44" s="161">
        <f t="shared" si="7"/>
        <v>0</v>
      </c>
      <c r="BH44" s="161">
        <f t="shared" si="7"/>
        <v>0</v>
      </c>
      <c r="BI44" s="161">
        <f t="shared" si="7"/>
        <v>0</v>
      </c>
      <c r="BJ44" s="161">
        <f t="shared" si="7"/>
        <v>0</v>
      </c>
      <c r="BK44" s="161">
        <f t="shared" si="7"/>
        <v>0</v>
      </c>
      <c r="BL44" s="161">
        <f t="shared" si="7"/>
        <v>0</v>
      </c>
    </row>
    <row r="45" spans="1:64" s="163" customFormat="1" x14ac:dyDescent="0.15">
      <c r="C45" s="261" t="s">
        <v>394</v>
      </c>
      <c r="D45" s="273">
        <f>IFERROR(D43/D42,"")</f>
        <v>1</v>
      </c>
      <c r="E45" s="273">
        <f t="shared" ref="E45:BL45" si="8">IFERROR(E43/E42,"")</f>
        <v>1</v>
      </c>
      <c r="F45" s="273">
        <f t="shared" si="8"/>
        <v>1</v>
      </c>
      <c r="G45" s="273">
        <f t="shared" si="8"/>
        <v>1</v>
      </c>
      <c r="H45" s="273">
        <f t="shared" si="8"/>
        <v>1</v>
      </c>
      <c r="I45" s="273">
        <f t="shared" si="8"/>
        <v>1</v>
      </c>
      <c r="J45" s="273">
        <f t="shared" si="8"/>
        <v>1</v>
      </c>
      <c r="K45" s="273">
        <f t="shared" si="8"/>
        <v>0</v>
      </c>
      <c r="L45" s="273" t="str">
        <f t="shared" si="8"/>
        <v/>
      </c>
      <c r="M45" s="273" t="str">
        <f t="shared" si="8"/>
        <v/>
      </c>
      <c r="N45" s="273" t="str">
        <f t="shared" si="8"/>
        <v/>
      </c>
      <c r="O45" s="273" t="str">
        <f t="shared" si="8"/>
        <v/>
      </c>
      <c r="P45" s="273" t="str">
        <f t="shared" si="8"/>
        <v/>
      </c>
      <c r="Q45" s="273" t="str">
        <f t="shared" si="8"/>
        <v/>
      </c>
      <c r="R45" s="273" t="str">
        <f t="shared" si="8"/>
        <v/>
      </c>
      <c r="S45" s="273" t="str">
        <f t="shared" si="8"/>
        <v/>
      </c>
      <c r="T45" s="273" t="str">
        <f t="shared" si="8"/>
        <v/>
      </c>
      <c r="U45" s="273" t="str">
        <f t="shared" si="8"/>
        <v/>
      </c>
      <c r="V45" s="273" t="str">
        <f t="shared" si="8"/>
        <v/>
      </c>
      <c r="W45" s="273" t="str">
        <f t="shared" si="8"/>
        <v/>
      </c>
      <c r="X45" s="273" t="str">
        <f t="shared" si="8"/>
        <v/>
      </c>
      <c r="Y45" s="273" t="str">
        <f t="shared" si="8"/>
        <v/>
      </c>
      <c r="Z45" s="273" t="str">
        <f t="shared" si="8"/>
        <v/>
      </c>
      <c r="AA45" s="273" t="str">
        <f t="shared" si="8"/>
        <v/>
      </c>
      <c r="AB45" s="273" t="str">
        <f t="shared" si="8"/>
        <v/>
      </c>
      <c r="AC45" s="273" t="str">
        <f t="shared" si="8"/>
        <v/>
      </c>
      <c r="AD45" s="273" t="str">
        <f t="shared" si="8"/>
        <v/>
      </c>
      <c r="AE45" s="273" t="str">
        <f t="shared" si="8"/>
        <v/>
      </c>
      <c r="AF45" s="273" t="str">
        <f t="shared" si="8"/>
        <v/>
      </c>
      <c r="AG45" s="273" t="str">
        <f t="shared" si="8"/>
        <v/>
      </c>
      <c r="AH45" s="273" t="str">
        <f t="shared" si="8"/>
        <v/>
      </c>
      <c r="AI45" s="273" t="str">
        <f t="shared" si="8"/>
        <v/>
      </c>
      <c r="AJ45" s="273" t="str">
        <f t="shared" si="8"/>
        <v/>
      </c>
      <c r="AK45" s="273" t="str">
        <f t="shared" si="8"/>
        <v/>
      </c>
      <c r="AL45" s="273" t="str">
        <f t="shared" si="8"/>
        <v/>
      </c>
      <c r="AM45" s="273" t="str">
        <f t="shared" si="8"/>
        <v/>
      </c>
      <c r="AN45" s="273" t="str">
        <f t="shared" si="8"/>
        <v/>
      </c>
      <c r="AO45" s="273" t="str">
        <f t="shared" si="8"/>
        <v/>
      </c>
      <c r="AP45" s="273" t="str">
        <f t="shared" si="8"/>
        <v/>
      </c>
      <c r="AQ45" s="273" t="str">
        <f t="shared" si="8"/>
        <v/>
      </c>
      <c r="AR45" s="273" t="str">
        <f t="shared" si="8"/>
        <v/>
      </c>
      <c r="AS45" s="273" t="str">
        <f t="shared" si="8"/>
        <v/>
      </c>
      <c r="AT45" s="273" t="str">
        <f t="shared" si="8"/>
        <v/>
      </c>
      <c r="AU45" s="273" t="str">
        <f t="shared" si="8"/>
        <v/>
      </c>
      <c r="AV45" s="273" t="str">
        <f t="shared" si="8"/>
        <v/>
      </c>
      <c r="AW45" s="273" t="str">
        <f t="shared" si="8"/>
        <v/>
      </c>
      <c r="AX45" s="273" t="str">
        <f t="shared" si="8"/>
        <v/>
      </c>
      <c r="AY45" s="273" t="str">
        <f t="shared" si="8"/>
        <v/>
      </c>
      <c r="AZ45" s="273" t="str">
        <f t="shared" si="8"/>
        <v/>
      </c>
      <c r="BA45" s="273" t="str">
        <f t="shared" si="8"/>
        <v/>
      </c>
      <c r="BB45" s="273" t="str">
        <f t="shared" si="8"/>
        <v/>
      </c>
      <c r="BC45" s="273" t="str">
        <f t="shared" si="8"/>
        <v/>
      </c>
      <c r="BD45" s="273" t="str">
        <f t="shared" si="8"/>
        <v/>
      </c>
      <c r="BE45" s="273" t="str">
        <f t="shared" si="8"/>
        <v/>
      </c>
      <c r="BF45" s="273" t="str">
        <f t="shared" si="8"/>
        <v/>
      </c>
      <c r="BG45" s="273" t="str">
        <f t="shared" si="8"/>
        <v/>
      </c>
      <c r="BH45" s="273" t="str">
        <f t="shared" si="8"/>
        <v/>
      </c>
      <c r="BI45" s="273" t="str">
        <f t="shared" si="8"/>
        <v/>
      </c>
      <c r="BJ45" s="273" t="str">
        <f t="shared" si="8"/>
        <v/>
      </c>
      <c r="BK45" s="273" t="str">
        <f t="shared" si="8"/>
        <v/>
      </c>
      <c r="BL45" s="273" t="str">
        <f t="shared" si="8"/>
        <v/>
      </c>
    </row>
    <row r="46" spans="1:64" s="163" customFormat="1" x14ac:dyDescent="0.15">
      <c r="D46" s="260"/>
      <c r="E46" s="260"/>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260"/>
      <c r="BI46" s="260"/>
      <c r="BJ46" s="260"/>
      <c r="BK46" s="260"/>
      <c r="BL46" s="260"/>
    </row>
    <row r="47" spans="1:64" x14ac:dyDescent="0.15">
      <c r="B47" s="163" t="s">
        <v>205</v>
      </c>
      <c r="L47" s="257"/>
    </row>
    <row r="48" spans="1:64" x14ac:dyDescent="0.15">
      <c r="C48" s="89" t="s">
        <v>392</v>
      </c>
      <c r="D48" s="161"/>
      <c r="E48" s="260">
        <f>IF(E5&gt;$D$7,0,AVERAGE(D43:E43))</f>
        <v>1.8689852116030368</v>
      </c>
      <c r="F48" s="260">
        <f t="shared" ref="F48:BL48" si="9">IF(F5&gt;$D$7,0,AVERAGE(E43:F43))</f>
        <v>0.23365789095245398</v>
      </c>
      <c r="G48" s="260">
        <f t="shared" si="9"/>
        <v>0.19451814883862201</v>
      </c>
      <c r="H48" s="260">
        <f t="shared" si="9"/>
        <v>0.18295462056475348</v>
      </c>
      <c r="I48" s="260">
        <f t="shared" si="9"/>
        <v>0.17926766704372771</v>
      </c>
      <c r="J48" s="260">
        <f t="shared" si="9"/>
        <v>0.17747499037329045</v>
      </c>
      <c r="K48" s="260">
        <f t="shared" si="9"/>
        <v>8.8291578125405806E-2</v>
      </c>
      <c r="L48" s="260">
        <f t="shared" si="9"/>
        <v>0</v>
      </c>
      <c r="M48" s="260">
        <f t="shared" si="9"/>
        <v>0</v>
      </c>
      <c r="N48" s="260">
        <f t="shared" si="9"/>
        <v>0</v>
      </c>
      <c r="O48" s="260">
        <f t="shared" si="9"/>
        <v>0</v>
      </c>
      <c r="P48" s="260">
        <f t="shared" si="9"/>
        <v>0</v>
      </c>
      <c r="Q48" s="260">
        <f t="shared" si="9"/>
        <v>0</v>
      </c>
      <c r="R48" s="260">
        <f t="shared" si="9"/>
        <v>0</v>
      </c>
      <c r="S48" s="260">
        <f t="shared" si="9"/>
        <v>0</v>
      </c>
      <c r="T48" s="260">
        <f t="shared" si="9"/>
        <v>0</v>
      </c>
      <c r="U48" s="260">
        <f t="shared" si="9"/>
        <v>0</v>
      </c>
      <c r="V48" s="260">
        <f t="shared" si="9"/>
        <v>0</v>
      </c>
      <c r="W48" s="260">
        <f t="shared" si="9"/>
        <v>0</v>
      </c>
      <c r="X48" s="260">
        <f t="shared" si="9"/>
        <v>0</v>
      </c>
      <c r="Y48" s="260">
        <f t="shared" si="9"/>
        <v>0</v>
      </c>
      <c r="Z48" s="260">
        <f t="shared" si="9"/>
        <v>0</v>
      </c>
      <c r="AA48" s="260">
        <f t="shared" si="9"/>
        <v>0</v>
      </c>
      <c r="AB48" s="260">
        <f t="shared" si="9"/>
        <v>0</v>
      </c>
      <c r="AC48" s="260">
        <f t="shared" si="9"/>
        <v>0</v>
      </c>
      <c r="AD48" s="260">
        <f t="shared" si="9"/>
        <v>0</v>
      </c>
      <c r="AE48" s="260">
        <f t="shared" si="9"/>
        <v>0</v>
      </c>
      <c r="AF48" s="260">
        <f t="shared" si="9"/>
        <v>0</v>
      </c>
      <c r="AG48" s="260">
        <f t="shared" si="9"/>
        <v>0</v>
      </c>
      <c r="AH48" s="260">
        <f t="shared" si="9"/>
        <v>0</v>
      </c>
      <c r="AI48" s="260">
        <f t="shared" si="9"/>
        <v>0</v>
      </c>
      <c r="AJ48" s="260">
        <f t="shared" si="9"/>
        <v>0</v>
      </c>
      <c r="AK48" s="260">
        <f t="shared" si="9"/>
        <v>0</v>
      </c>
      <c r="AL48" s="260">
        <f t="shared" si="9"/>
        <v>0</v>
      </c>
      <c r="AM48" s="260">
        <f t="shared" si="9"/>
        <v>0</v>
      </c>
      <c r="AN48" s="260">
        <f t="shared" si="9"/>
        <v>0</v>
      </c>
      <c r="AO48" s="260">
        <f t="shared" si="9"/>
        <v>0</v>
      </c>
      <c r="AP48" s="260">
        <f t="shared" si="9"/>
        <v>0</v>
      </c>
      <c r="AQ48" s="260">
        <f t="shared" si="9"/>
        <v>0</v>
      </c>
      <c r="AR48" s="260">
        <f t="shared" si="9"/>
        <v>0</v>
      </c>
      <c r="AS48" s="260">
        <f t="shared" si="9"/>
        <v>0</v>
      </c>
      <c r="AT48" s="260">
        <f t="shared" si="9"/>
        <v>0</v>
      </c>
      <c r="AU48" s="260">
        <f t="shared" si="9"/>
        <v>0</v>
      </c>
      <c r="AV48" s="260">
        <f t="shared" si="9"/>
        <v>0</v>
      </c>
      <c r="AW48" s="260">
        <f t="shared" si="9"/>
        <v>0</v>
      </c>
      <c r="AX48" s="260">
        <f t="shared" si="9"/>
        <v>0</v>
      </c>
      <c r="AY48" s="260">
        <f t="shared" si="9"/>
        <v>0</v>
      </c>
      <c r="AZ48" s="260">
        <f t="shared" si="9"/>
        <v>0</v>
      </c>
      <c r="BA48" s="260">
        <f t="shared" si="9"/>
        <v>0</v>
      </c>
      <c r="BB48" s="260">
        <f t="shared" si="9"/>
        <v>0</v>
      </c>
      <c r="BC48" s="260">
        <f t="shared" si="9"/>
        <v>0</v>
      </c>
      <c r="BD48" s="260">
        <f t="shared" si="9"/>
        <v>0</v>
      </c>
      <c r="BE48" s="260">
        <f t="shared" si="9"/>
        <v>0</v>
      </c>
      <c r="BF48" s="260">
        <f t="shared" si="9"/>
        <v>0</v>
      </c>
      <c r="BG48" s="260">
        <f t="shared" si="9"/>
        <v>0</v>
      </c>
      <c r="BH48" s="260">
        <f t="shared" si="9"/>
        <v>0</v>
      </c>
      <c r="BI48" s="260">
        <f t="shared" si="9"/>
        <v>0</v>
      </c>
      <c r="BJ48" s="260">
        <f t="shared" si="9"/>
        <v>0</v>
      </c>
      <c r="BK48" s="260">
        <f t="shared" si="9"/>
        <v>0</v>
      </c>
      <c r="BL48" s="260">
        <f t="shared" si="9"/>
        <v>0</v>
      </c>
    </row>
    <row r="49" spans="1:64" x14ac:dyDescent="0.15">
      <c r="C49" s="89" t="s">
        <v>395</v>
      </c>
      <c r="D49" s="161"/>
      <c r="E49" s="161">
        <f>D25*(1-Leadsheet!$D$76)+D26*Leadsheet!$E$100</f>
        <v>3.2099299916751041</v>
      </c>
      <c r="F49" s="161">
        <f>E25*(1-Leadsheet!$D$76)+E26*Leadsheet!$E$100</f>
        <v>6.0724649626061486E-2</v>
      </c>
      <c r="G49" s="161">
        <f>F25*(1-Leadsheet!$D$76)+F26*Leadsheet!$E$100</f>
        <v>0</v>
      </c>
      <c r="H49" s="161">
        <f>G25*(1-Leadsheet!$D$76)+G26*Leadsheet!$E$100</f>
        <v>0</v>
      </c>
      <c r="I49" s="161">
        <f>H25*(1-Leadsheet!$D$76)+H26*Leadsheet!$E$100</f>
        <v>0</v>
      </c>
      <c r="J49" s="161">
        <f>I25*(1-Leadsheet!$D$76)+I26*Leadsheet!$E$100</f>
        <v>0</v>
      </c>
      <c r="K49" s="161">
        <f>J25*(1-Leadsheet!$D$76)+J26*Leadsheet!$E$100</f>
        <v>0</v>
      </c>
      <c r="L49" s="161">
        <f>K25*(1-Leadsheet!$D$76)+K26*Leadsheet!$E$100</f>
        <v>0</v>
      </c>
      <c r="M49" s="161">
        <f>L25*(1-Leadsheet!$D$76)+L26*Leadsheet!$E$100</f>
        <v>0</v>
      </c>
      <c r="N49" s="161">
        <f>M25*(1-Leadsheet!$D$76)+M26*Leadsheet!$E$100</f>
        <v>0</v>
      </c>
      <c r="O49" s="161">
        <f>N25*(1-Leadsheet!$D$76)+N26*Leadsheet!$E$100</f>
        <v>0</v>
      </c>
      <c r="P49" s="161">
        <f>O25*(1-Leadsheet!$D$76)+O26*Leadsheet!$E$100</f>
        <v>0</v>
      </c>
      <c r="Q49" s="161">
        <f>P25*(1-Leadsheet!$D$76)+P26*Leadsheet!$E$100</f>
        <v>0</v>
      </c>
      <c r="R49" s="161">
        <f>Q25*(1-Leadsheet!$D$76)+Q26*Leadsheet!$E$100</f>
        <v>0</v>
      </c>
      <c r="S49" s="161">
        <f>R25*(1-Leadsheet!$D$76)+R26*Leadsheet!$E$100</f>
        <v>0</v>
      </c>
      <c r="T49" s="161">
        <f>S25*(1-Leadsheet!$D$76)+S26*Leadsheet!$E$100</f>
        <v>0</v>
      </c>
      <c r="U49" s="161">
        <f>T25*(1-Leadsheet!$D$76)+T26*Leadsheet!$E$100</f>
        <v>0</v>
      </c>
      <c r="V49" s="161">
        <f>U25*(1-Leadsheet!$D$76)+U26*Leadsheet!$E$100</f>
        <v>0</v>
      </c>
      <c r="W49" s="161">
        <f>V25*(1-Leadsheet!$D$76)+V26*Leadsheet!$E$100</f>
        <v>0</v>
      </c>
      <c r="X49" s="161">
        <f>W25*(1-Leadsheet!$D$76)+W26*Leadsheet!$E$100</f>
        <v>0</v>
      </c>
      <c r="Y49" s="161">
        <f>X25*(1-Leadsheet!$D$76)+X26*Leadsheet!$E$100</f>
        <v>0</v>
      </c>
      <c r="Z49" s="161">
        <f>Y25*(1-Leadsheet!$D$76)+Y26*Leadsheet!$E$100</f>
        <v>0</v>
      </c>
      <c r="AA49" s="161">
        <f>Z25*(1-Leadsheet!$D$76)+Z26*Leadsheet!$E$100</f>
        <v>0</v>
      </c>
      <c r="AB49" s="161">
        <f>AA25*(1-Leadsheet!$D$76)+AA26*Leadsheet!$E$100</f>
        <v>0</v>
      </c>
      <c r="AC49" s="161">
        <f>AB25*(1-Leadsheet!$D$76)+AB26*Leadsheet!$E$100</f>
        <v>0</v>
      </c>
      <c r="AD49" s="161">
        <f>AC25*(1-Leadsheet!$D$76)+AC26*Leadsheet!$E$100</f>
        <v>0</v>
      </c>
      <c r="AE49" s="161">
        <f>AD25*(1-Leadsheet!$D$76)+AD26*Leadsheet!$E$100</f>
        <v>0</v>
      </c>
      <c r="AF49" s="161">
        <f>AE25*(1-Leadsheet!$D$76)+AE26*Leadsheet!$E$100</f>
        <v>0</v>
      </c>
      <c r="AG49" s="161">
        <f>AF25*(1-Leadsheet!$D$76)+AF26*Leadsheet!$E$100</f>
        <v>0</v>
      </c>
      <c r="AH49" s="161">
        <f>AG25*(1-Leadsheet!$D$76)+AG26*Leadsheet!$E$100</f>
        <v>0</v>
      </c>
      <c r="AI49" s="161">
        <f>AH25*(1-Leadsheet!$D$76)+AH26*Leadsheet!$E$100</f>
        <v>0</v>
      </c>
      <c r="AJ49" s="161">
        <f>AI25*(1-Leadsheet!$D$76)+AI26*Leadsheet!$E$100</f>
        <v>0</v>
      </c>
      <c r="AK49" s="161">
        <f>AJ25*(1-Leadsheet!$D$76)+AJ26*Leadsheet!$E$100</f>
        <v>0</v>
      </c>
      <c r="AL49" s="161">
        <f>AK25*(1-Leadsheet!$D$76)+AK26*Leadsheet!$E$100</f>
        <v>0</v>
      </c>
      <c r="AM49" s="161">
        <f>AL25*(1-Leadsheet!$D$76)+AL26*Leadsheet!$E$100</f>
        <v>0</v>
      </c>
      <c r="AN49" s="161">
        <f>AM25*(1-Leadsheet!$D$76)+AM26*Leadsheet!$E$100</f>
        <v>0</v>
      </c>
      <c r="AO49" s="161">
        <f>AN25*(1-Leadsheet!$D$76)+AN26*Leadsheet!$E$100</f>
        <v>0</v>
      </c>
      <c r="AP49" s="161">
        <f>AO25*(1-Leadsheet!$D$76)+AO26*Leadsheet!$E$100</f>
        <v>0</v>
      </c>
      <c r="AQ49" s="161">
        <f>AP25*(1-Leadsheet!$D$76)+AP26*Leadsheet!$E$100</f>
        <v>0</v>
      </c>
      <c r="AR49" s="161">
        <f>AQ25*(1-Leadsheet!$D$76)+AQ26*Leadsheet!$E$100</f>
        <v>0</v>
      </c>
      <c r="AS49" s="161">
        <f>AR25*(1-Leadsheet!$D$76)+AR26*Leadsheet!$E$100</f>
        <v>0</v>
      </c>
      <c r="AT49" s="161">
        <f>AS25*(1-Leadsheet!$D$76)+AS26*Leadsheet!$E$100</f>
        <v>0</v>
      </c>
      <c r="AU49" s="161">
        <f>AT25*(1-Leadsheet!$D$76)+AT26*Leadsheet!$E$100</f>
        <v>0</v>
      </c>
      <c r="AV49" s="161">
        <f>AU25*(1-Leadsheet!$D$76)+AU26*Leadsheet!$E$100</f>
        <v>0</v>
      </c>
      <c r="AW49" s="161">
        <f>AV25*(1-Leadsheet!$D$76)+AV26*Leadsheet!$E$100</f>
        <v>0</v>
      </c>
      <c r="AX49" s="161">
        <f>AW25*(1-Leadsheet!$D$76)+AW26*Leadsheet!$E$100</f>
        <v>0</v>
      </c>
      <c r="AY49" s="161">
        <f>AX25*(1-Leadsheet!$D$76)+AX26*Leadsheet!$E$100</f>
        <v>0</v>
      </c>
      <c r="AZ49" s="161">
        <f>AY25*(1-Leadsheet!$D$76)+AY26*Leadsheet!$E$100</f>
        <v>0</v>
      </c>
      <c r="BA49" s="161">
        <f>AZ25*(1-Leadsheet!$D$76)+AZ26*Leadsheet!$E$100</f>
        <v>0</v>
      </c>
      <c r="BB49" s="161">
        <f>BA25*(1-Leadsheet!$D$76)+BA26*Leadsheet!$E$100</f>
        <v>0</v>
      </c>
      <c r="BC49" s="161">
        <f>BB25*(1-Leadsheet!$D$76)+BB26*Leadsheet!$E$100</f>
        <v>0</v>
      </c>
      <c r="BD49" s="161">
        <f>BC25*(1-Leadsheet!$D$76)+BC26*Leadsheet!$E$100</f>
        <v>0</v>
      </c>
      <c r="BE49" s="161">
        <f>BD25*(1-Leadsheet!$D$76)+BD26*Leadsheet!$E$100</f>
        <v>0</v>
      </c>
      <c r="BF49" s="161">
        <f>BE25*(1-Leadsheet!$D$76)+BE26*Leadsheet!$E$100</f>
        <v>0</v>
      </c>
      <c r="BG49" s="161">
        <f>BF25*(1-Leadsheet!$D$76)+BF26*Leadsheet!$E$100</f>
        <v>0</v>
      </c>
      <c r="BH49" s="161">
        <f>BG25*(1-Leadsheet!$D$76)+BG26*Leadsheet!$E$100</f>
        <v>0</v>
      </c>
      <c r="BI49" s="161">
        <f>BH25*(1-Leadsheet!$D$76)+BH26*Leadsheet!$E$100</f>
        <v>0</v>
      </c>
      <c r="BJ49" s="161">
        <f>BI25*(1-Leadsheet!$D$76)+BI26*Leadsheet!$E$100</f>
        <v>0</v>
      </c>
      <c r="BK49" s="161">
        <f>BJ25*(1-Leadsheet!$D$76)+BJ26*Leadsheet!$E$100</f>
        <v>0</v>
      </c>
      <c r="BL49" s="161">
        <f>BK25*(1-Leadsheet!$D$76)+BK26*Leadsheet!$E$100</f>
        <v>0</v>
      </c>
    </row>
    <row r="50" spans="1:64" x14ac:dyDescent="0.15">
      <c r="BC50" s="161"/>
      <c r="BD50" s="161"/>
      <c r="BE50" s="161"/>
      <c r="BF50" s="246"/>
      <c r="BG50" s="246"/>
      <c r="BH50" s="246"/>
      <c r="BI50" s="246"/>
      <c r="BJ50" s="246"/>
      <c r="BK50" s="246"/>
      <c r="BL50" s="246"/>
    </row>
    <row r="51" spans="1:64" ht="13" thickBot="1" x14ac:dyDescent="0.2">
      <c r="A51" s="163"/>
      <c r="B51" s="253" t="s">
        <v>396</v>
      </c>
      <c r="C51" s="254"/>
      <c r="D51" s="255"/>
      <c r="E51" s="256"/>
      <c r="F51" s="255"/>
      <c r="G51" s="255"/>
      <c r="H51" s="255"/>
      <c r="I51" s="255"/>
      <c r="J51" s="255"/>
      <c r="K51" s="255"/>
      <c r="L51" s="255"/>
      <c r="M51" s="255"/>
      <c r="N51" s="255"/>
      <c r="O51" s="255"/>
      <c r="P51" s="255"/>
      <c r="Q51" s="255"/>
      <c r="R51" s="255"/>
      <c r="S51" s="255"/>
      <c r="T51" s="255"/>
      <c r="U51" s="255"/>
      <c r="V51" s="255"/>
      <c r="W51" s="255"/>
      <c r="X51" s="255"/>
      <c r="Y51" s="255"/>
      <c r="Z51" s="255"/>
      <c r="AA51" s="255"/>
      <c r="AB51" s="255"/>
      <c r="AC51" s="255"/>
      <c r="AD51" s="255"/>
      <c r="AE51" s="255"/>
      <c r="AF51" s="255"/>
      <c r="AG51" s="255"/>
      <c r="AH51" s="255"/>
      <c r="AI51" s="255"/>
      <c r="AJ51" s="255"/>
      <c r="AK51" s="255"/>
      <c r="AL51" s="255"/>
      <c r="AM51" s="255"/>
      <c r="AN51" s="255"/>
      <c r="AO51" s="255"/>
      <c r="AP51" s="255"/>
      <c r="AQ51" s="255"/>
      <c r="AR51" s="255"/>
      <c r="AS51" s="255"/>
      <c r="AT51" s="255"/>
      <c r="AU51" s="255"/>
      <c r="AV51" s="255"/>
      <c r="AW51" s="255"/>
      <c r="AX51" s="255"/>
      <c r="AY51" s="255"/>
      <c r="AZ51" s="255"/>
      <c r="BA51" s="255"/>
      <c r="BB51" s="255"/>
      <c r="BC51" s="255"/>
      <c r="BD51" s="255"/>
      <c r="BE51" s="255"/>
      <c r="BF51" s="255"/>
      <c r="BG51" s="255"/>
      <c r="BH51" s="255"/>
      <c r="BI51" s="255"/>
      <c r="BJ51" s="255"/>
      <c r="BK51" s="255"/>
      <c r="BL51" s="255"/>
    </row>
    <row r="52" spans="1:64" ht="13" thickTop="1" x14ac:dyDescent="0.15">
      <c r="A52" s="163"/>
      <c r="B52" s="274"/>
      <c r="C52" s="163"/>
      <c r="E52" s="275"/>
    </row>
    <row r="53" spans="1:64" x14ac:dyDescent="0.15">
      <c r="B53" s="163" t="s">
        <v>206</v>
      </c>
      <c r="E53" s="276">
        <f t="shared" ref="E53:BL53" si="10">E55+E59+E63</f>
        <v>0.36490608462144197</v>
      </c>
      <c r="F53" s="276">
        <f>F55+F59+F63</f>
        <v>1.8303777753151567E-3</v>
      </c>
      <c r="G53" s="276">
        <f t="shared" si="10"/>
        <v>-8.956290153333573E-4</v>
      </c>
      <c r="H53" s="276">
        <f t="shared" si="10"/>
        <v>-8.4238652097723182E-4</v>
      </c>
      <c r="I53" s="276">
        <f t="shared" si="10"/>
        <v>-8.2541050834637069E-4</v>
      </c>
      <c r="J53" s="276">
        <f t="shared" si="10"/>
        <v>-8.1715640326290721E-4</v>
      </c>
      <c r="K53" s="276">
        <f t="shared" si="10"/>
        <v>-4.0652504483933567E-4</v>
      </c>
      <c r="L53" s="276">
        <f t="shared" si="10"/>
        <v>0</v>
      </c>
      <c r="M53" s="276">
        <f t="shared" si="10"/>
        <v>0</v>
      </c>
      <c r="N53" s="276">
        <f t="shared" si="10"/>
        <v>0</v>
      </c>
      <c r="O53" s="276">
        <f t="shared" si="10"/>
        <v>0</v>
      </c>
      <c r="P53" s="276">
        <f t="shared" si="10"/>
        <v>0</v>
      </c>
      <c r="Q53" s="276">
        <f t="shared" si="10"/>
        <v>0</v>
      </c>
      <c r="R53" s="276">
        <f t="shared" si="10"/>
        <v>0</v>
      </c>
      <c r="S53" s="276">
        <f t="shared" si="10"/>
        <v>0</v>
      </c>
      <c r="T53" s="276">
        <f t="shared" si="10"/>
        <v>0</v>
      </c>
      <c r="U53" s="276">
        <f t="shared" si="10"/>
        <v>0</v>
      </c>
      <c r="V53" s="276">
        <f t="shared" si="10"/>
        <v>0</v>
      </c>
      <c r="W53" s="276">
        <f t="shared" si="10"/>
        <v>0</v>
      </c>
      <c r="X53" s="276">
        <f t="shared" si="10"/>
        <v>0</v>
      </c>
      <c r="Y53" s="276">
        <f t="shared" si="10"/>
        <v>0</v>
      </c>
      <c r="Z53" s="276">
        <f t="shared" si="10"/>
        <v>0</v>
      </c>
      <c r="AA53" s="276">
        <f t="shared" si="10"/>
        <v>0</v>
      </c>
      <c r="AB53" s="276">
        <f t="shared" si="10"/>
        <v>0</v>
      </c>
      <c r="AC53" s="276">
        <f t="shared" si="10"/>
        <v>0</v>
      </c>
      <c r="AD53" s="276">
        <f t="shared" si="10"/>
        <v>0</v>
      </c>
      <c r="AE53" s="276">
        <f t="shared" si="10"/>
        <v>0</v>
      </c>
      <c r="AF53" s="276">
        <f t="shared" si="10"/>
        <v>0</v>
      </c>
      <c r="AG53" s="276">
        <f t="shared" si="10"/>
        <v>0</v>
      </c>
      <c r="AH53" s="276">
        <f t="shared" si="10"/>
        <v>0</v>
      </c>
      <c r="AI53" s="276">
        <f t="shared" si="10"/>
        <v>0</v>
      </c>
      <c r="AJ53" s="276">
        <f t="shared" si="10"/>
        <v>0</v>
      </c>
      <c r="AK53" s="276">
        <f t="shared" si="10"/>
        <v>0</v>
      </c>
      <c r="AL53" s="276">
        <f t="shared" si="10"/>
        <v>0</v>
      </c>
      <c r="AM53" s="276">
        <f t="shared" si="10"/>
        <v>0</v>
      </c>
      <c r="AN53" s="276">
        <f t="shared" si="10"/>
        <v>0</v>
      </c>
      <c r="AO53" s="276">
        <f t="shared" si="10"/>
        <v>0</v>
      </c>
      <c r="AP53" s="276">
        <f t="shared" si="10"/>
        <v>0</v>
      </c>
      <c r="AQ53" s="276">
        <f t="shared" si="10"/>
        <v>0</v>
      </c>
      <c r="AR53" s="276">
        <f t="shared" si="10"/>
        <v>0</v>
      </c>
      <c r="AS53" s="276">
        <f t="shared" si="10"/>
        <v>0</v>
      </c>
      <c r="AT53" s="276">
        <f t="shared" si="10"/>
        <v>0</v>
      </c>
      <c r="AU53" s="276">
        <f t="shared" si="10"/>
        <v>0</v>
      </c>
      <c r="AV53" s="276">
        <f t="shared" si="10"/>
        <v>0</v>
      </c>
      <c r="AW53" s="276">
        <f t="shared" si="10"/>
        <v>0</v>
      </c>
      <c r="AX53" s="276">
        <f t="shared" si="10"/>
        <v>0</v>
      </c>
      <c r="AY53" s="276">
        <f t="shared" si="10"/>
        <v>0</v>
      </c>
      <c r="AZ53" s="276">
        <f t="shared" si="10"/>
        <v>0</v>
      </c>
      <c r="BA53" s="276">
        <f t="shared" si="10"/>
        <v>0</v>
      </c>
      <c r="BB53" s="276">
        <f t="shared" si="10"/>
        <v>0</v>
      </c>
      <c r="BC53" s="276">
        <f t="shared" si="10"/>
        <v>0</v>
      </c>
      <c r="BD53" s="276">
        <f t="shared" si="10"/>
        <v>0</v>
      </c>
      <c r="BE53" s="276">
        <f t="shared" si="10"/>
        <v>0</v>
      </c>
      <c r="BF53" s="276">
        <f t="shared" si="10"/>
        <v>0</v>
      </c>
      <c r="BG53" s="276">
        <f t="shared" si="10"/>
        <v>0</v>
      </c>
      <c r="BH53" s="276">
        <f t="shared" si="10"/>
        <v>0</v>
      </c>
      <c r="BI53" s="276">
        <f t="shared" si="10"/>
        <v>0</v>
      </c>
      <c r="BJ53" s="276">
        <f t="shared" si="10"/>
        <v>0</v>
      </c>
      <c r="BK53" s="276">
        <f t="shared" si="10"/>
        <v>0</v>
      </c>
      <c r="BL53" s="276">
        <f t="shared" si="10"/>
        <v>0</v>
      </c>
    </row>
    <row r="54" spans="1:64" x14ac:dyDescent="0.15">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row>
    <row r="55" spans="1:64" x14ac:dyDescent="0.15">
      <c r="B55" s="163"/>
      <c r="C55" s="163" t="s">
        <v>207</v>
      </c>
      <c r="E55" s="276">
        <f t="shared" ref="E55:BL55" si="11">E56+E57</f>
        <v>0.14501851628877346</v>
      </c>
      <c r="F55" s="276">
        <f t="shared" si="11"/>
        <v>1.8303777753151567E-3</v>
      </c>
      <c r="G55" s="276">
        <f t="shared" si="11"/>
        <v>-8.956290153333573E-4</v>
      </c>
      <c r="H55" s="276">
        <f t="shared" si="11"/>
        <v>-8.4238652097723182E-4</v>
      </c>
      <c r="I55" s="276">
        <f t="shared" si="11"/>
        <v>-8.2541050834637069E-4</v>
      </c>
      <c r="J55" s="276">
        <f t="shared" si="11"/>
        <v>-8.1715640326290721E-4</v>
      </c>
      <c r="K55" s="276">
        <f t="shared" si="11"/>
        <v>-4.0652504483933567E-4</v>
      </c>
      <c r="L55" s="276">
        <f t="shared" si="11"/>
        <v>0</v>
      </c>
      <c r="M55" s="276">
        <f t="shared" si="11"/>
        <v>0</v>
      </c>
      <c r="N55" s="276">
        <f t="shared" si="11"/>
        <v>0</v>
      </c>
      <c r="O55" s="276">
        <f t="shared" si="11"/>
        <v>0</v>
      </c>
      <c r="P55" s="276">
        <f t="shared" si="11"/>
        <v>0</v>
      </c>
      <c r="Q55" s="276">
        <f t="shared" si="11"/>
        <v>0</v>
      </c>
      <c r="R55" s="276">
        <f t="shared" si="11"/>
        <v>0</v>
      </c>
      <c r="S55" s="276">
        <f t="shared" si="11"/>
        <v>0</v>
      </c>
      <c r="T55" s="276">
        <f t="shared" si="11"/>
        <v>0</v>
      </c>
      <c r="U55" s="276">
        <f t="shared" si="11"/>
        <v>0</v>
      </c>
      <c r="V55" s="276">
        <f t="shared" si="11"/>
        <v>0</v>
      </c>
      <c r="W55" s="276">
        <f t="shared" si="11"/>
        <v>0</v>
      </c>
      <c r="X55" s="276">
        <f t="shared" si="11"/>
        <v>0</v>
      </c>
      <c r="Y55" s="276">
        <f t="shared" si="11"/>
        <v>0</v>
      </c>
      <c r="Z55" s="276">
        <f t="shared" si="11"/>
        <v>0</v>
      </c>
      <c r="AA55" s="276">
        <f t="shared" si="11"/>
        <v>0</v>
      </c>
      <c r="AB55" s="276">
        <f t="shared" si="11"/>
        <v>0</v>
      </c>
      <c r="AC55" s="276">
        <f t="shared" si="11"/>
        <v>0</v>
      </c>
      <c r="AD55" s="276">
        <f t="shared" si="11"/>
        <v>0</v>
      </c>
      <c r="AE55" s="276">
        <f t="shared" si="11"/>
        <v>0</v>
      </c>
      <c r="AF55" s="276">
        <f t="shared" si="11"/>
        <v>0</v>
      </c>
      <c r="AG55" s="276">
        <f t="shared" si="11"/>
        <v>0</v>
      </c>
      <c r="AH55" s="276">
        <f t="shared" si="11"/>
        <v>0</v>
      </c>
      <c r="AI55" s="276">
        <f t="shared" si="11"/>
        <v>0</v>
      </c>
      <c r="AJ55" s="276">
        <f t="shared" si="11"/>
        <v>0</v>
      </c>
      <c r="AK55" s="276">
        <f t="shared" si="11"/>
        <v>0</v>
      </c>
      <c r="AL55" s="276">
        <f t="shared" si="11"/>
        <v>0</v>
      </c>
      <c r="AM55" s="276">
        <f t="shared" si="11"/>
        <v>0</v>
      </c>
      <c r="AN55" s="276">
        <f t="shared" si="11"/>
        <v>0</v>
      </c>
      <c r="AO55" s="276">
        <f t="shared" si="11"/>
        <v>0</v>
      </c>
      <c r="AP55" s="276">
        <f t="shared" si="11"/>
        <v>0</v>
      </c>
      <c r="AQ55" s="276">
        <f t="shared" si="11"/>
        <v>0</v>
      </c>
      <c r="AR55" s="276">
        <f t="shared" si="11"/>
        <v>0</v>
      </c>
      <c r="AS55" s="276">
        <f t="shared" si="11"/>
        <v>0</v>
      </c>
      <c r="AT55" s="276">
        <f t="shared" si="11"/>
        <v>0</v>
      </c>
      <c r="AU55" s="276">
        <f t="shared" si="11"/>
        <v>0</v>
      </c>
      <c r="AV55" s="276">
        <f t="shared" si="11"/>
        <v>0</v>
      </c>
      <c r="AW55" s="276">
        <f t="shared" si="11"/>
        <v>0</v>
      </c>
      <c r="AX55" s="276">
        <f t="shared" si="11"/>
        <v>0</v>
      </c>
      <c r="AY55" s="276">
        <f t="shared" si="11"/>
        <v>0</v>
      </c>
      <c r="AZ55" s="276">
        <f t="shared" si="11"/>
        <v>0</v>
      </c>
      <c r="BA55" s="276">
        <f t="shared" si="11"/>
        <v>0</v>
      </c>
      <c r="BB55" s="276">
        <f t="shared" si="11"/>
        <v>0</v>
      </c>
      <c r="BC55" s="276">
        <f t="shared" si="11"/>
        <v>0</v>
      </c>
      <c r="BD55" s="276">
        <f t="shared" si="11"/>
        <v>0</v>
      </c>
      <c r="BE55" s="276">
        <f t="shared" si="11"/>
        <v>0</v>
      </c>
      <c r="BF55" s="276">
        <f t="shared" si="11"/>
        <v>0</v>
      </c>
      <c r="BG55" s="276">
        <f t="shared" si="11"/>
        <v>0</v>
      </c>
      <c r="BH55" s="276">
        <f t="shared" si="11"/>
        <v>0</v>
      </c>
      <c r="BI55" s="276">
        <f t="shared" si="11"/>
        <v>0</v>
      </c>
      <c r="BJ55" s="276">
        <f t="shared" si="11"/>
        <v>0</v>
      </c>
      <c r="BK55" s="276">
        <f t="shared" si="11"/>
        <v>0</v>
      </c>
      <c r="BL55" s="276">
        <f t="shared" si="11"/>
        <v>0</v>
      </c>
    </row>
    <row r="56" spans="1:64" s="163" customFormat="1" x14ac:dyDescent="0.15">
      <c r="C56" s="89" t="s">
        <v>227</v>
      </c>
      <c r="D56" s="276"/>
      <c r="E56" s="161">
        <f t="shared" ref="E56:BL56" si="12">IFERROR(E$49*D$11/12,0)</f>
        <v>0.15362397235924721</v>
      </c>
      <c r="F56" s="161">
        <f t="shared" si="12"/>
        <v>2.9062197368394387E-3</v>
      </c>
      <c r="G56" s="161">
        <f t="shared" si="12"/>
        <v>0</v>
      </c>
      <c r="H56" s="161">
        <f t="shared" si="12"/>
        <v>0</v>
      </c>
      <c r="I56" s="161">
        <f t="shared" si="12"/>
        <v>0</v>
      </c>
      <c r="J56" s="161">
        <f t="shared" si="12"/>
        <v>0</v>
      </c>
      <c r="K56" s="161">
        <f t="shared" si="12"/>
        <v>0</v>
      </c>
      <c r="L56" s="161">
        <f t="shared" si="12"/>
        <v>0</v>
      </c>
      <c r="M56" s="161">
        <f t="shared" si="12"/>
        <v>0</v>
      </c>
      <c r="N56" s="161">
        <f t="shared" si="12"/>
        <v>0</v>
      </c>
      <c r="O56" s="161">
        <f t="shared" si="12"/>
        <v>0</v>
      </c>
      <c r="P56" s="161">
        <f t="shared" si="12"/>
        <v>0</v>
      </c>
      <c r="Q56" s="161">
        <f t="shared" si="12"/>
        <v>0</v>
      </c>
      <c r="R56" s="161">
        <f t="shared" si="12"/>
        <v>0</v>
      </c>
      <c r="S56" s="161">
        <f t="shared" si="12"/>
        <v>0</v>
      </c>
      <c r="T56" s="161">
        <f t="shared" si="12"/>
        <v>0</v>
      </c>
      <c r="U56" s="161">
        <f t="shared" si="12"/>
        <v>0</v>
      </c>
      <c r="V56" s="161">
        <f t="shared" si="12"/>
        <v>0</v>
      </c>
      <c r="W56" s="161">
        <f t="shared" si="12"/>
        <v>0</v>
      </c>
      <c r="X56" s="161">
        <f t="shared" si="12"/>
        <v>0</v>
      </c>
      <c r="Y56" s="161">
        <f t="shared" si="12"/>
        <v>0</v>
      </c>
      <c r="Z56" s="161">
        <f t="shared" si="12"/>
        <v>0</v>
      </c>
      <c r="AA56" s="161">
        <f t="shared" si="12"/>
        <v>0</v>
      </c>
      <c r="AB56" s="161">
        <f t="shared" si="12"/>
        <v>0</v>
      </c>
      <c r="AC56" s="161">
        <f t="shared" si="12"/>
        <v>0</v>
      </c>
      <c r="AD56" s="161">
        <f t="shared" si="12"/>
        <v>0</v>
      </c>
      <c r="AE56" s="161">
        <f t="shared" si="12"/>
        <v>0</v>
      </c>
      <c r="AF56" s="161">
        <f t="shared" si="12"/>
        <v>0</v>
      </c>
      <c r="AG56" s="161">
        <f t="shared" si="12"/>
        <v>0</v>
      </c>
      <c r="AH56" s="161">
        <f t="shared" si="12"/>
        <v>0</v>
      </c>
      <c r="AI56" s="161">
        <f t="shared" si="12"/>
        <v>0</v>
      </c>
      <c r="AJ56" s="161">
        <f t="shared" si="12"/>
        <v>0</v>
      </c>
      <c r="AK56" s="161">
        <f t="shared" si="12"/>
        <v>0</v>
      </c>
      <c r="AL56" s="161">
        <f t="shared" si="12"/>
        <v>0</v>
      </c>
      <c r="AM56" s="161">
        <f t="shared" si="12"/>
        <v>0</v>
      </c>
      <c r="AN56" s="161">
        <f t="shared" si="12"/>
        <v>0</v>
      </c>
      <c r="AO56" s="161">
        <f t="shared" si="12"/>
        <v>0</v>
      </c>
      <c r="AP56" s="161">
        <f t="shared" si="12"/>
        <v>0</v>
      </c>
      <c r="AQ56" s="161">
        <f t="shared" si="12"/>
        <v>0</v>
      </c>
      <c r="AR56" s="161">
        <f t="shared" si="12"/>
        <v>0</v>
      </c>
      <c r="AS56" s="161">
        <f t="shared" si="12"/>
        <v>0</v>
      </c>
      <c r="AT56" s="161">
        <f t="shared" si="12"/>
        <v>0</v>
      </c>
      <c r="AU56" s="161">
        <f t="shared" si="12"/>
        <v>0</v>
      </c>
      <c r="AV56" s="161">
        <f t="shared" si="12"/>
        <v>0</v>
      </c>
      <c r="AW56" s="161">
        <f t="shared" si="12"/>
        <v>0</v>
      </c>
      <c r="AX56" s="161">
        <f t="shared" si="12"/>
        <v>0</v>
      </c>
      <c r="AY56" s="161">
        <f t="shared" si="12"/>
        <v>0</v>
      </c>
      <c r="AZ56" s="161">
        <f t="shared" si="12"/>
        <v>0</v>
      </c>
      <c r="BA56" s="161">
        <f t="shared" si="12"/>
        <v>0</v>
      </c>
      <c r="BB56" s="161">
        <f t="shared" si="12"/>
        <v>0</v>
      </c>
      <c r="BC56" s="161">
        <f t="shared" si="12"/>
        <v>0</v>
      </c>
      <c r="BD56" s="161">
        <f t="shared" si="12"/>
        <v>0</v>
      </c>
      <c r="BE56" s="161">
        <f t="shared" si="12"/>
        <v>0</v>
      </c>
      <c r="BF56" s="161">
        <f t="shared" si="12"/>
        <v>0</v>
      </c>
      <c r="BG56" s="161">
        <f t="shared" si="12"/>
        <v>0</v>
      </c>
      <c r="BH56" s="161">
        <f t="shared" si="12"/>
        <v>0</v>
      </c>
      <c r="BI56" s="161">
        <f t="shared" si="12"/>
        <v>0</v>
      </c>
      <c r="BJ56" s="161">
        <f t="shared" si="12"/>
        <v>0</v>
      </c>
      <c r="BK56" s="161">
        <f t="shared" si="12"/>
        <v>0</v>
      </c>
      <c r="BL56" s="161">
        <f t="shared" si="12"/>
        <v>0</v>
      </c>
    </row>
    <row r="57" spans="1:64" s="163" customFormat="1" x14ac:dyDescent="0.15">
      <c r="C57" s="169" t="s">
        <v>228</v>
      </c>
      <c r="E57" s="161">
        <f t="shared" ref="E57:BL57" si="13">-IFERROR(E48*D12/12,0)</f>
        <v>-8.6054560704737406E-3</v>
      </c>
      <c r="F57" s="161">
        <f t="shared" si="13"/>
        <v>-1.075841961524282E-3</v>
      </c>
      <c r="G57" s="161">
        <f t="shared" si="13"/>
        <v>-8.956290153333573E-4</v>
      </c>
      <c r="H57" s="161">
        <f t="shared" si="13"/>
        <v>-8.4238652097723182E-4</v>
      </c>
      <c r="I57" s="161">
        <f t="shared" si="13"/>
        <v>-8.2541050834637069E-4</v>
      </c>
      <c r="J57" s="161">
        <f t="shared" si="13"/>
        <v>-8.1715640326290721E-4</v>
      </c>
      <c r="K57" s="161">
        <f t="shared" si="13"/>
        <v>-4.0652504483933567E-4</v>
      </c>
      <c r="L57" s="161">
        <f t="shared" si="13"/>
        <v>0</v>
      </c>
      <c r="M57" s="161">
        <f t="shared" si="13"/>
        <v>0</v>
      </c>
      <c r="N57" s="161">
        <f t="shared" si="13"/>
        <v>0</v>
      </c>
      <c r="O57" s="161">
        <f t="shared" si="13"/>
        <v>0</v>
      </c>
      <c r="P57" s="161">
        <f t="shared" si="13"/>
        <v>0</v>
      </c>
      <c r="Q57" s="161">
        <f t="shared" si="13"/>
        <v>0</v>
      </c>
      <c r="R57" s="161">
        <f t="shared" si="13"/>
        <v>0</v>
      </c>
      <c r="S57" s="161">
        <f t="shared" si="13"/>
        <v>0</v>
      </c>
      <c r="T57" s="161">
        <f t="shared" si="13"/>
        <v>0</v>
      </c>
      <c r="U57" s="161">
        <f t="shared" si="13"/>
        <v>0</v>
      </c>
      <c r="V57" s="161">
        <f t="shared" si="13"/>
        <v>0</v>
      </c>
      <c r="W57" s="161">
        <f t="shared" si="13"/>
        <v>0</v>
      </c>
      <c r="X57" s="161">
        <f t="shared" si="13"/>
        <v>0</v>
      </c>
      <c r="Y57" s="161">
        <f t="shared" si="13"/>
        <v>0</v>
      </c>
      <c r="Z57" s="161">
        <f t="shared" si="13"/>
        <v>0</v>
      </c>
      <c r="AA57" s="161">
        <f t="shared" si="13"/>
        <v>0</v>
      </c>
      <c r="AB57" s="161">
        <f t="shared" si="13"/>
        <v>0</v>
      </c>
      <c r="AC57" s="161">
        <f t="shared" si="13"/>
        <v>0</v>
      </c>
      <c r="AD57" s="161">
        <f t="shared" si="13"/>
        <v>0</v>
      </c>
      <c r="AE57" s="161">
        <f t="shared" si="13"/>
        <v>0</v>
      </c>
      <c r="AF57" s="161">
        <f t="shared" si="13"/>
        <v>0</v>
      </c>
      <c r="AG57" s="161">
        <f t="shared" si="13"/>
        <v>0</v>
      </c>
      <c r="AH57" s="161">
        <f t="shared" si="13"/>
        <v>0</v>
      </c>
      <c r="AI57" s="161">
        <f t="shared" si="13"/>
        <v>0</v>
      </c>
      <c r="AJ57" s="161">
        <f t="shared" si="13"/>
        <v>0</v>
      </c>
      <c r="AK57" s="161">
        <f t="shared" si="13"/>
        <v>0</v>
      </c>
      <c r="AL57" s="161">
        <f t="shared" si="13"/>
        <v>0</v>
      </c>
      <c r="AM57" s="161">
        <f t="shared" si="13"/>
        <v>0</v>
      </c>
      <c r="AN57" s="161">
        <f t="shared" si="13"/>
        <v>0</v>
      </c>
      <c r="AO57" s="161">
        <f t="shared" si="13"/>
        <v>0</v>
      </c>
      <c r="AP57" s="161">
        <f t="shared" si="13"/>
        <v>0</v>
      </c>
      <c r="AQ57" s="161">
        <f t="shared" si="13"/>
        <v>0</v>
      </c>
      <c r="AR57" s="161">
        <f t="shared" si="13"/>
        <v>0</v>
      </c>
      <c r="AS57" s="161">
        <f t="shared" si="13"/>
        <v>0</v>
      </c>
      <c r="AT57" s="161">
        <f t="shared" si="13"/>
        <v>0</v>
      </c>
      <c r="AU57" s="161">
        <f t="shared" si="13"/>
        <v>0</v>
      </c>
      <c r="AV57" s="161">
        <f t="shared" si="13"/>
        <v>0</v>
      </c>
      <c r="AW57" s="161">
        <f t="shared" si="13"/>
        <v>0</v>
      </c>
      <c r="AX57" s="161">
        <f t="shared" si="13"/>
        <v>0</v>
      </c>
      <c r="AY57" s="161">
        <f t="shared" si="13"/>
        <v>0</v>
      </c>
      <c r="AZ57" s="161">
        <f t="shared" si="13"/>
        <v>0</v>
      </c>
      <c r="BA57" s="161">
        <f t="shared" si="13"/>
        <v>0</v>
      </c>
      <c r="BB57" s="161">
        <f t="shared" si="13"/>
        <v>0</v>
      </c>
      <c r="BC57" s="161">
        <f t="shared" si="13"/>
        <v>0</v>
      </c>
      <c r="BD57" s="161">
        <f t="shared" si="13"/>
        <v>0</v>
      </c>
      <c r="BE57" s="161">
        <f t="shared" si="13"/>
        <v>0</v>
      </c>
      <c r="BF57" s="161">
        <f t="shared" si="13"/>
        <v>0</v>
      </c>
      <c r="BG57" s="161">
        <f t="shared" si="13"/>
        <v>0</v>
      </c>
      <c r="BH57" s="161">
        <f t="shared" si="13"/>
        <v>0</v>
      </c>
      <c r="BI57" s="161">
        <f t="shared" si="13"/>
        <v>0</v>
      </c>
      <c r="BJ57" s="161">
        <f t="shared" si="13"/>
        <v>0</v>
      </c>
      <c r="BK57" s="161">
        <f t="shared" si="13"/>
        <v>0</v>
      </c>
      <c r="BL57" s="161">
        <f t="shared" si="13"/>
        <v>0</v>
      </c>
    </row>
    <row r="59" spans="1:64" x14ac:dyDescent="0.15">
      <c r="B59" s="163"/>
      <c r="C59" s="163" t="s">
        <v>208</v>
      </c>
      <c r="E59" s="276">
        <f>SUM(E60:E61)</f>
        <v>0.21988756833266851</v>
      </c>
      <c r="F59" s="276">
        <f t="shared" ref="F59:BL59" si="14">SUM(F60:F62)</f>
        <v>0</v>
      </c>
      <c r="G59" s="276">
        <f t="shared" si="14"/>
        <v>0</v>
      </c>
      <c r="H59" s="276">
        <f t="shared" si="14"/>
        <v>0</v>
      </c>
      <c r="I59" s="276">
        <f t="shared" si="14"/>
        <v>0</v>
      </c>
      <c r="J59" s="276">
        <f t="shared" si="14"/>
        <v>0</v>
      </c>
      <c r="K59" s="276">
        <f t="shared" si="14"/>
        <v>0</v>
      </c>
      <c r="L59" s="276">
        <f t="shared" si="14"/>
        <v>0</v>
      </c>
      <c r="M59" s="276">
        <f t="shared" si="14"/>
        <v>0</v>
      </c>
      <c r="N59" s="276">
        <f t="shared" si="14"/>
        <v>0</v>
      </c>
      <c r="O59" s="276">
        <f t="shared" si="14"/>
        <v>0</v>
      </c>
      <c r="P59" s="276">
        <f t="shared" si="14"/>
        <v>0</v>
      </c>
      <c r="Q59" s="276">
        <f t="shared" si="14"/>
        <v>0</v>
      </c>
      <c r="R59" s="276">
        <f t="shared" si="14"/>
        <v>0</v>
      </c>
      <c r="S59" s="276">
        <f t="shared" si="14"/>
        <v>0</v>
      </c>
      <c r="T59" s="276">
        <f t="shared" si="14"/>
        <v>0</v>
      </c>
      <c r="U59" s="276">
        <f t="shared" si="14"/>
        <v>0</v>
      </c>
      <c r="V59" s="276">
        <f t="shared" si="14"/>
        <v>0</v>
      </c>
      <c r="W59" s="276">
        <f t="shared" si="14"/>
        <v>0</v>
      </c>
      <c r="X59" s="276">
        <f t="shared" si="14"/>
        <v>0</v>
      </c>
      <c r="Y59" s="276">
        <f t="shared" si="14"/>
        <v>0</v>
      </c>
      <c r="Z59" s="276">
        <f t="shared" si="14"/>
        <v>0</v>
      </c>
      <c r="AA59" s="276">
        <f t="shared" si="14"/>
        <v>0</v>
      </c>
      <c r="AB59" s="276">
        <f t="shared" si="14"/>
        <v>0</v>
      </c>
      <c r="AC59" s="276">
        <f t="shared" si="14"/>
        <v>0</v>
      </c>
      <c r="AD59" s="276">
        <f t="shared" si="14"/>
        <v>0</v>
      </c>
      <c r="AE59" s="276">
        <f t="shared" si="14"/>
        <v>0</v>
      </c>
      <c r="AF59" s="276">
        <f t="shared" si="14"/>
        <v>0</v>
      </c>
      <c r="AG59" s="276">
        <f t="shared" si="14"/>
        <v>0</v>
      </c>
      <c r="AH59" s="276">
        <f t="shared" si="14"/>
        <v>0</v>
      </c>
      <c r="AI59" s="276">
        <f t="shared" si="14"/>
        <v>0</v>
      </c>
      <c r="AJ59" s="276">
        <f t="shared" si="14"/>
        <v>0</v>
      </c>
      <c r="AK59" s="276">
        <f t="shared" si="14"/>
        <v>0</v>
      </c>
      <c r="AL59" s="276">
        <f t="shared" si="14"/>
        <v>0</v>
      </c>
      <c r="AM59" s="276">
        <f t="shared" si="14"/>
        <v>0</v>
      </c>
      <c r="AN59" s="276">
        <f t="shared" si="14"/>
        <v>0</v>
      </c>
      <c r="AO59" s="276">
        <f t="shared" si="14"/>
        <v>0</v>
      </c>
      <c r="AP59" s="276">
        <f t="shared" si="14"/>
        <v>0</v>
      </c>
      <c r="AQ59" s="276">
        <f t="shared" si="14"/>
        <v>0</v>
      </c>
      <c r="AR59" s="276">
        <f t="shared" si="14"/>
        <v>0</v>
      </c>
      <c r="AS59" s="276">
        <f t="shared" si="14"/>
        <v>0</v>
      </c>
      <c r="AT59" s="276">
        <f t="shared" si="14"/>
        <v>0</v>
      </c>
      <c r="AU59" s="276">
        <f t="shared" si="14"/>
        <v>0</v>
      </c>
      <c r="AV59" s="276">
        <f t="shared" si="14"/>
        <v>0</v>
      </c>
      <c r="AW59" s="276">
        <f t="shared" si="14"/>
        <v>0</v>
      </c>
      <c r="AX59" s="276">
        <f t="shared" si="14"/>
        <v>0</v>
      </c>
      <c r="AY59" s="276">
        <f t="shared" si="14"/>
        <v>0</v>
      </c>
      <c r="AZ59" s="276">
        <f t="shared" si="14"/>
        <v>0</v>
      </c>
      <c r="BA59" s="276">
        <f t="shared" si="14"/>
        <v>0</v>
      </c>
      <c r="BB59" s="276">
        <f t="shared" si="14"/>
        <v>0</v>
      </c>
      <c r="BC59" s="276">
        <f t="shared" si="14"/>
        <v>0</v>
      </c>
      <c r="BD59" s="276">
        <f t="shared" si="14"/>
        <v>0</v>
      </c>
      <c r="BE59" s="276">
        <f t="shared" si="14"/>
        <v>0</v>
      </c>
      <c r="BF59" s="276">
        <f t="shared" si="14"/>
        <v>0</v>
      </c>
      <c r="BG59" s="276">
        <f t="shared" si="14"/>
        <v>0</v>
      </c>
      <c r="BH59" s="276">
        <f t="shared" si="14"/>
        <v>0</v>
      </c>
      <c r="BI59" s="276">
        <f t="shared" si="14"/>
        <v>0</v>
      </c>
      <c r="BJ59" s="276">
        <f t="shared" si="14"/>
        <v>0</v>
      </c>
      <c r="BK59" s="276">
        <f t="shared" si="14"/>
        <v>0</v>
      </c>
      <c r="BL59" s="276">
        <f t="shared" si="14"/>
        <v>0</v>
      </c>
    </row>
    <row r="60" spans="1:64" x14ac:dyDescent="0.15">
      <c r="A60" s="163"/>
      <c r="C60" s="169" t="s">
        <v>397</v>
      </c>
      <c r="E60" s="161">
        <f>Leadsheet!E10*Leadsheet!E21*Leadsheet!E23*Leadsheet!E24+Leadsheet!E10/(1+Leadsheet!E22*Leadsheet!E23)*Leadsheet!E22*Leadsheet!E23*Leadsheet!E24</f>
        <v>0.21988756833266851</v>
      </c>
    </row>
    <row r="61" spans="1:64" x14ac:dyDescent="0.15">
      <c r="C61" s="89" t="s">
        <v>97</v>
      </c>
      <c r="E61" s="161">
        <f>Leadsheet!E10*Leadsheet!E27+Leadsheet!E26</f>
        <v>0</v>
      </c>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1"/>
      <c r="BG61" s="161"/>
      <c r="BH61" s="161"/>
      <c r="BI61" s="161"/>
      <c r="BJ61" s="161"/>
      <c r="BK61" s="161"/>
      <c r="BL61" s="161"/>
    </row>
    <row r="62" spans="1:64" x14ac:dyDescent="0.15">
      <c r="C62" s="185"/>
      <c r="E62" s="161"/>
      <c r="F62" s="277"/>
      <c r="G62" s="277"/>
      <c r="H62" s="277"/>
      <c r="I62" s="277"/>
      <c r="J62" s="277"/>
      <c r="K62" s="277"/>
      <c r="L62" s="277"/>
      <c r="M62" s="277"/>
      <c r="N62" s="277"/>
      <c r="O62" s="277"/>
      <c r="P62" s="277"/>
      <c r="Q62" s="277"/>
      <c r="R62" s="277"/>
      <c r="S62" s="277"/>
      <c r="T62" s="277"/>
      <c r="U62" s="277"/>
      <c r="V62" s="277"/>
      <c r="W62" s="277"/>
      <c r="X62" s="277"/>
      <c r="Y62" s="277"/>
      <c r="Z62" s="277"/>
      <c r="AA62" s="277"/>
      <c r="AB62" s="277"/>
      <c r="AC62" s="277"/>
      <c r="AD62" s="277"/>
      <c r="AE62" s="277"/>
      <c r="AF62" s="277"/>
      <c r="AG62" s="277"/>
      <c r="AH62" s="277"/>
      <c r="AI62" s="277"/>
      <c r="AJ62" s="277"/>
      <c r="AK62" s="277"/>
      <c r="AL62" s="277"/>
      <c r="AM62" s="277"/>
      <c r="AN62" s="277"/>
      <c r="AO62" s="277"/>
      <c r="AP62" s="277"/>
      <c r="AQ62" s="277"/>
      <c r="AR62" s="277"/>
      <c r="AS62" s="277"/>
      <c r="AT62" s="277"/>
      <c r="AU62" s="277"/>
      <c r="AV62" s="277"/>
      <c r="AW62" s="277"/>
      <c r="AX62" s="277"/>
      <c r="AY62" s="277"/>
      <c r="AZ62" s="277"/>
      <c r="BA62" s="277"/>
      <c r="BB62" s="277"/>
      <c r="BC62" s="277"/>
      <c r="BD62" s="277"/>
      <c r="BE62" s="277"/>
      <c r="BF62" s="277"/>
      <c r="BG62" s="277"/>
      <c r="BH62" s="277"/>
      <c r="BI62" s="277"/>
      <c r="BJ62" s="277"/>
      <c r="BK62" s="277"/>
      <c r="BL62" s="277"/>
    </row>
    <row r="63" spans="1:64" x14ac:dyDescent="0.15">
      <c r="B63" s="163" t="s">
        <v>398</v>
      </c>
      <c r="E63" s="161" cm="1">
        <f t="array" ref="E63">IF(E5=$D$7,_xlfn.IFS(Leadsheet!$G$4="IFRS",0,Leadsheet!$G$5="DPD180+",(E172-E137)*(1+Leadsheet!$E$102),Leadsheet!$G$5="DPD360+",(E157-E137)*(1+Leadsheet!$E$102)),0)</f>
        <v>0</v>
      </c>
      <c r="F63" s="161" cm="1">
        <f t="array" ref="F63">IF(F5=$D$7,_xlfn.IFS(Leadsheet!$G$4="IFRS",0,Leadsheet!$G$5="DPD180+",(F172-F137)*(1+Leadsheet!$E$102),Leadsheet!$G$5="DPD360+",(F157-F137)*(1+Leadsheet!$E$102)),0)</f>
        <v>0</v>
      </c>
      <c r="G63" s="161" cm="1">
        <f t="array" ref="G63">IF(G5=$D$7,_xlfn.IFS(Leadsheet!$G$4="IFRS",0,Leadsheet!$G$5="DPD180+",(G172-G137)*(1+Leadsheet!$E$102),Leadsheet!$G$5="DPD360+",(G157-G137)*(1+Leadsheet!$E$102)),0)</f>
        <v>0</v>
      </c>
      <c r="H63" s="161" cm="1">
        <f t="array" ref="H63">IF(H5=$D$7,_xlfn.IFS(Leadsheet!$G$4="IFRS",0,Leadsheet!$G$5="DPD180+",(H172-H137)*(1+Leadsheet!$E$102),Leadsheet!$G$5="DPD360+",(H157-H137)*(1+Leadsheet!$E$102)),0)</f>
        <v>0</v>
      </c>
      <c r="I63" s="161" cm="1">
        <f t="array" ref="I63">IF(I5=$D$7,_xlfn.IFS(Leadsheet!$G$4="IFRS",0,Leadsheet!$G$5="DPD180+",(I172-I137)*(1+Leadsheet!$E$102),Leadsheet!$G$5="DPD360+",(I157-I137)*(1+Leadsheet!$E$102)),0)</f>
        <v>0</v>
      </c>
      <c r="J63" s="161" cm="1">
        <f t="array" ref="J63">IF(J5=$D$7,_xlfn.IFS(Leadsheet!$G$4="IFRS",0,Leadsheet!$G$5="DPD180+",(J172-J137)*(1+Leadsheet!$E$102),Leadsheet!$G$5="DPD360+",(J157-J137)*(1+Leadsheet!$E$102)),0)</f>
        <v>0</v>
      </c>
      <c r="K63" s="161" cm="1">
        <f t="array" ref="K63">IF(K5=$D$7,_xlfn.IFS(Leadsheet!$G$4="IFRS",0,Leadsheet!$G$5="DPD180+",(K172-K137)*(1+Leadsheet!$E$102),Leadsheet!$G$5="DPD360+",(K157-K137)*(1+Leadsheet!$E$102)),0)</f>
        <v>0</v>
      </c>
      <c r="L63" s="161" cm="1">
        <f t="array" ref="L63">IF(L5=$D$7,_xlfn.IFS(Leadsheet!$G$4="IFRS",0,Leadsheet!$G$5="DPD180+",(L172-L137)*(1+Leadsheet!$E$102),Leadsheet!$G$5="DPD360+",(L157-L137)*(1+Leadsheet!$E$102)),0)</f>
        <v>0</v>
      </c>
      <c r="M63" s="161" cm="1">
        <f t="array" ref="M63">IF(M5=$D$7,_xlfn.IFS(Leadsheet!$G$4="IFRS",0,Leadsheet!$G$5="DPD180+",(M172-M137)*(1+Leadsheet!$E$102),Leadsheet!$G$5="DPD360+",(M157-M137)*(1+Leadsheet!$E$102)),0)</f>
        <v>0</v>
      </c>
      <c r="N63" s="161" cm="1">
        <f t="array" ref="N63">IF(N5=$D$7,_xlfn.IFS(Leadsheet!$G$4="IFRS",0,Leadsheet!$G$5="DPD180+",(N172-N137)*(1+Leadsheet!$E$102),Leadsheet!$G$5="DPD360+",(N157-N137)*(1+Leadsheet!$E$102)),0)</f>
        <v>0</v>
      </c>
      <c r="O63" s="161" cm="1">
        <f t="array" ref="O63">IF(O5=$D$7,_xlfn.IFS(Leadsheet!$G$4="IFRS",0,Leadsheet!$G$5="DPD180+",(O172-O137)*(1+Leadsheet!$E$102),Leadsheet!$G$5="DPD360+",(O157-O137)*(1+Leadsheet!$E$102)),0)</f>
        <v>0</v>
      </c>
      <c r="P63" s="161" cm="1">
        <f t="array" ref="P63">IF(P5=$D$7,_xlfn.IFS(Leadsheet!$G$4="IFRS",0,Leadsheet!$G$5="DPD180+",(P172-P137)*(1+Leadsheet!$E$102),Leadsheet!$G$5="DPD360+",(P157-P137)*(1+Leadsheet!$E$102)),0)</f>
        <v>0</v>
      </c>
      <c r="Q63" s="161" cm="1">
        <f t="array" ref="Q63">IF(Q5=$D$7,_xlfn.IFS(Leadsheet!$G$4="IFRS",0,Leadsheet!$G$5="DPD180+",(Q172-Q137)*(1+Leadsheet!$E$102),Leadsheet!$G$5="DPD360+",(Q157-Q137)*(1+Leadsheet!$E$102)),0)</f>
        <v>0</v>
      </c>
      <c r="R63" s="161" cm="1">
        <f t="array" ref="R63">IF(R5=$D$7,_xlfn.IFS(Leadsheet!$G$4="IFRS",0,Leadsheet!$G$5="DPD180+",(R172-R137)*(1+Leadsheet!$E$102),Leadsheet!$G$5="DPD360+",(R157-R137)*(1+Leadsheet!$E$102)),0)</f>
        <v>0</v>
      </c>
      <c r="S63" s="161" cm="1">
        <f t="array" ref="S63">IF(S5=$D$7,_xlfn.IFS(Leadsheet!$G$4="IFRS",0,Leadsheet!$G$5="DPD180+",(S172-S137)*(1+Leadsheet!$E$102),Leadsheet!$G$5="DPD360+",(S157-S137)*(1+Leadsheet!$E$102)),0)</f>
        <v>0</v>
      </c>
      <c r="T63" s="161" cm="1">
        <f t="array" ref="T63">IF(T5=$D$7,_xlfn.IFS(Leadsheet!$G$4="IFRS",0,Leadsheet!$G$5="DPD180+",(T172-T137)*(1+Leadsheet!$E$102),Leadsheet!$G$5="DPD360+",(T157-T137)*(1+Leadsheet!$E$102)),0)</f>
        <v>0</v>
      </c>
      <c r="U63" s="161" cm="1">
        <f t="array" ref="U63">IF(U5=$D$7,_xlfn.IFS(Leadsheet!$G$4="IFRS",0,Leadsheet!$G$5="DPD180+",(U172-U137)*(1+Leadsheet!$E$102),Leadsheet!$G$5="DPD360+",(U157-U137)*(1+Leadsheet!$E$102)),0)</f>
        <v>0</v>
      </c>
      <c r="V63" s="161" cm="1">
        <f t="array" ref="V63">IF(V5=$D$7,_xlfn.IFS(Leadsheet!$G$4="IFRS",0,Leadsheet!$G$5="DPD180+",(V172-V137)*(1+Leadsheet!$E$102),Leadsheet!$G$5="DPD360+",(V157-V137)*(1+Leadsheet!$E$102)),0)</f>
        <v>0</v>
      </c>
      <c r="W63" s="161" cm="1">
        <f t="array" ref="W63">IF(W5=$D$7,_xlfn.IFS(Leadsheet!$G$4="IFRS",0,Leadsheet!$G$5="DPD180+",(W172-W137)*(1+Leadsheet!$E$102),Leadsheet!$G$5="DPD360+",(W157-W137)*(1+Leadsheet!$E$102)),0)</f>
        <v>0</v>
      </c>
      <c r="X63" s="161" cm="1">
        <f t="array" ref="X63">IF(X5=$D$7,_xlfn.IFS(Leadsheet!$G$4="IFRS",0,Leadsheet!$G$5="DPD180+",(X172-X137)*(1+Leadsheet!$E$102),Leadsheet!$G$5="DPD360+",(X157-X137)*(1+Leadsheet!$E$102)),0)</f>
        <v>0</v>
      </c>
      <c r="Y63" s="161" cm="1">
        <f t="array" ref="Y63">IF(Y5=$D$7,_xlfn.IFS(Leadsheet!$G$4="IFRS",0,Leadsheet!$G$5="DPD180+",(Y172-Y137)*(1+Leadsheet!$E$102),Leadsheet!$G$5="DPD360+",(Y157-Y137)*(1+Leadsheet!$E$102)),0)</f>
        <v>0</v>
      </c>
      <c r="Z63" s="161" cm="1">
        <f t="array" ref="Z63">IF(Z5=$D$7,_xlfn.IFS(Leadsheet!$G$4="IFRS",0,Leadsheet!$G$5="DPD180+",(Z172-Z137)*(1+Leadsheet!$E$102),Leadsheet!$G$5="DPD360+",(Z157-Z137)*(1+Leadsheet!$E$102)),0)</f>
        <v>0</v>
      </c>
      <c r="AA63" s="161" cm="1">
        <f t="array" ref="AA63">IF(AA5=$D$7,_xlfn.IFS(Leadsheet!$G$4="IFRS",0,Leadsheet!$G$5="DPD180+",(AA172-AA137)*(1+Leadsheet!$E$102),Leadsheet!$G$5="DPD360+",(AA157-AA137)*(1+Leadsheet!$E$102)),0)</f>
        <v>0</v>
      </c>
      <c r="AB63" s="161" cm="1">
        <f t="array" ref="AB63">IF(AB5=$D$7,_xlfn.IFS(Leadsheet!$G$4="IFRS",0,Leadsheet!$G$5="DPD180+",(AB172-AB137)*(1+Leadsheet!$E$102),Leadsheet!$G$5="DPD360+",(AB157-AB137)*(1+Leadsheet!$E$102)),0)</f>
        <v>0</v>
      </c>
      <c r="AC63" s="161">
        <f>IF(AC5&gt;$D$7,0,IF(Leadsheet!$G$5="DPD180+",SUM(SAP_Speadsheet!AB33:AB37)-SUM(SAP_Speadsheet!AC34:AC38),0))</f>
        <v>0</v>
      </c>
      <c r="AD63" s="161">
        <f>IF(AD5&gt;$D$7,0,IF(Leadsheet!$G$5="DPD180+",SUM(SAP_Speadsheet!AC33:AC37)-SUM(SAP_Speadsheet!AD34:AD38),0))</f>
        <v>0</v>
      </c>
      <c r="AE63" s="161">
        <f>IF(AE5&gt;$D$7,0,IF(Leadsheet!$G$5="DPD180+",SUM(SAP_Speadsheet!AD33:AD37)-SUM(SAP_Speadsheet!AE34:AE38),0))</f>
        <v>0</v>
      </c>
      <c r="AF63" s="161">
        <f>IF(AF5&gt;$D$7,0,IF(Leadsheet!$G$5="DPD180+",SUM(SAP_Speadsheet!AE33:AE37)-SUM(SAP_Speadsheet!AF34:AF38),0))</f>
        <v>0</v>
      </c>
      <c r="AG63" s="161">
        <f>IF(AG5&gt;$D$7,0,IF(Leadsheet!$G$5="DPD180+",SUM(SAP_Speadsheet!AF33:AF37)-SUM(SAP_Speadsheet!AG34:AG38),0))</f>
        <v>0</v>
      </c>
      <c r="AH63" s="161">
        <f>IF(AH5&gt;$D$7,0,IF(Leadsheet!$G$5="DPD180+",SUM(SAP_Speadsheet!AG33:AG37)-SUM(SAP_Speadsheet!AH34:AH38),0))</f>
        <v>0</v>
      </c>
      <c r="AI63" s="161">
        <f>IF(AI5&gt;$D$7,0,IF(Leadsheet!$G$5="DPD180+",SUM(SAP_Speadsheet!AH33:AH37)-SUM(SAP_Speadsheet!AI34:AI38),0))</f>
        <v>0</v>
      </c>
      <c r="AJ63" s="161">
        <f>IF(AJ5&gt;$D$7,0,IF(Leadsheet!$G$5="DPD180+",SUM(SAP_Speadsheet!AI33:AI37)-SUM(SAP_Speadsheet!AJ34:AJ38),0))</f>
        <v>0</v>
      </c>
      <c r="AK63" s="161">
        <f>IF(AK5&gt;$D$7,0,IF(Leadsheet!$G$5="DPD180+",SUM(SAP_Speadsheet!AJ33:AJ37)-SUM(SAP_Speadsheet!AK34:AK38),0))</f>
        <v>0</v>
      </c>
      <c r="AL63" s="161">
        <f>IF(AL5&gt;$D$7,0,IF(Leadsheet!$G$5="DPD180+",SUM(SAP_Speadsheet!AK33:AK37)-SUM(SAP_Speadsheet!AL34:AL38),0))</f>
        <v>0</v>
      </c>
      <c r="AM63" s="161">
        <f>IF(AM5&gt;$D$7,0,IF(Leadsheet!$G$5="DPD180+",SUM(SAP_Speadsheet!AL33:AL37)-SUM(SAP_Speadsheet!AM34:AM38),0))</f>
        <v>0</v>
      </c>
      <c r="AN63" s="161">
        <f>IF(AN5&gt;$D$7,0,IF(Leadsheet!$G$5="DPD180+",SUM(SAP_Speadsheet!AM33:AM37)-SUM(SAP_Speadsheet!AN34:AN38),0))</f>
        <v>0</v>
      </c>
      <c r="AO63" s="161">
        <f>IF(AO5&gt;$D$7,0,IF(Leadsheet!$G$5="DPD180+",SUM(SAP_Speadsheet!AN33:AN37)-SUM(SAP_Speadsheet!AO34:AO38),0))</f>
        <v>0</v>
      </c>
      <c r="AP63" s="161">
        <f>IF(AP5&gt;$D$7,0,IF(Leadsheet!$G$5="DPD180+",SUM(SAP_Speadsheet!AO33:AO37)-SUM(SAP_Speadsheet!AP34:AP38),0))</f>
        <v>0</v>
      </c>
      <c r="AQ63" s="161">
        <f>IF(AQ5&gt;$D$7,0,IF(Leadsheet!$G$5="DPD180+",SUM(SAP_Speadsheet!AP33:AP37)-SUM(SAP_Speadsheet!AQ34:AQ38),0))</f>
        <v>0</v>
      </c>
      <c r="AR63" s="161">
        <f>IF(AR5&gt;$D$7,0,IF(Leadsheet!$G$5="DPD180+",SUM(SAP_Speadsheet!AQ33:AQ37)-SUM(SAP_Speadsheet!AR34:AR38),0))</f>
        <v>0</v>
      </c>
      <c r="AS63" s="161">
        <f>IF(AS5&gt;$D$7,0,IF(Leadsheet!$G$5="DPD180+",SUM(SAP_Speadsheet!AR33:AR37)-SUM(SAP_Speadsheet!AS34:AS38),0))</f>
        <v>0</v>
      </c>
      <c r="AT63" s="161">
        <f>IF(AT5&gt;$D$7,0,IF(Leadsheet!$G$5="DPD180+",SUM(SAP_Speadsheet!AS33:AS37)-SUM(SAP_Speadsheet!AT34:AT38),0))</f>
        <v>0</v>
      </c>
      <c r="AU63" s="161">
        <f>IF(AU5&gt;$D$7,0,IF(Leadsheet!$G$5="DPD180+",SUM(SAP_Speadsheet!AT33:AT37)-SUM(SAP_Speadsheet!AU34:AU38),0))</f>
        <v>0</v>
      </c>
      <c r="AV63" s="161">
        <f>IF(AV5&gt;$D$7,0,IF(Leadsheet!$G$5="DPD180+",SUM(SAP_Speadsheet!AU33:AU37)-SUM(SAP_Speadsheet!AV34:AV38),0))</f>
        <v>0</v>
      </c>
      <c r="AW63" s="161">
        <f>IF(AW5&gt;$D$7,0,IF(Leadsheet!$G$5="DPD180+",SUM(SAP_Speadsheet!AV33:AV37)-SUM(SAP_Speadsheet!AW34:AW38),0))</f>
        <v>0</v>
      </c>
      <c r="AX63" s="161">
        <f>IF(AX5&gt;$D$7,0,IF(Leadsheet!$G$5="DPD180+",SUM(SAP_Speadsheet!AW33:AW37)-SUM(SAP_Speadsheet!AX34:AX38),0))</f>
        <v>0</v>
      </c>
      <c r="AY63" s="161">
        <f>IF(AY5&gt;$D$7,0,IF(Leadsheet!$G$5="DPD180+",SUM(SAP_Speadsheet!AX33:AX37)-SUM(SAP_Speadsheet!AY34:AY38),0))</f>
        <v>0</v>
      </c>
      <c r="AZ63" s="161">
        <f>IF(AZ5&gt;$D$7,0,IF(Leadsheet!$G$5="DPD180+",SUM(SAP_Speadsheet!AY33:AY37)-SUM(SAP_Speadsheet!AZ34:AZ38),0))</f>
        <v>0</v>
      </c>
      <c r="BA63" s="161">
        <f>IF(BA5&gt;$D$7,0,IF(Leadsheet!$G$5="DPD180+",SUM(SAP_Speadsheet!AZ33:AZ37)-SUM(SAP_Speadsheet!BA34:BA38),0))</f>
        <v>0</v>
      </c>
      <c r="BB63" s="161">
        <f>IF(BB5&gt;$D$7,0,IF(Leadsheet!$G$5="DPD180+",SUM(SAP_Speadsheet!BA33:BA37)-SUM(SAP_Speadsheet!BB34:BB38),0))</f>
        <v>0</v>
      </c>
      <c r="BC63" s="161">
        <f>IF(BC5&gt;$D$7,0,IF(Leadsheet!$G$5="DPD180+",SUM(SAP_Speadsheet!BB33:BB37)-SUM(SAP_Speadsheet!BC34:BC38),0))</f>
        <v>0</v>
      </c>
      <c r="BD63" s="161">
        <f>IF(BD5&gt;$D$7,0,IF(Leadsheet!$G$5="DPD180+",SUM(SAP_Speadsheet!BC33:BC37)-SUM(SAP_Speadsheet!BD34:BD38),0))</f>
        <v>0</v>
      </c>
      <c r="BE63" s="161">
        <f>IF(BE5&gt;$D$7,0,IF(Leadsheet!$G$5="DPD180+",SUM(SAP_Speadsheet!BD33:BD37)-SUM(SAP_Speadsheet!BE34:BE38),0))</f>
        <v>0</v>
      </c>
      <c r="BF63" s="161">
        <f>IF(BF5&gt;$D$7,0,IF(Leadsheet!$G$5="DPD180+",SUM(SAP_Speadsheet!BE33:BE37)-SUM(SAP_Speadsheet!BF34:BF38),0))</f>
        <v>0</v>
      </c>
      <c r="BG63" s="161">
        <f>IF(BG5&gt;$D$7,0,IF(Leadsheet!$G$5="DPD180+",SUM(SAP_Speadsheet!BF33:BF37)-SUM(SAP_Speadsheet!BG34:BG38),0))</f>
        <v>0</v>
      </c>
      <c r="BH63" s="161">
        <f>IF(BH5&gt;$D$7,0,IF(Leadsheet!$G$5="DPD180+",SUM(SAP_Speadsheet!BG33:BG37)-SUM(SAP_Speadsheet!BH34:BH38),0))</f>
        <v>0</v>
      </c>
      <c r="BI63" s="161">
        <f>IF(BI5&gt;$D$7,0,IF(Leadsheet!$G$5="DPD180+",SUM(SAP_Speadsheet!BH33:BH37)-SUM(SAP_Speadsheet!BI34:BI38),0))</f>
        <v>0</v>
      </c>
      <c r="BJ63" s="161">
        <f>IF(BJ5&gt;$D$7,0,IF(Leadsheet!$G$5="DPD180+",SUM(SAP_Speadsheet!BI33:BI37)-SUM(SAP_Speadsheet!BJ34:BJ38),0))</f>
        <v>0</v>
      </c>
      <c r="BK63" s="161">
        <f>IF(BK5&gt;$D$7,0,IF(Leadsheet!$G$5="DPD180+",SUM(SAP_Speadsheet!BJ33:BJ37)-SUM(SAP_Speadsheet!BK34:BK38),0))</f>
        <v>0</v>
      </c>
      <c r="BL63" s="161">
        <f>IF(BL5&gt;$D$7,0,IF(Leadsheet!$G$5="DPD180+",SUM(SAP_Speadsheet!BK33:BK37)-SUM(SAP_Speadsheet!BL34:BL38),0))</f>
        <v>0</v>
      </c>
    </row>
    <row r="64" spans="1:64" x14ac:dyDescent="0.15">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c r="BE64" s="161"/>
      <c r="BF64" s="161"/>
      <c r="BG64" s="161"/>
      <c r="BH64" s="161"/>
      <c r="BI64" s="161"/>
      <c r="BJ64" s="161"/>
      <c r="BK64" s="161"/>
      <c r="BL64" s="161"/>
    </row>
    <row r="66" spans="2:64" x14ac:dyDescent="0.15">
      <c r="B66" s="163" t="s">
        <v>399</v>
      </c>
      <c r="E66" s="276">
        <f t="shared" ref="E66:BL66" si="15">E67+E77+E80+E87+E91</f>
        <v>-0.14021124492953446</v>
      </c>
      <c r="F66" s="276">
        <f t="shared" si="15"/>
        <v>-8.6917397087452801E-4</v>
      </c>
      <c r="G66" s="276">
        <f t="shared" si="15"/>
        <v>1.4791960289112715E-5</v>
      </c>
      <c r="H66" s="276">
        <f t="shared" si="15"/>
        <v>5.6759610331252625E-2</v>
      </c>
      <c r="I66" s="276">
        <f t="shared" si="15"/>
        <v>-5.6424961466197232E-4</v>
      </c>
      <c r="J66" s="276">
        <f t="shared" si="15"/>
        <v>-5.5860711851534817E-4</v>
      </c>
      <c r="K66" s="276">
        <f t="shared" si="15"/>
        <v>-4.0294687277526477E-4</v>
      </c>
      <c r="L66" s="276">
        <f t="shared" si="15"/>
        <v>0</v>
      </c>
      <c r="M66" s="276">
        <f t="shared" si="15"/>
        <v>0</v>
      </c>
      <c r="N66" s="276">
        <f t="shared" si="15"/>
        <v>0</v>
      </c>
      <c r="O66" s="276">
        <f t="shared" si="15"/>
        <v>0</v>
      </c>
      <c r="P66" s="276">
        <f t="shared" si="15"/>
        <v>0</v>
      </c>
      <c r="Q66" s="276">
        <f t="shared" si="15"/>
        <v>0</v>
      </c>
      <c r="R66" s="276">
        <f t="shared" si="15"/>
        <v>0</v>
      </c>
      <c r="S66" s="276">
        <f t="shared" si="15"/>
        <v>0</v>
      </c>
      <c r="T66" s="276">
        <f t="shared" si="15"/>
        <v>0</v>
      </c>
      <c r="U66" s="276">
        <f t="shared" si="15"/>
        <v>0</v>
      </c>
      <c r="V66" s="276">
        <f t="shared" si="15"/>
        <v>0</v>
      </c>
      <c r="W66" s="276">
        <f t="shared" si="15"/>
        <v>0</v>
      </c>
      <c r="X66" s="276">
        <f t="shared" si="15"/>
        <v>0</v>
      </c>
      <c r="Y66" s="276">
        <f t="shared" si="15"/>
        <v>0</v>
      </c>
      <c r="Z66" s="276">
        <f t="shared" si="15"/>
        <v>0</v>
      </c>
      <c r="AA66" s="276">
        <f t="shared" si="15"/>
        <v>0</v>
      </c>
      <c r="AB66" s="276">
        <f t="shared" si="15"/>
        <v>0</v>
      </c>
      <c r="AC66" s="276">
        <f t="shared" si="15"/>
        <v>0</v>
      </c>
      <c r="AD66" s="276">
        <f t="shared" si="15"/>
        <v>0</v>
      </c>
      <c r="AE66" s="276">
        <f t="shared" si="15"/>
        <v>0</v>
      </c>
      <c r="AF66" s="276">
        <f t="shared" si="15"/>
        <v>0</v>
      </c>
      <c r="AG66" s="276">
        <f t="shared" si="15"/>
        <v>0</v>
      </c>
      <c r="AH66" s="276">
        <f t="shared" si="15"/>
        <v>0</v>
      </c>
      <c r="AI66" s="276">
        <f t="shared" si="15"/>
        <v>0</v>
      </c>
      <c r="AJ66" s="276">
        <f t="shared" si="15"/>
        <v>0</v>
      </c>
      <c r="AK66" s="276">
        <f t="shared" si="15"/>
        <v>0</v>
      </c>
      <c r="AL66" s="276">
        <f t="shared" si="15"/>
        <v>0</v>
      </c>
      <c r="AM66" s="276">
        <f t="shared" si="15"/>
        <v>0</v>
      </c>
      <c r="AN66" s="276">
        <f t="shared" si="15"/>
        <v>0</v>
      </c>
      <c r="AO66" s="276">
        <f t="shared" si="15"/>
        <v>0</v>
      </c>
      <c r="AP66" s="276">
        <f t="shared" si="15"/>
        <v>0</v>
      </c>
      <c r="AQ66" s="276">
        <f t="shared" si="15"/>
        <v>0</v>
      </c>
      <c r="AR66" s="276">
        <f t="shared" si="15"/>
        <v>0</v>
      </c>
      <c r="AS66" s="276">
        <f t="shared" si="15"/>
        <v>0</v>
      </c>
      <c r="AT66" s="276">
        <f t="shared" si="15"/>
        <v>0</v>
      </c>
      <c r="AU66" s="276">
        <f t="shared" si="15"/>
        <v>0</v>
      </c>
      <c r="AV66" s="276">
        <f t="shared" si="15"/>
        <v>0</v>
      </c>
      <c r="AW66" s="276">
        <f t="shared" si="15"/>
        <v>0</v>
      </c>
      <c r="AX66" s="276">
        <f t="shared" si="15"/>
        <v>0</v>
      </c>
      <c r="AY66" s="276">
        <f t="shared" si="15"/>
        <v>0</v>
      </c>
      <c r="AZ66" s="276">
        <f t="shared" si="15"/>
        <v>0</v>
      </c>
      <c r="BA66" s="276">
        <f t="shared" si="15"/>
        <v>0</v>
      </c>
      <c r="BB66" s="276">
        <f t="shared" si="15"/>
        <v>0</v>
      </c>
      <c r="BC66" s="276">
        <f t="shared" si="15"/>
        <v>0</v>
      </c>
      <c r="BD66" s="276">
        <f t="shared" si="15"/>
        <v>0</v>
      </c>
      <c r="BE66" s="276">
        <f t="shared" si="15"/>
        <v>0</v>
      </c>
      <c r="BF66" s="276">
        <f t="shared" si="15"/>
        <v>0</v>
      </c>
      <c r="BG66" s="276">
        <f t="shared" si="15"/>
        <v>0</v>
      </c>
      <c r="BH66" s="276">
        <f t="shared" si="15"/>
        <v>0</v>
      </c>
      <c r="BI66" s="276">
        <f t="shared" si="15"/>
        <v>0</v>
      </c>
      <c r="BJ66" s="276">
        <f t="shared" si="15"/>
        <v>0</v>
      </c>
      <c r="BK66" s="276">
        <f t="shared" si="15"/>
        <v>0</v>
      </c>
      <c r="BL66" s="276">
        <f t="shared" si="15"/>
        <v>0</v>
      </c>
    </row>
    <row r="67" spans="2:64" x14ac:dyDescent="0.15">
      <c r="B67" s="163" t="s">
        <v>107</v>
      </c>
      <c r="C67" s="163"/>
      <c r="D67" s="163"/>
      <c r="E67" s="260">
        <f>E68+E69</f>
        <v>-0.11497218095192509</v>
      </c>
      <c r="F67" s="260">
        <f t="shared" ref="F67:BL67" si="16">F68+F69</f>
        <v>-5.7657397087452795E-4</v>
      </c>
      <c r="G67" s="260">
        <f t="shared" si="16"/>
        <v>2.8212557252684271E-4</v>
      </c>
      <c r="H67" s="260">
        <f t="shared" si="16"/>
        <v>5.7018923935123221E-2</v>
      </c>
      <c r="I67" s="260">
        <f t="shared" si="16"/>
        <v>-3.0752914683008017E-4</v>
      </c>
      <c r="J67" s="260">
        <f t="shared" si="16"/>
        <v>-3.04453855361775E-4</v>
      </c>
      <c r="K67" s="260">
        <f t="shared" si="16"/>
        <v>-1.500643759374594E-4</v>
      </c>
      <c r="L67" s="260">
        <f t="shared" si="16"/>
        <v>0</v>
      </c>
      <c r="M67" s="260">
        <f t="shared" si="16"/>
        <v>0</v>
      </c>
      <c r="N67" s="260">
        <f t="shared" si="16"/>
        <v>0</v>
      </c>
      <c r="O67" s="260">
        <f t="shared" si="16"/>
        <v>0</v>
      </c>
      <c r="P67" s="260">
        <f t="shared" si="16"/>
        <v>0</v>
      </c>
      <c r="Q67" s="260">
        <f t="shared" si="16"/>
        <v>0</v>
      </c>
      <c r="R67" s="260">
        <f t="shared" si="16"/>
        <v>0</v>
      </c>
      <c r="S67" s="260">
        <f t="shared" si="16"/>
        <v>0</v>
      </c>
      <c r="T67" s="260">
        <f t="shared" si="16"/>
        <v>0</v>
      </c>
      <c r="U67" s="260">
        <f t="shared" si="16"/>
        <v>0</v>
      </c>
      <c r="V67" s="260">
        <f t="shared" si="16"/>
        <v>0</v>
      </c>
      <c r="W67" s="260">
        <f t="shared" si="16"/>
        <v>0</v>
      </c>
      <c r="X67" s="260">
        <f t="shared" si="16"/>
        <v>0</v>
      </c>
      <c r="Y67" s="260">
        <f t="shared" si="16"/>
        <v>0</v>
      </c>
      <c r="Z67" s="260">
        <f t="shared" si="16"/>
        <v>0</v>
      </c>
      <c r="AA67" s="260">
        <f t="shared" si="16"/>
        <v>0</v>
      </c>
      <c r="AB67" s="260">
        <f t="shared" si="16"/>
        <v>0</v>
      </c>
      <c r="AC67" s="260">
        <f t="shared" si="16"/>
        <v>0</v>
      </c>
      <c r="AD67" s="260">
        <f t="shared" si="16"/>
        <v>0</v>
      </c>
      <c r="AE67" s="260">
        <f t="shared" si="16"/>
        <v>0</v>
      </c>
      <c r="AF67" s="260">
        <f t="shared" si="16"/>
        <v>0</v>
      </c>
      <c r="AG67" s="260">
        <f t="shared" si="16"/>
        <v>0</v>
      </c>
      <c r="AH67" s="260">
        <f t="shared" si="16"/>
        <v>0</v>
      </c>
      <c r="AI67" s="260">
        <f t="shared" si="16"/>
        <v>0</v>
      </c>
      <c r="AJ67" s="260">
        <f t="shared" si="16"/>
        <v>0</v>
      </c>
      <c r="AK67" s="260">
        <f t="shared" si="16"/>
        <v>0</v>
      </c>
      <c r="AL67" s="260">
        <f t="shared" si="16"/>
        <v>0</v>
      </c>
      <c r="AM67" s="260">
        <f t="shared" si="16"/>
        <v>0</v>
      </c>
      <c r="AN67" s="260">
        <f t="shared" si="16"/>
        <v>0</v>
      </c>
      <c r="AO67" s="260">
        <f t="shared" si="16"/>
        <v>0</v>
      </c>
      <c r="AP67" s="260">
        <f t="shared" si="16"/>
        <v>0</v>
      </c>
      <c r="AQ67" s="260">
        <f t="shared" si="16"/>
        <v>0</v>
      </c>
      <c r="AR67" s="260">
        <f t="shared" si="16"/>
        <v>0</v>
      </c>
      <c r="AS67" s="260">
        <f t="shared" si="16"/>
        <v>0</v>
      </c>
      <c r="AT67" s="260">
        <f t="shared" si="16"/>
        <v>0</v>
      </c>
      <c r="AU67" s="260">
        <f t="shared" si="16"/>
        <v>0</v>
      </c>
      <c r="AV67" s="260">
        <f t="shared" si="16"/>
        <v>0</v>
      </c>
      <c r="AW67" s="260">
        <f t="shared" si="16"/>
        <v>0</v>
      </c>
      <c r="AX67" s="260">
        <f t="shared" si="16"/>
        <v>0</v>
      </c>
      <c r="AY67" s="260">
        <f t="shared" si="16"/>
        <v>0</v>
      </c>
      <c r="AZ67" s="260">
        <f t="shared" si="16"/>
        <v>0</v>
      </c>
      <c r="BA67" s="260">
        <f t="shared" si="16"/>
        <v>0</v>
      </c>
      <c r="BB67" s="260">
        <f t="shared" si="16"/>
        <v>0</v>
      </c>
      <c r="BC67" s="260">
        <f t="shared" si="16"/>
        <v>0</v>
      </c>
      <c r="BD67" s="260">
        <f t="shared" si="16"/>
        <v>0</v>
      </c>
      <c r="BE67" s="260">
        <f t="shared" si="16"/>
        <v>0</v>
      </c>
      <c r="BF67" s="260">
        <f t="shared" si="16"/>
        <v>0</v>
      </c>
      <c r="BG67" s="260">
        <f t="shared" si="16"/>
        <v>0</v>
      </c>
      <c r="BH67" s="260">
        <f t="shared" si="16"/>
        <v>0</v>
      </c>
      <c r="BI67" s="260">
        <f t="shared" si="16"/>
        <v>0</v>
      </c>
      <c r="BJ67" s="260">
        <f t="shared" si="16"/>
        <v>0</v>
      </c>
      <c r="BK67" s="260">
        <f t="shared" si="16"/>
        <v>0</v>
      </c>
      <c r="BL67" s="260">
        <f t="shared" si="16"/>
        <v>0</v>
      </c>
    </row>
    <row r="68" spans="2:64" s="181" customFormat="1" x14ac:dyDescent="0.15">
      <c r="C68" s="89" t="s">
        <v>400</v>
      </c>
      <c r="E68" s="161">
        <f>-Leadsheet!E44-Leadsheet!E45*Leadsheet!E10</f>
        <v>-2.5773142621801029E-5</v>
      </c>
    </row>
    <row r="69" spans="2:64" x14ac:dyDescent="0.15">
      <c r="C69" s="163" t="s">
        <v>401</v>
      </c>
      <c r="E69" s="260">
        <f>SUM(E70:E76)</f>
        <v>-0.11494640780930329</v>
      </c>
      <c r="F69" s="260">
        <f>SUM(F70:F76)</f>
        <v>-5.7657397087452795E-4</v>
      </c>
      <c r="G69" s="260">
        <f t="shared" ref="G69:BL69" si="17">SUM(G70:G76)</f>
        <v>2.8212557252684271E-4</v>
      </c>
      <c r="H69" s="260">
        <f t="shared" si="17"/>
        <v>5.7018923935123221E-2</v>
      </c>
      <c r="I69" s="260">
        <f t="shared" si="17"/>
        <v>-3.0752914683008017E-4</v>
      </c>
      <c r="J69" s="260">
        <f t="shared" si="17"/>
        <v>-3.04453855361775E-4</v>
      </c>
      <c r="K69" s="260">
        <f t="shared" si="17"/>
        <v>-1.500643759374594E-4</v>
      </c>
      <c r="L69" s="260">
        <f t="shared" si="17"/>
        <v>0</v>
      </c>
      <c r="M69" s="260">
        <f t="shared" si="17"/>
        <v>0</v>
      </c>
      <c r="N69" s="260">
        <f t="shared" si="17"/>
        <v>0</v>
      </c>
      <c r="O69" s="260">
        <f t="shared" si="17"/>
        <v>0</v>
      </c>
      <c r="P69" s="260">
        <f t="shared" si="17"/>
        <v>0</v>
      </c>
      <c r="Q69" s="260">
        <f t="shared" si="17"/>
        <v>0</v>
      </c>
      <c r="R69" s="260">
        <f t="shared" si="17"/>
        <v>0</v>
      </c>
      <c r="S69" s="260">
        <f t="shared" si="17"/>
        <v>0</v>
      </c>
      <c r="T69" s="260">
        <f t="shared" si="17"/>
        <v>0</v>
      </c>
      <c r="U69" s="260">
        <f t="shared" si="17"/>
        <v>0</v>
      </c>
      <c r="V69" s="260">
        <f t="shared" si="17"/>
        <v>0</v>
      </c>
      <c r="W69" s="260">
        <f t="shared" si="17"/>
        <v>0</v>
      </c>
      <c r="X69" s="260">
        <f t="shared" si="17"/>
        <v>0</v>
      </c>
      <c r="Y69" s="260">
        <f t="shared" si="17"/>
        <v>0</v>
      </c>
      <c r="Z69" s="260">
        <f t="shared" si="17"/>
        <v>0</v>
      </c>
      <c r="AA69" s="260">
        <f t="shared" si="17"/>
        <v>0</v>
      </c>
      <c r="AB69" s="260">
        <f t="shared" si="17"/>
        <v>0</v>
      </c>
      <c r="AC69" s="260">
        <f t="shared" si="17"/>
        <v>0</v>
      </c>
      <c r="AD69" s="260">
        <f t="shared" si="17"/>
        <v>0</v>
      </c>
      <c r="AE69" s="260">
        <f t="shared" si="17"/>
        <v>0</v>
      </c>
      <c r="AF69" s="260">
        <f t="shared" si="17"/>
        <v>0</v>
      </c>
      <c r="AG69" s="260">
        <f t="shared" si="17"/>
        <v>0</v>
      </c>
      <c r="AH69" s="260">
        <f t="shared" si="17"/>
        <v>0</v>
      </c>
      <c r="AI69" s="260">
        <f t="shared" si="17"/>
        <v>0</v>
      </c>
      <c r="AJ69" s="260">
        <f t="shared" si="17"/>
        <v>0</v>
      </c>
      <c r="AK69" s="260">
        <f t="shared" si="17"/>
        <v>0</v>
      </c>
      <c r="AL69" s="260">
        <f t="shared" si="17"/>
        <v>0</v>
      </c>
      <c r="AM69" s="260">
        <f t="shared" si="17"/>
        <v>0</v>
      </c>
      <c r="AN69" s="260">
        <f t="shared" si="17"/>
        <v>0</v>
      </c>
      <c r="AO69" s="260">
        <f t="shared" si="17"/>
        <v>0</v>
      </c>
      <c r="AP69" s="260">
        <f t="shared" si="17"/>
        <v>0</v>
      </c>
      <c r="AQ69" s="260">
        <f t="shared" si="17"/>
        <v>0</v>
      </c>
      <c r="AR69" s="260">
        <f t="shared" si="17"/>
        <v>0</v>
      </c>
      <c r="AS69" s="260">
        <f t="shared" si="17"/>
        <v>0</v>
      </c>
      <c r="AT69" s="260">
        <f t="shared" si="17"/>
        <v>0</v>
      </c>
      <c r="AU69" s="260">
        <f t="shared" si="17"/>
        <v>0</v>
      </c>
      <c r="AV69" s="260">
        <f t="shared" si="17"/>
        <v>0</v>
      </c>
      <c r="AW69" s="260">
        <f t="shared" si="17"/>
        <v>0</v>
      </c>
      <c r="AX69" s="260">
        <f t="shared" si="17"/>
        <v>0</v>
      </c>
      <c r="AY69" s="260">
        <f t="shared" si="17"/>
        <v>0</v>
      </c>
      <c r="AZ69" s="260">
        <f t="shared" si="17"/>
        <v>0</v>
      </c>
      <c r="BA69" s="260">
        <f t="shared" si="17"/>
        <v>0</v>
      </c>
      <c r="BB69" s="260">
        <f t="shared" si="17"/>
        <v>0</v>
      </c>
      <c r="BC69" s="260">
        <f t="shared" si="17"/>
        <v>0</v>
      </c>
      <c r="BD69" s="260">
        <f t="shared" si="17"/>
        <v>0</v>
      </c>
      <c r="BE69" s="260">
        <f t="shared" si="17"/>
        <v>0</v>
      </c>
      <c r="BF69" s="260">
        <f t="shared" si="17"/>
        <v>0</v>
      </c>
      <c r="BG69" s="260">
        <f t="shared" si="17"/>
        <v>0</v>
      </c>
      <c r="BH69" s="260">
        <f t="shared" si="17"/>
        <v>0</v>
      </c>
      <c r="BI69" s="260">
        <f t="shared" si="17"/>
        <v>0</v>
      </c>
      <c r="BJ69" s="260">
        <f t="shared" si="17"/>
        <v>0</v>
      </c>
      <c r="BK69" s="260">
        <f t="shared" si="17"/>
        <v>0</v>
      </c>
      <c r="BL69" s="260">
        <f t="shared" si="17"/>
        <v>0</v>
      </c>
    </row>
    <row r="70" spans="2:64" x14ac:dyDescent="0.15">
      <c r="C70" s="171" t="s">
        <v>114</v>
      </c>
      <c r="E70" s="161">
        <f>-SUM(E56:E56)*Leadsheet!$E$38</f>
        <v>0</v>
      </c>
      <c r="F70" s="161">
        <f>-SUM(F56:F56)*Leadsheet!$E$38</f>
        <v>0</v>
      </c>
      <c r="G70" s="161">
        <f>-SUM(G56:G56)*Leadsheet!$E$38</f>
        <v>0</v>
      </c>
      <c r="H70" s="161">
        <f>-SUM(H56:H56)*Leadsheet!$E$38</f>
        <v>0</v>
      </c>
      <c r="I70" s="161">
        <f>-SUM(I56:I56)*Leadsheet!$E$38</f>
        <v>0</v>
      </c>
      <c r="J70" s="161">
        <f>-SUM(J56:J56)*Leadsheet!$E$38</f>
        <v>0</v>
      </c>
      <c r="K70" s="161">
        <f>-SUM(K56:K56)*Leadsheet!$E$38</f>
        <v>0</v>
      </c>
      <c r="L70" s="161">
        <f>-SUM(L56:L56)*Leadsheet!$E$38</f>
        <v>0</v>
      </c>
      <c r="M70" s="161">
        <f>-SUM(M56:M56)*Leadsheet!$E$38</f>
        <v>0</v>
      </c>
      <c r="N70" s="161">
        <f>-SUM(N56:N56)*Leadsheet!$E$38</f>
        <v>0</v>
      </c>
      <c r="O70" s="161">
        <f>-SUM(O56:O56)*Leadsheet!$E$38</f>
        <v>0</v>
      </c>
      <c r="P70" s="161">
        <f>-SUM(P56:P56)*Leadsheet!$E$38</f>
        <v>0</v>
      </c>
      <c r="Q70" s="161">
        <f>-SUM(Q56:Q56)*Leadsheet!$E$38</f>
        <v>0</v>
      </c>
      <c r="R70" s="161">
        <f>-SUM(R56:R56)*Leadsheet!$E$38</f>
        <v>0</v>
      </c>
      <c r="S70" s="161">
        <f>-SUM(S56:S56)*Leadsheet!$E$38</f>
        <v>0</v>
      </c>
      <c r="T70" s="161">
        <f>-SUM(T56:T56)*Leadsheet!$E$38</f>
        <v>0</v>
      </c>
      <c r="U70" s="161">
        <f>-SUM(U56:U56)*Leadsheet!$E$38</f>
        <v>0</v>
      </c>
      <c r="V70" s="161">
        <f>-SUM(V56:V56)*Leadsheet!$E$38</f>
        <v>0</v>
      </c>
      <c r="W70" s="161">
        <f>-SUM(W56:W56)*Leadsheet!$E$38</f>
        <v>0</v>
      </c>
      <c r="X70" s="161">
        <f>-SUM(X56:X56)*Leadsheet!$E$38</f>
        <v>0</v>
      </c>
      <c r="Y70" s="161">
        <f>-SUM(Y56:Y56)*Leadsheet!$E$38</f>
        <v>0</v>
      </c>
      <c r="Z70" s="161">
        <f>-SUM(Z56:Z56)*Leadsheet!$E$38</f>
        <v>0</v>
      </c>
      <c r="AA70" s="161">
        <f>-SUM(AA56:AA56)*Leadsheet!$E$38</f>
        <v>0</v>
      </c>
      <c r="AB70" s="161">
        <f>-SUM(AB56:AB56)*Leadsheet!$E$38</f>
        <v>0</v>
      </c>
      <c r="AC70" s="161">
        <f>-SUM(AC56:AC56)*Leadsheet!$E$38</f>
        <v>0</v>
      </c>
      <c r="AD70" s="161">
        <f>-SUM(AD56:AD56)*Leadsheet!$E$38</f>
        <v>0</v>
      </c>
      <c r="AE70" s="161">
        <f>-SUM(AE56:AE56)*Leadsheet!$E$38</f>
        <v>0</v>
      </c>
      <c r="AF70" s="161">
        <f>-SUM(AF56:AF56)*Leadsheet!$E$38</f>
        <v>0</v>
      </c>
      <c r="AG70" s="161">
        <f>-SUM(AG56:AG56)*Leadsheet!$E$38</f>
        <v>0</v>
      </c>
      <c r="AH70" s="161">
        <f>-SUM(AH56:AH56)*Leadsheet!$E$38</f>
        <v>0</v>
      </c>
      <c r="AI70" s="161">
        <f>-SUM(AI56:AI56)*Leadsheet!$E$38</f>
        <v>0</v>
      </c>
      <c r="AJ70" s="161">
        <f>-SUM(AJ56:AJ56)*Leadsheet!$E$38</f>
        <v>0</v>
      </c>
      <c r="AK70" s="161">
        <f>-SUM(AK56:AK56)*Leadsheet!$E$38</f>
        <v>0</v>
      </c>
      <c r="AL70" s="161">
        <f>-SUM(AL56:AL56)*Leadsheet!$E$38</f>
        <v>0</v>
      </c>
      <c r="AM70" s="161">
        <f>-SUM(AM56:AM56)*Leadsheet!$E$38</f>
        <v>0</v>
      </c>
      <c r="AN70" s="161">
        <f>-SUM(AN56:AN56)*Leadsheet!$E$38</f>
        <v>0</v>
      </c>
      <c r="AO70" s="161">
        <f>-SUM(AO56:AO56)*Leadsheet!$E$38</f>
        <v>0</v>
      </c>
      <c r="AP70" s="161">
        <f>-SUM(AP56:AP56)*Leadsheet!$E$38</f>
        <v>0</v>
      </c>
      <c r="AQ70" s="161">
        <f>-SUM(AQ56:AQ56)*Leadsheet!$E$38</f>
        <v>0</v>
      </c>
      <c r="AR70" s="161">
        <f>-SUM(AR56:AR56)*Leadsheet!$E$38</f>
        <v>0</v>
      </c>
      <c r="AS70" s="161">
        <f>-SUM(AS56:AS56)*Leadsheet!$E$38</f>
        <v>0</v>
      </c>
      <c r="AT70" s="161">
        <f>-SUM(AT56:AT56)*Leadsheet!$E$38</f>
        <v>0</v>
      </c>
      <c r="AU70" s="161">
        <f>-SUM(AU56:AU56)*Leadsheet!$E$38</f>
        <v>0</v>
      </c>
      <c r="AV70" s="161">
        <f>-SUM(AV56:AV56)*Leadsheet!$E$38</f>
        <v>0</v>
      </c>
      <c r="AW70" s="161">
        <f>-SUM(AW56:AW56)*Leadsheet!$E$38</f>
        <v>0</v>
      </c>
      <c r="AX70" s="161">
        <f>-SUM(AX56:AX56)*Leadsheet!$E$38</f>
        <v>0</v>
      </c>
      <c r="AY70" s="161">
        <f>-SUM(AY56:AY56)*Leadsheet!$E$38</f>
        <v>0</v>
      </c>
      <c r="AZ70" s="161">
        <f>-SUM(AZ56:AZ56)*Leadsheet!$E$38</f>
        <v>0</v>
      </c>
      <c r="BA70" s="161">
        <f>-SUM(BA56:BA56)*Leadsheet!$E$38</f>
        <v>0</v>
      </c>
      <c r="BB70" s="161">
        <f>-SUM(BB56:BB56)*Leadsheet!$E$38</f>
        <v>0</v>
      </c>
      <c r="BC70" s="161">
        <f>-SUM(BC56:BC56)*Leadsheet!$E$38</f>
        <v>0</v>
      </c>
      <c r="BD70" s="161">
        <f>-SUM(BD56:BD56)*Leadsheet!$E$38</f>
        <v>0</v>
      </c>
      <c r="BE70" s="161">
        <f>-SUM(BE56:BE56)*Leadsheet!$E$38</f>
        <v>0</v>
      </c>
      <c r="BF70" s="161">
        <f>-SUM(BF56:BF56)*Leadsheet!$E$38</f>
        <v>0</v>
      </c>
      <c r="BG70" s="161">
        <f>-SUM(BG56:BG56)*Leadsheet!$E$38</f>
        <v>0</v>
      </c>
      <c r="BH70" s="161">
        <f>-SUM(BH56:BH56)*Leadsheet!$E$38</f>
        <v>0</v>
      </c>
      <c r="BI70" s="161">
        <f>-SUM(BI56:BI56)*Leadsheet!$E$38</f>
        <v>0</v>
      </c>
      <c r="BJ70" s="161">
        <f>-SUM(BJ56:BJ56)*Leadsheet!$E$38</f>
        <v>0</v>
      </c>
      <c r="BK70" s="161">
        <f>-SUM(BK56:BK56)*Leadsheet!$E$38</f>
        <v>0</v>
      </c>
      <c r="BL70" s="161">
        <f>-SUM(BL56:BL56)*Leadsheet!$E$38</f>
        <v>0</v>
      </c>
    </row>
    <row r="71" spans="2:64" x14ac:dyDescent="0.15">
      <c r="C71" s="171" t="s">
        <v>116</v>
      </c>
      <c r="E71" s="161">
        <f>-E57*Leadsheet!$E$39</f>
        <v>0</v>
      </c>
      <c r="F71" s="161">
        <f>-F57*Leadsheet!$E$39</f>
        <v>0</v>
      </c>
      <c r="G71" s="161">
        <f>-G57*Leadsheet!$E$39</f>
        <v>0</v>
      </c>
      <c r="H71" s="161">
        <f>-H57*Leadsheet!$E$39</f>
        <v>0</v>
      </c>
      <c r="I71" s="161">
        <f>-I57*Leadsheet!$E$39</f>
        <v>0</v>
      </c>
      <c r="J71" s="161">
        <f>-J57*Leadsheet!$E$39</f>
        <v>0</v>
      </c>
      <c r="K71" s="161">
        <f>-K57*Leadsheet!$E$39</f>
        <v>0</v>
      </c>
      <c r="L71" s="161">
        <f>-L57*Leadsheet!$E$39</f>
        <v>0</v>
      </c>
      <c r="M71" s="161">
        <f>-M57*Leadsheet!$E$39</f>
        <v>0</v>
      </c>
      <c r="N71" s="161">
        <f>-N57*Leadsheet!$E$39</f>
        <v>0</v>
      </c>
      <c r="O71" s="161">
        <f>-O57*Leadsheet!$E$39</f>
        <v>0</v>
      </c>
      <c r="P71" s="161">
        <f>-P57*Leadsheet!$E$39</f>
        <v>0</v>
      </c>
      <c r="Q71" s="161">
        <f>-Q57*Leadsheet!$E$39</f>
        <v>0</v>
      </c>
      <c r="R71" s="161">
        <f>-R57*Leadsheet!$E$39</f>
        <v>0</v>
      </c>
      <c r="S71" s="161">
        <f>-S57*Leadsheet!$E$39</f>
        <v>0</v>
      </c>
      <c r="T71" s="161">
        <f>-T57*Leadsheet!$E$39</f>
        <v>0</v>
      </c>
      <c r="U71" s="161">
        <f>-U57*Leadsheet!$E$39</f>
        <v>0</v>
      </c>
      <c r="V71" s="161">
        <f>-V57*Leadsheet!$E$39</f>
        <v>0</v>
      </c>
      <c r="W71" s="161">
        <f>-W57*Leadsheet!$E$39</f>
        <v>0</v>
      </c>
      <c r="X71" s="161">
        <f>-X57*Leadsheet!$E$39</f>
        <v>0</v>
      </c>
      <c r="Y71" s="161">
        <f>-Y57*Leadsheet!$E$39</f>
        <v>0</v>
      </c>
      <c r="Z71" s="161">
        <f>-Z57*Leadsheet!$E$39</f>
        <v>0</v>
      </c>
      <c r="AA71" s="161">
        <f>-AA57*Leadsheet!$E$39</f>
        <v>0</v>
      </c>
      <c r="AB71" s="161">
        <f>-AB57*Leadsheet!$E$39</f>
        <v>0</v>
      </c>
      <c r="AC71" s="161">
        <f>-AC57*Leadsheet!$E$39</f>
        <v>0</v>
      </c>
      <c r="AD71" s="161">
        <f>-AD57*Leadsheet!$E$39</f>
        <v>0</v>
      </c>
      <c r="AE71" s="161">
        <f>-AE57*Leadsheet!$E$39</f>
        <v>0</v>
      </c>
      <c r="AF71" s="161">
        <f>-AF57*Leadsheet!$E$39</f>
        <v>0</v>
      </c>
      <c r="AG71" s="161">
        <f>-AG57*Leadsheet!$E$39</f>
        <v>0</v>
      </c>
      <c r="AH71" s="161">
        <f>-AH57*Leadsheet!$E$39</f>
        <v>0</v>
      </c>
      <c r="AI71" s="161">
        <f>-AI57*Leadsheet!$E$39</f>
        <v>0</v>
      </c>
      <c r="AJ71" s="161">
        <f>-AJ57*Leadsheet!$E$39</f>
        <v>0</v>
      </c>
      <c r="AK71" s="161">
        <f>-AK57*Leadsheet!$E$39</f>
        <v>0</v>
      </c>
      <c r="AL71" s="161">
        <f>-AL57*Leadsheet!$E$39</f>
        <v>0</v>
      </c>
      <c r="AM71" s="161">
        <f>-AM57*Leadsheet!$E$39</f>
        <v>0</v>
      </c>
      <c r="AN71" s="161">
        <f>-AN57*Leadsheet!$E$39</f>
        <v>0</v>
      </c>
      <c r="AO71" s="161">
        <f>-AO57*Leadsheet!$E$39</f>
        <v>0</v>
      </c>
      <c r="AP71" s="161">
        <f>-AP57*Leadsheet!$E$39</f>
        <v>0</v>
      </c>
      <c r="AQ71" s="161">
        <f>-AQ57*Leadsheet!$E$39</f>
        <v>0</v>
      </c>
      <c r="AR71" s="161">
        <f>-AR57*Leadsheet!$E$39</f>
        <v>0</v>
      </c>
      <c r="AS71" s="161">
        <f>-AS57*Leadsheet!$E$39</f>
        <v>0</v>
      </c>
      <c r="AT71" s="161">
        <f>-AT57*Leadsheet!$E$39</f>
        <v>0</v>
      </c>
      <c r="AU71" s="161">
        <f>-AU57*Leadsheet!$E$39</f>
        <v>0</v>
      </c>
      <c r="AV71" s="161">
        <f>-AV57*Leadsheet!$E$39</f>
        <v>0</v>
      </c>
      <c r="AW71" s="161">
        <f>-AW57*Leadsheet!$E$39</f>
        <v>0</v>
      </c>
      <c r="AX71" s="161">
        <f>-AX57*Leadsheet!$E$39</f>
        <v>0</v>
      </c>
      <c r="AY71" s="161">
        <f>-AY57*Leadsheet!$E$39</f>
        <v>0</v>
      </c>
      <c r="AZ71" s="161">
        <f>-AZ57*Leadsheet!$E$39</f>
        <v>0</v>
      </c>
      <c r="BA71" s="161">
        <f>-BA57*Leadsheet!$E$39</f>
        <v>0</v>
      </c>
      <c r="BB71" s="161">
        <f>-BB57*Leadsheet!$E$39</f>
        <v>0</v>
      </c>
      <c r="BC71" s="161">
        <f>-BC57*Leadsheet!$E$39</f>
        <v>0</v>
      </c>
      <c r="BD71" s="161">
        <f>-BD57*Leadsheet!$E$39</f>
        <v>0</v>
      </c>
      <c r="BE71" s="161">
        <f>-BE57*Leadsheet!$E$39</f>
        <v>0</v>
      </c>
      <c r="BF71" s="161">
        <f>-BF57*Leadsheet!$E$39</f>
        <v>0</v>
      </c>
      <c r="BG71" s="161">
        <f>-BG57*Leadsheet!$E$39</f>
        <v>0</v>
      </c>
      <c r="BH71" s="161">
        <f>-BH57*Leadsheet!$E$39</f>
        <v>0</v>
      </c>
      <c r="BI71" s="161">
        <f>-BI57*Leadsheet!$E$39</f>
        <v>0</v>
      </c>
      <c r="BJ71" s="161">
        <f>-BJ57*Leadsheet!$E$39</f>
        <v>0</v>
      </c>
      <c r="BK71" s="161">
        <f>-BK57*Leadsheet!$E$39</f>
        <v>0</v>
      </c>
      <c r="BL71" s="161">
        <f>-BL57*Leadsheet!$E$39</f>
        <v>0</v>
      </c>
    </row>
    <row r="72" spans="2:64" x14ac:dyDescent="0.15">
      <c r="C72" s="171" t="s">
        <v>118</v>
      </c>
      <c r="E72" s="161">
        <f>-E59*Leadsheet!$E$40</f>
        <v>0</v>
      </c>
      <c r="F72" s="161">
        <f>-F59*Leadsheet!$E$40</f>
        <v>0</v>
      </c>
      <c r="G72" s="161">
        <f>-G59*Leadsheet!$E$40</f>
        <v>0</v>
      </c>
      <c r="H72" s="161">
        <f>-H59*Leadsheet!$E$40</f>
        <v>0</v>
      </c>
      <c r="I72" s="161">
        <f>-I59*Leadsheet!$E$40</f>
        <v>0</v>
      </c>
      <c r="J72" s="161">
        <f>-J59*Leadsheet!$E$40</f>
        <v>0</v>
      </c>
      <c r="K72" s="161">
        <f>-K59*Leadsheet!$E$40</f>
        <v>0</v>
      </c>
      <c r="L72" s="161">
        <f>-L59*Leadsheet!$E$40</f>
        <v>0</v>
      </c>
      <c r="M72" s="161">
        <f>-M59*Leadsheet!$E$40</f>
        <v>0</v>
      </c>
      <c r="N72" s="161">
        <f>-N59*Leadsheet!$E$40</f>
        <v>0</v>
      </c>
      <c r="O72" s="161">
        <f>-O59*Leadsheet!$E$40</f>
        <v>0</v>
      </c>
      <c r="P72" s="161">
        <f>-P59*Leadsheet!$E$40</f>
        <v>0</v>
      </c>
      <c r="Q72" s="161">
        <f>-Q59*Leadsheet!$E$40</f>
        <v>0</v>
      </c>
      <c r="R72" s="161">
        <f>-R59*Leadsheet!$E$40</f>
        <v>0</v>
      </c>
      <c r="S72" s="161">
        <f>-S59*Leadsheet!$E$40</f>
        <v>0</v>
      </c>
      <c r="T72" s="161">
        <f>-T59*Leadsheet!$E$40</f>
        <v>0</v>
      </c>
      <c r="U72" s="161">
        <f>-U59*Leadsheet!$E$40</f>
        <v>0</v>
      </c>
      <c r="V72" s="161">
        <f>-V59*Leadsheet!$E$40</f>
        <v>0</v>
      </c>
      <c r="W72" s="161">
        <f>-W59*Leadsheet!$E$40</f>
        <v>0</v>
      </c>
      <c r="X72" s="161">
        <f>-X59*Leadsheet!$E$40</f>
        <v>0</v>
      </c>
      <c r="Y72" s="161">
        <f>-Y59*Leadsheet!$E$40</f>
        <v>0</v>
      </c>
      <c r="Z72" s="161">
        <f>-Z59*Leadsheet!$E$40</f>
        <v>0</v>
      </c>
      <c r="AA72" s="161">
        <f>-AA59*Leadsheet!$E$40</f>
        <v>0</v>
      </c>
      <c r="AB72" s="161">
        <f>-AB59*Leadsheet!$E$40</f>
        <v>0</v>
      </c>
      <c r="AC72" s="161">
        <f>-AC59*Leadsheet!$E$40</f>
        <v>0</v>
      </c>
      <c r="AD72" s="161">
        <f>-AD59*Leadsheet!$E$40</f>
        <v>0</v>
      </c>
      <c r="AE72" s="161">
        <f>-AE59*Leadsheet!$E$40</f>
        <v>0</v>
      </c>
      <c r="AF72" s="161">
        <f>-AF59*Leadsheet!$E$40</f>
        <v>0</v>
      </c>
      <c r="AG72" s="161">
        <f>-AG59*Leadsheet!$E$40</f>
        <v>0</v>
      </c>
      <c r="AH72" s="161">
        <f>-AH59*Leadsheet!$E$40</f>
        <v>0</v>
      </c>
      <c r="AI72" s="161">
        <f>-AI59*Leadsheet!$E$40</f>
        <v>0</v>
      </c>
      <c r="AJ72" s="161">
        <f>-AJ59*Leadsheet!$E$40</f>
        <v>0</v>
      </c>
      <c r="AK72" s="161">
        <f>-AK59*Leadsheet!$E$40</f>
        <v>0</v>
      </c>
      <c r="AL72" s="161">
        <f>-AL59*Leadsheet!$E$40</f>
        <v>0</v>
      </c>
      <c r="AM72" s="161">
        <f>-AM59*Leadsheet!$E$40</f>
        <v>0</v>
      </c>
      <c r="AN72" s="161">
        <f>-AN59*Leadsheet!$E$40</f>
        <v>0</v>
      </c>
      <c r="AO72" s="161">
        <f>-AO59*Leadsheet!$E$40</f>
        <v>0</v>
      </c>
      <c r="AP72" s="161">
        <f>-AP59*Leadsheet!$E$40</f>
        <v>0</v>
      </c>
      <c r="AQ72" s="161">
        <f>-AQ59*Leadsheet!$E$40</f>
        <v>0</v>
      </c>
      <c r="AR72" s="161">
        <f>-AR59*Leadsheet!$E$40</f>
        <v>0</v>
      </c>
      <c r="AS72" s="161">
        <f>-AS59*Leadsheet!$E$40</f>
        <v>0</v>
      </c>
      <c r="AT72" s="161">
        <f>-AT59*Leadsheet!$E$40</f>
        <v>0</v>
      </c>
      <c r="AU72" s="161">
        <f>-AU59*Leadsheet!$E$40</f>
        <v>0</v>
      </c>
      <c r="AV72" s="161">
        <f>-AV59*Leadsheet!$E$40</f>
        <v>0</v>
      </c>
      <c r="AW72" s="161">
        <f>-AW59*Leadsheet!$E$40</f>
        <v>0</v>
      </c>
      <c r="AX72" s="161">
        <f>-AX59*Leadsheet!$E$40</f>
        <v>0</v>
      </c>
      <c r="AY72" s="161">
        <f>-AY59*Leadsheet!$E$40</f>
        <v>0</v>
      </c>
      <c r="AZ72" s="161">
        <f>-AZ59*Leadsheet!$E$40</f>
        <v>0</v>
      </c>
      <c r="BA72" s="161">
        <f>-BA59*Leadsheet!$E$40</f>
        <v>0</v>
      </c>
      <c r="BB72" s="161">
        <f>-BB59*Leadsheet!$E$40</f>
        <v>0</v>
      </c>
      <c r="BC72" s="161">
        <f>-BC59*Leadsheet!$E$40</f>
        <v>0</v>
      </c>
      <c r="BD72" s="161">
        <f>-BD59*Leadsheet!$E$40</f>
        <v>0</v>
      </c>
      <c r="BE72" s="161">
        <f>-BE59*Leadsheet!$E$40</f>
        <v>0</v>
      </c>
      <c r="BF72" s="161">
        <f>-BF59*Leadsheet!$E$40</f>
        <v>0</v>
      </c>
      <c r="BG72" s="161">
        <f>-BG59*Leadsheet!$E$40</f>
        <v>0</v>
      </c>
      <c r="BH72" s="161">
        <f>-BH59*Leadsheet!$E$40</f>
        <v>0</v>
      </c>
      <c r="BI72" s="161">
        <f>-BI59*Leadsheet!$E$40</f>
        <v>0</v>
      </c>
      <c r="BJ72" s="161">
        <f>-BJ59*Leadsheet!$E$40</f>
        <v>0</v>
      </c>
      <c r="BK72" s="161">
        <f>-BK59*Leadsheet!$E$40</f>
        <v>0</v>
      </c>
      <c r="BL72" s="161">
        <f>-BL59*Leadsheet!$E$40</f>
        <v>0</v>
      </c>
    </row>
    <row r="73" spans="2:64" x14ac:dyDescent="0.15">
      <c r="C73" s="171" t="s">
        <v>120</v>
      </c>
      <c r="E73" s="161">
        <f>IF(E5&gt;$D$7,0,Leadsheet!$E$41*(E29-SUM(D29:D37)+SUM(E30:E38)))</f>
        <v>0</v>
      </c>
      <c r="F73" s="161">
        <f>IF(F5&gt;$D$7,0,Leadsheet!$E$41*(F29-SUM(E29:E37)+SUM(F30:F38)))</f>
        <v>0</v>
      </c>
      <c r="G73" s="161">
        <f>IF(G5&gt;$D$7,0,Leadsheet!$E$41*(G29-SUM(F29:F37)+SUM(G30:G38)))</f>
        <v>0</v>
      </c>
      <c r="H73" s="161">
        <f>IF(H5&gt;$D$7,0,Leadsheet!$E$41*(H29-SUM(G29:G37)+SUM(H30:H38)))</f>
        <v>0</v>
      </c>
      <c r="I73" s="161">
        <f>IF(I5&gt;$D$7,0,Leadsheet!$E$41*(I29-SUM(H29:H37)+SUM(I30:I38)))</f>
        <v>0</v>
      </c>
      <c r="J73" s="161">
        <f>IF(J5&gt;$D$7,0,Leadsheet!$E$41*(J29-SUM(I29:I37)+SUM(J30:J38)))</f>
        <v>0</v>
      </c>
      <c r="K73" s="161">
        <f>IF(K5&gt;$D$7,0,Leadsheet!$E$41*(K29-SUM(J29:J37)+SUM(K30:K38)))</f>
        <v>0</v>
      </c>
      <c r="L73" s="161">
        <f>IF(L5&gt;$D$7,0,Leadsheet!$E$41*(L29-SUM(K29:K37)+SUM(L30:L38)))</f>
        <v>0</v>
      </c>
      <c r="M73" s="161">
        <f>IF(M5&gt;$D$7,0,Leadsheet!$E$41*(M29-SUM(L29:L37)+SUM(M30:M38)))</f>
        <v>0</v>
      </c>
      <c r="N73" s="161">
        <f>IF(N5&gt;$D$7,0,Leadsheet!$E$41*(N29-SUM(M29:M37)+SUM(N30:N38)))</f>
        <v>0</v>
      </c>
      <c r="O73" s="161">
        <f>IF(O5&gt;$D$7,0,Leadsheet!$E$41*(O29-SUM(N29:N37)+SUM(O30:O38)))</f>
        <v>0</v>
      </c>
      <c r="P73" s="161">
        <f>IF(P5&gt;$D$7,0,Leadsheet!$E$41*(P29-SUM(O29:O37)+SUM(P30:P38)))</f>
        <v>0</v>
      </c>
      <c r="Q73" s="161">
        <f>IF(Q5&gt;$D$7,0,Leadsheet!$E$41*(Q29-SUM(P29:P37)+SUM(Q30:Q38)))</f>
        <v>0</v>
      </c>
      <c r="R73" s="161">
        <f>IF(R5&gt;$D$7,0,Leadsheet!$E$41*(R29-SUM(Q29:Q37)+SUM(R30:R38)))</f>
        <v>0</v>
      </c>
      <c r="S73" s="161">
        <f>IF(S5&gt;$D$7,0,Leadsheet!$E$41*(S29-SUM(R29:R37)+SUM(S30:S38)))</f>
        <v>0</v>
      </c>
      <c r="T73" s="161">
        <f>IF(T5&gt;$D$7,0,Leadsheet!$E$41*(T29-SUM(S29:S37)+SUM(T30:T38)))</f>
        <v>0</v>
      </c>
      <c r="U73" s="161">
        <f>IF(U5&gt;$D$7,0,Leadsheet!$E$41*(U29-SUM(T29:T37)+SUM(U30:U38)))</f>
        <v>0</v>
      </c>
      <c r="V73" s="161">
        <f>IF(V5&gt;$D$7,0,Leadsheet!$E$41*(V29-SUM(U29:U37)+SUM(V30:V38)))</f>
        <v>0</v>
      </c>
      <c r="W73" s="161">
        <f>IF(W5&gt;$D$7,0,Leadsheet!$E$41*(W29-SUM(V29:V37)+SUM(W30:W38)))</f>
        <v>0</v>
      </c>
      <c r="X73" s="161">
        <f>IF(X5&gt;$D$7,0,Leadsheet!$E$41*(X29-SUM(W29:W37)+SUM(X30:X38)))</f>
        <v>0</v>
      </c>
      <c r="Y73" s="161">
        <f>IF(Y5&gt;$D$7,0,Leadsheet!$E$41*(Y29-SUM(X29:X37)+SUM(Y30:Y38)))</f>
        <v>0</v>
      </c>
      <c r="Z73" s="161">
        <f>IF(Z5&gt;$D$7,0,Leadsheet!$E$41*(Z29-SUM(Y29:Y37)+SUM(Z30:Z38)))</f>
        <v>0</v>
      </c>
      <c r="AA73" s="161">
        <f>IF(AA5&gt;$D$7,0,Leadsheet!$E$41*(AA29-SUM(Z29:Z37)+SUM(AA30:AA38)))</f>
        <v>0</v>
      </c>
      <c r="AB73" s="161">
        <f>IF(AB5&gt;$D$7,0,Leadsheet!$E$41*(AB29-SUM(AA29:AA37)+SUM(AB30:AB38)))</f>
        <v>0</v>
      </c>
      <c r="AC73" s="161">
        <f>IF(AC5&gt;$D$7,0,Leadsheet!$E$41*(AC29-SUM(AB29:AB37)+SUM(AC30:AC38)))</f>
        <v>0</v>
      </c>
      <c r="AD73" s="161">
        <f>IF(AD5&gt;$D$7,0,Leadsheet!$E$41*(AD29-SUM(AC29:AC37)+SUM(AD30:AD38)))</f>
        <v>0</v>
      </c>
      <c r="AE73" s="161">
        <f>IF(AE5&gt;$D$7,0,Leadsheet!$E$41*(AE29-SUM(AD29:AD37)+SUM(AE30:AE38)))</f>
        <v>0</v>
      </c>
      <c r="AF73" s="161">
        <f>IF(AF5&gt;$D$7,0,Leadsheet!$E$41*(AF29-SUM(AE29:AE37)+SUM(AF30:AF38)))</f>
        <v>0</v>
      </c>
      <c r="AG73" s="161">
        <f>IF(AG5&gt;$D$7,0,Leadsheet!$E$41*(AG29-SUM(AF29:AF37)+SUM(AG30:AG38)))</f>
        <v>0</v>
      </c>
      <c r="AH73" s="161">
        <f>IF(AH5&gt;$D$7,0,Leadsheet!$E$41*(AH29-SUM(AG29:AG37)+SUM(AH30:AH38)))</f>
        <v>0</v>
      </c>
      <c r="AI73" s="161">
        <f>IF(AI5&gt;$D$7,0,Leadsheet!$E$41*(AI29-SUM(AH29:AH37)+SUM(AI30:AI38)))</f>
        <v>0</v>
      </c>
      <c r="AJ73" s="161">
        <f>IF(AJ5&gt;$D$7,0,Leadsheet!$E$41*(AJ29-SUM(AI29:AI37)+SUM(AJ30:AJ38)))</f>
        <v>0</v>
      </c>
      <c r="AK73" s="161">
        <f>IF(AK5&gt;$D$7,0,Leadsheet!$E$41*(AK29-SUM(AJ29:AJ37)+SUM(AK30:AK38)))</f>
        <v>0</v>
      </c>
      <c r="AL73" s="161">
        <f>IF(AL5&gt;$D$7,0,Leadsheet!$E$41*(AL29-SUM(AK29:AK37)+SUM(AL30:AL38)))</f>
        <v>0</v>
      </c>
      <c r="AM73" s="161">
        <f>IF(AM5&gt;$D$7,0,Leadsheet!$E$41*(AM29-SUM(AL29:AL37)+SUM(AM30:AM38)))</f>
        <v>0</v>
      </c>
      <c r="AN73" s="161">
        <f>IF(AN5&gt;$D$7,0,Leadsheet!$E$41*(AN29-SUM(AM29:AM37)+SUM(AN30:AN38)))</f>
        <v>0</v>
      </c>
      <c r="AO73" s="161">
        <f>IF(AO5&gt;$D$7,0,Leadsheet!$E$41*(AO29-SUM(AN29:AN37)+SUM(AO30:AO38)))</f>
        <v>0</v>
      </c>
      <c r="AP73" s="161">
        <f>IF(AP5&gt;$D$7,0,Leadsheet!$E$41*(AP29-SUM(AO29:AO37)+SUM(AP30:AP38)))</f>
        <v>0</v>
      </c>
      <c r="AQ73" s="161">
        <f>IF(AQ5&gt;$D$7,0,Leadsheet!$E$41*(AQ29-SUM(AP29:AP37)+SUM(AQ30:AQ38)))</f>
        <v>0</v>
      </c>
      <c r="AR73" s="161">
        <f>IF(AR5&gt;$D$7,0,Leadsheet!$E$41*(AR29-SUM(AQ29:AQ37)+SUM(AR30:AR38)))</f>
        <v>0</v>
      </c>
      <c r="AS73" s="161">
        <f>IF(AS5&gt;$D$7,0,Leadsheet!$E$41*(AS29-SUM(AR29:AR37)+SUM(AS30:AS38)))</f>
        <v>0</v>
      </c>
      <c r="AT73" s="161">
        <f>IF(AT5&gt;$D$7,0,Leadsheet!$E$41*(AT29-SUM(AS29:AS37)+SUM(AT30:AT38)))</f>
        <v>0</v>
      </c>
      <c r="AU73" s="161">
        <f>IF(AU5&gt;$D$7,0,Leadsheet!$E$41*(AU29-SUM(AT29:AT37)+SUM(AU30:AU38)))</f>
        <v>0</v>
      </c>
      <c r="AV73" s="161">
        <f>IF(AV5&gt;$D$7,0,Leadsheet!$E$41*(AV29-SUM(AU29:AU37)+SUM(AV30:AV38)))</f>
        <v>0</v>
      </c>
      <c r="AW73" s="161">
        <f>IF(AW5&gt;$D$7,0,Leadsheet!$E$41*(AW29-SUM(AV29:AV37)+SUM(AW30:AW38)))</f>
        <v>0</v>
      </c>
      <c r="AX73" s="161">
        <f>IF(AX5&gt;$D$7,0,Leadsheet!$E$41*(AX29-SUM(AW29:AW37)+SUM(AX30:AX38)))</f>
        <v>0</v>
      </c>
      <c r="AY73" s="161">
        <f>IF(AY5&gt;$D$7,0,Leadsheet!$E$41*(AY29-SUM(AX29:AX37)+SUM(AY30:AY38)))</f>
        <v>0</v>
      </c>
      <c r="AZ73" s="161">
        <f>IF(AZ5&gt;$D$7,0,Leadsheet!$E$41*(AZ29-SUM(AY29:AY37)+SUM(AZ30:AZ38)))</f>
        <v>0</v>
      </c>
      <c r="BA73" s="161">
        <f>IF(BA5&gt;$D$7,0,Leadsheet!$E$41*(BA29-SUM(AZ29:AZ37)+SUM(BA30:BA38)))</f>
        <v>0</v>
      </c>
      <c r="BB73" s="161">
        <f>IF(BB5&gt;$D$7,0,Leadsheet!$E$41*(BB29-SUM(BA29:BA37)+SUM(BB30:BB38)))</f>
        <v>0</v>
      </c>
      <c r="BC73" s="161">
        <f>IF(BC5&gt;$D$7,0,Leadsheet!$E$41*(BC29-SUM(BB29:BB37)+SUM(BC30:BC38)))</f>
        <v>0</v>
      </c>
      <c r="BD73" s="161">
        <f>IF(BD5&gt;$D$7,0,Leadsheet!$E$41*(BD29-SUM(BC29:BC37)+SUM(BD30:BD38)))</f>
        <v>0</v>
      </c>
      <c r="BE73" s="161">
        <f>IF(BE5&gt;$D$7,0,Leadsheet!$E$41*(BE29-SUM(BD29:BD37)+SUM(BE30:BE38)))</f>
        <v>0</v>
      </c>
      <c r="BF73" s="161">
        <f>IF(BF5&gt;$D$7,0,Leadsheet!$E$41*(BF29-SUM(BE29:BE37)+SUM(BF30:BF38)))</f>
        <v>0</v>
      </c>
      <c r="BG73" s="161">
        <f>IF(BG5&gt;$D$7,0,Leadsheet!$E$41*(BG29-SUM(BF29:BF37)+SUM(BG30:BG38)))</f>
        <v>0</v>
      </c>
      <c r="BH73" s="161">
        <f>IF(BH5&gt;$D$7,0,Leadsheet!$E$41*(BH29-SUM(BG29:BG37)+SUM(BH30:BH38)))</f>
        <v>0</v>
      </c>
      <c r="BI73" s="161">
        <f>IF(BI5&gt;$D$7,0,Leadsheet!$E$41*(BI29-SUM(BH29:BH37)+SUM(BI30:BI38)))</f>
        <v>0</v>
      </c>
      <c r="BJ73" s="161">
        <f>IF(BJ5&gt;$D$7,0,Leadsheet!$E$41*(BJ29-SUM(BI29:BI37)+SUM(BJ30:BJ38)))</f>
        <v>0</v>
      </c>
      <c r="BK73" s="161">
        <f>IF(BK5&gt;$D$7,0,Leadsheet!$E$41*(BK29-SUM(BJ29:BJ37)+SUM(BK30:BK38)))</f>
        <v>0</v>
      </c>
      <c r="BL73" s="161">
        <f>IF(BL5&gt;$D$7,0,Leadsheet!$E$41*(BL29-SUM(BK29:BK37)+SUM(BL30:BL38)))</f>
        <v>0</v>
      </c>
    </row>
    <row r="74" spans="2:64" x14ac:dyDescent="0.15">
      <c r="C74" s="171" t="s">
        <v>122</v>
      </c>
      <c r="E74" s="161">
        <f>IF(E5&gt;$D$7,0,Leadsheet!$E$42*(E32+SUM(D32:D37)-SUM(E33:E38)))</f>
        <v>0</v>
      </c>
      <c r="F74" s="161">
        <f>IF(F5&gt;$D$7,0,Leadsheet!$E$42*(F32+SUM(E32:E37)-SUM(F33:F38)))</f>
        <v>0</v>
      </c>
      <c r="G74" s="161">
        <f>IF(G5&gt;$D$7,0,Leadsheet!$E$42*(G32+SUM(F32:F37)-SUM(G33:G38)))</f>
        <v>0</v>
      </c>
      <c r="H74" s="161">
        <f>IF(H5&gt;$D$7,0,Leadsheet!$E$42*(H32+SUM(G32:G37)-SUM(H33:H38)))</f>
        <v>0</v>
      </c>
      <c r="I74" s="161">
        <f>IF(I5&gt;$D$7,0,Leadsheet!$E$42*(I32+SUM(H32:H37)-SUM(I33:I38)))</f>
        <v>0</v>
      </c>
      <c r="J74" s="161">
        <f>IF(J5&gt;$D$7,0,Leadsheet!$E$42*(J32+SUM(I32:I37)-SUM(J33:J38)))</f>
        <v>0</v>
      </c>
      <c r="K74" s="161">
        <f>IF(K5&gt;$D$7,0,Leadsheet!$E$42*(K32+SUM(J32:J37)-SUM(K33:K38)))</f>
        <v>0</v>
      </c>
      <c r="L74" s="161">
        <f>IF(L5&gt;$D$7,0,Leadsheet!$E$42*(L32+SUM(K32:K37)-SUM(L33:L38)))</f>
        <v>0</v>
      </c>
      <c r="M74" s="161">
        <f>IF(M5&gt;$D$7,0,Leadsheet!$E$42*(M32+SUM(L32:L37)-SUM(M33:M38)))</f>
        <v>0</v>
      </c>
      <c r="N74" s="161">
        <f>IF(N5&gt;$D$7,0,Leadsheet!$E$42*(N32+SUM(M32:M37)-SUM(N33:N38)))</f>
        <v>0</v>
      </c>
      <c r="O74" s="161">
        <f>IF(O5&gt;$D$7,0,Leadsheet!$E$42*(O32+SUM(N32:N37)-SUM(O33:O38)))</f>
        <v>0</v>
      </c>
      <c r="P74" s="161">
        <f>IF(P5&gt;$D$7,0,Leadsheet!$E$42*(P32+SUM(O32:O37)-SUM(P33:P38)))</f>
        <v>0</v>
      </c>
      <c r="Q74" s="161">
        <f>IF(Q5&gt;$D$7,0,Leadsheet!$E$42*(Q32+SUM(P32:P37)-SUM(Q33:Q38)))</f>
        <v>0</v>
      </c>
      <c r="R74" s="161">
        <f>IF(R5&gt;$D$7,0,Leadsheet!$E$42*(R32+SUM(Q32:Q37)-SUM(R33:R38)))</f>
        <v>0</v>
      </c>
      <c r="S74" s="161">
        <f>IF(S5&gt;$D$7,0,Leadsheet!$E$42*(S32+SUM(R32:R37)-SUM(S33:S38)))</f>
        <v>0</v>
      </c>
      <c r="T74" s="161">
        <f>IF(T5&gt;$D$7,0,Leadsheet!$E$42*(T32+SUM(S32:S37)-SUM(T33:T38)))</f>
        <v>0</v>
      </c>
      <c r="U74" s="161">
        <f>IF(U5&gt;$D$7,0,Leadsheet!$E$42*(U32+SUM(T32:T37)-SUM(U33:U38)))</f>
        <v>0</v>
      </c>
      <c r="V74" s="161">
        <f>IF(V5&gt;$D$7,0,Leadsheet!$E$42*(V32+SUM(U32:U37)-SUM(V33:V38)))</f>
        <v>0</v>
      </c>
      <c r="W74" s="161">
        <f>IF(W5&gt;$D$7,0,Leadsheet!$E$42*(W32+SUM(V32:V37)-SUM(W33:W38)))</f>
        <v>0</v>
      </c>
      <c r="X74" s="161">
        <f>IF(X5&gt;$D$7,0,Leadsheet!$E$42*(X32+SUM(W32:W37)-SUM(X33:X38)))</f>
        <v>0</v>
      </c>
      <c r="Y74" s="161">
        <f>IF(Y5&gt;$D$7,0,Leadsheet!$E$42*(Y32+SUM(X32:X37)-SUM(Y33:Y38)))</f>
        <v>0</v>
      </c>
      <c r="Z74" s="161">
        <f>IF(Z5&gt;$D$7,0,Leadsheet!$E$42*(Z32+SUM(Y32:Y37)-SUM(Z33:Z38)))</f>
        <v>0</v>
      </c>
      <c r="AA74" s="161">
        <f>IF(AA5&gt;$D$7,0,Leadsheet!$E$42*(AA32+SUM(Z32:Z37)-SUM(AA33:AA38)))</f>
        <v>0</v>
      </c>
      <c r="AB74" s="161">
        <f>IF(AB5&gt;$D$7,0,Leadsheet!$E$42*(AB32+SUM(AA32:AA37)-SUM(AB33:AB38)))</f>
        <v>0</v>
      </c>
      <c r="AC74" s="161">
        <f>IF(AC5&gt;$D$7,0,Leadsheet!$E$42*(AC32+SUM(AB32:AB37)-SUM(AC33:AC38)))</f>
        <v>0</v>
      </c>
      <c r="AD74" s="161">
        <f>IF(AD5&gt;$D$7,0,Leadsheet!$E$42*(AD32+SUM(AC32:AC37)-SUM(AD33:AD38)))</f>
        <v>0</v>
      </c>
      <c r="AE74" s="161">
        <f>IF(AE5&gt;$D$7,0,Leadsheet!$E$42*(AE32+SUM(AD32:AD37)-SUM(AE33:AE38)))</f>
        <v>0</v>
      </c>
      <c r="AF74" s="161">
        <f>IF(AF5&gt;$D$7,0,Leadsheet!$E$42*(AF32+SUM(AE32:AE37)-SUM(AF33:AF38)))</f>
        <v>0</v>
      </c>
      <c r="AG74" s="161">
        <f>IF(AG5&gt;$D$7,0,Leadsheet!$E$42*(AG32+SUM(AF32:AF37)-SUM(AG33:AG38)))</f>
        <v>0</v>
      </c>
      <c r="AH74" s="161">
        <f>IF(AH5&gt;$D$7,0,Leadsheet!$E$42*(AH32+SUM(AG32:AG37)-SUM(AH33:AH38)))</f>
        <v>0</v>
      </c>
      <c r="AI74" s="161">
        <f>IF(AI5&gt;$D$7,0,Leadsheet!$E$42*(AI32+SUM(AH32:AH37)-SUM(AI33:AI38)))</f>
        <v>0</v>
      </c>
      <c r="AJ74" s="161">
        <f>IF(AJ5&gt;$D$7,0,Leadsheet!$E$42*(AJ32+SUM(AI32:AI37)-SUM(AJ33:AJ38)))</f>
        <v>0</v>
      </c>
      <c r="AK74" s="161">
        <f>IF(AK5&gt;$D$7,0,Leadsheet!$E$42*(AK32+SUM(AJ32:AJ37)-SUM(AK33:AK38)))</f>
        <v>0</v>
      </c>
      <c r="AL74" s="161">
        <f>IF(AL5&gt;$D$7,0,Leadsheet!$E$42*(AL32+SUM(AK32:AK37)-SUM(AL33:AL38)))</f>
        <v>0</v>
      </c>
      <c r="AM74" s="161">
        <f>IF(AM5&gt;$D$7,0,Leadsheet!$E$42*(AM32+SUM(AL32:AL37)-SUM(AM33:AM38)))</f>
        <v>0</v>
      </c>
      <c r="AN74" s="161">
        <f>IF(AN5&gt;$D$7,0,Leadsheet!$E$42*(AN32+SUM(AM32:AM37)-SUM(AN33:AN38)))</f>
        <v>0</v>
      </c>
      <c r="AO74" s="161">
        <f>IF(AO5&gt;$D$7,0,Leadsheet!$E$42*(AO32+SUM(AN32:AN37)-SUM(AO33:AO38)))</f>
        <v>0</v>
      </c>
      <c r="AP74" s="161">
        <f>IF(AP5&gt;$D$7,0,Leadsheet!$E$42*(AP32+SUM(AO32:AO37)-SUM(AP33:AP38)))</f>
        <v>0</v>
      </c>
      <c r="AQ74" s="161">
        <f>IF(AQ5&gt;$D$7,0,Leadsheet!$E$42*(AQ32+SUM(AP32:AP37)-SUM(AQ33:AQ38)))</f>
        <v>0</v>
      </c>
      <c r="AR74" s="161">
        <f>IF(AR5&gt;$D$7,0,Leadsheet!$E$42*(AR32+SUM(AQ32:AQ37)-SUM(AR33:AR38)))</f>
        <v>0</v>
      </c>
      <c r="AS74" s="161">
        <f>IF(AS5&gt;$D$7,0,Leadsheet!$E$42*(AS32+SUM(AR32:AR37)-SUM(AS33:AS38)))</f>
        <v>0</v>
      </c>
      <c r="AT74" s="161">
        <f>IF(AT5&gt;$D$7,0,Leadsheet!$E$42*(AT32+SUM(AS32:AS37)-SUM(AT33:AT38)))</f>
        <v>0</v>
      </c>
      <c r="AU74" s="161">
        <f>IF(AU5&gt;$D$7,0,Leadsheet!$E$42*(AU32+SUM(AT32:AT37)-SUM(AU33:AU38)))</f>
        <v>0</v>
      </c>
      <c r="AV74" s="161">
        <f>IF(AV5&gt;$D$7,0,Leadsheet!$E$42*(AV32+SUM(AU32:AU37)-SUM(AV33:AV38)))</f>
        <v>0</v>
      </c>
      <c r="AW74" s="161">
        <f>IF(AW5&gt;$D$7,0,Leadsheet!$E$42*(AW32+SUM(AV32:AV37)-SUM(AW33:AW38)))</f>
        <v>0</v>
      </c>
      <c r="AX74" s="161">
        <f>IF(AX5&gt;$D$7,0,Leadsheet!$E$42*(AX32+SUM(AW32:AW37)-SUM(AX33:AX38)))</f>
        <v>0</v>
      </c>
      <c r="AY74" s="161">
        <f>IF(AY5&gt;$D$7,0,Leadsheet!$E$42*(AY32+SUM(AX32:AX37)-SUM(AY33:AY38)))</f>
        <v>0</v>
      </c>
      <c r="AZ74" s="161">
        <f>IF(AZ5&gt;$D$7,0,Leadsheet!$E$42*(AZ32+SUM(AY32:AY37)-SUM(AZ33:AZ38)))</f>
        <v>0</v>
      </c>
      <c r="BA74" s="161">
        <f>IF(BA5&gt;$D$7,0,Leadsheet!$E$42*(BA32+SUM(AZ32:AZ37)-SUM(BA33:BA38)))</f>
        <v>0</v>
      </c>
      <c r="BB74" s="161">
        <f>IF(BB5&gt;$D$7,0,Leadsheet!$E$42*(BB32+SUM(BA32:BA37)-SUM(BB33:BB38)))</f>
        <v>0</v>
      </c>
      <c r="BC74" s="161">
        <f>IF(BC5&gt;$D$7,0,Leadsheet!$E$42*(BC32+SUM(BB32:BB37)-SUM(BC33:BC38)))</f>
        <v>0</v>
      </c>
      <c r="BD74" s="161">
        <f>IF(BD5&gt;$D$7,0,Leadsheet!$E$42*(BD32+SUM(BC32:BC37)-SUM(BD33:BD38)))</f>
        <v>0</v>
      </c>
      <c r="BE74" s="161">
        <f>IF(BE5&gt;$D$7,0,Leadsheet!$E$42*(BE32+SUM(BD32:BD37)-SUM(BE33:BE38)))</f>
        <v>0</v>
      </c>
      <c r="BF74" s="161">
        <f>IF(BF5&gt;$D$7,0,Leadsheet!$E$42*(BF32+SUM(BE32:BE37)-SUM(BF33:BF38)))</f>
        <v>0</v>
      </c>
      <c r="BG74" s="161">
        <f>IF(BG5&gt;$D$7,0,Leadsheet!$E$42*(BG32+SUM(BF32:BF37)-SUM(BG33:BG38)))</f>
        <v>0</v>
      </c>
      <c r="BH74" s="161">
        <f>IF(BH5&gt;$D$7,0,Leadsheet!$E$42*(BH32+SUM(BG32:BG37)-SUM(BH33:BH38)))</f>
        <v>0</v>
      </c>
      <c r="BI74" s="161">
        <f>IF(BI5&gt;$D$7,0,Leadsheet!$E$42*(BI32+SUM(BH32:BH37)-SUM(BI33:BI38)))</f>
        <v>0</v>
      </c>
      <c r="BJ74" s="161">
        <f>IF(BJ5&gt;$D$7,0,Leadsheet!$E$42*(BJ32+SUM(BI32:BI37)-SUM(BJ33:BJ38)))</f>
        <v>0</v>
      </c>
      <c r="BK74" s="161">
        <f>IF(BK5&gt;$D$7,0,Leadsheet!$E$42*(BK32+SUM(BJ32:BJ37)-SUM(BK33:BK38)))</f>
        <v>0</v>
      </c>
      <c r="BL74" s="161">
        <f>IF(BL5&gt;$D$7,0,Leadsheet!$E$42*(BL32+SUM(BK32:BK37)-SUM(BL33:BL38)))</f>
        <v>0</v>
      </c>
    </row>
    <row r="75" spans="2:64" x14ac:dyDescent="0.15">
      <c r="C75" s="278" t="s">
        <v>402</v>
      </c>
      <c r="E75" s="161">
        <f>IF(E5&gt;$D$7,0,Leadsheet!$E$35*(-(E55+E59)+E29-SUM(D29:D37)+SUM(E30:E38)))</f>
        <v>-0.11494640780930329</v>
      </c>
      <c r="F75" s="161">
        <f>IF(F5&gt;$D$7,0,Leadsheet!$E$35*(-(F55+F59)+F29-SUM(E29:E37)+SUM(F30:F38)))</f>
        <v>-5.7657397087452795E-4</v>
      </c>
      <c r="G75" s="161">
        <f>IF(G5&gt;$D$7,0,Leadsheet!$E$35*(-(G55+G59)+G29-SUM(F29:F37)+SUM(G30:G38)))</f>
        <v>2.8212557252684271E-4</v>
      </c>
      <c r="H75" s="161">
        <f>IF(H5&gt;$D$7,0,Leadsheet!$E$35*(-(H55+H59)+H29-SUM(G29:G37)+SUM(H30:H38)))</f>
        <v>5.7018923935123221E-2</v>
      </c>
      <c r="I75" s="161">
        <f>IF(I5&gt;$D$7,0,Leadsheet!$E$35*(-(I55+I59)+I29-SUM(H29:H37)+SUM(I30:I38)))</f>
        <v>-3.0752914683008017E-4</v>
      </c>
      <c r="J75" s="161">
        <f>IF(J5&gt;$D$7,0,Leadsheet!$E$35*(-(J55+J59)+J29-SUM(I29:I37)+SUM(J30:J38)))</f>
        <v>-3.04453855361775E-4</v>
      </c>
      <c r="K75" s="161">
        <f>IF(K5&gt;$D$7,0,Leadsheet!$E$35*(-(K55+K59)+K29-SUM(J29:J37)+SUM(K30:K38)))</f>
        <v>-1.500643759374594E-4</v>
      </c>
      <c r="L75" s="161">
        <f>IF(L5&gt;$D$7,0,Leadsheet!$E$35*(-(L55+L59)+L29-SUM(K29:K37)+SUM(L30:L38)))</f>
        <v>0</v>
      </c>
      <c r="M75" s="161">
        <f>IF(M5&gt;$D$7,0,Leadsheet!$E$35*(-(M55+M59)+M29-SUM(L29:L37)+SUM(M30:M38)))</f>
        <v>0</v>
      </c>
      <c r="N75" s="161">
        <f>IF(N5&gt;$D$7,0,Leadsheet!$E$35*(-(N55+N59)+N29-SUM(M29:M37)+SUM(N30:N38)))</f>
        <v>0</v>
      </c>
      <c r="O75" s="161">
        <f>IF(O5&gt;$D$7,0,Leadsheet!$E$35*(-(O55+O59)+O29-SUM(N29:N37)+SUM(O30:O38)))</f>
        <v>0</v>
      </c>
      <c r="P75" s="161">
        <f>IF(P5&gt;$D$7,0,Leadsheet!$E$35*(-(P55+P59)+P29-SUM(O29:O37)+SUM(P30:P38)))</f>
        <v>0</v>
      </c>
      <c r="Q75" s="161">
        <f>IF(Q5&gt;$D$7,0,Leadsheet!$E$35*(-(Q55+Q59)+Q29-SUM(P29:P37)+SUM(Q30:Q38)))</f>
        <v>0</v>
      </c>
      <c r="R75" s="161">
        <f>IF(R5&gt;$D$7,0,Leadsheet!$E$35*(-(R55+R59)+R29-SUM(Q29:Q37)+SUM(R30:R38)))</f>
        <v>0</v>
      </c>
      <c r="S75" s="161">
        <f>IF(S5&gt;$D$7,0,Leadsheet!$E$35*(-(S55+S59)+S29-SUM(R29:R37)+SUM(S30:S38)))</f>
        <v>0</v>
      </c>
      <c r="T75" s="161">
        <f>IF(T5&gt;$D$7,0,Leadsheet!$E$35*(-(T55+T59)+T29-SUM(S29:S37)+SUM(T30:T38)))</f>
        <v>0</v>
      </c>
      <c r="U75" s="161">
        <f>IF(U5&gt;$D$7,0,Leadsheet!$E$35*(-(U55+U59)+U29-SUM(T29:T37)+SUM(U30:U38)))</f>
        <v>0</v>
      </c>
      <c r="V75" s="161">
        <f>IF(V5&gt;$D$7,0,Leadsheet!$E$35*(-(V55+V59)+V29-SUM(U29:U37)+SUM(V30:V38)))</f>
        <v>0</v>
      </c>
      <c r="W75" s="161">
        <f>IF(W5&gt;$D$7,0,Leadsheet!$E$35*(-(W55+W59)+W29-SUM(V29:V37)+SUM(W30:W38)))</f>
        <v>0</v>
      </c>
      <c r="X75" s="161">
        <f>IF(X5&gt;$D$7,0,Leadsheet!$E$35*(-(X55+X59)+X29-SUM(W29:W37)+SUM(X30:X38)))</f>
        <v>0</v>
      </c>
      <c r="Y75" s="161">
        <f>IF(Y5&gt;$D$7,0,Leadsheet!$E$35*(-(Y55+Y59)+Y29-SUM(X29:X37)+SUM(Y30:Y38)))</f>
        <v>0</v>
      </c>
      <c r="Z75" s="161">
        <f>IF(Z5&gt;$D$7,0,Leadsheet!$E$35*(-(Z55+Z59)+Z29-SUM(Y29:Y37)+SUM(Z30:Z38)))</f>
        <v>0</v>
      </c>
      <c r="AA75" s="161">
        <f>IF(AA5&gt;$D$7,0,Leadsheet!$E$35*(-(AA55+AA59)+AA29-SUM(Z29:Z37)+SUM(AA30:AA38)))</f>
        <v>0</v>
      </c>
      <c r="AB75" s="161">
        <f>IF(AB5&gt;$D$7,0,Leadsheet!$E$35*(-(AB55+AB59)+AB29-SUM(AA29:AA37)+SUM(AB30:AB38)))</f>
        <v>0</v>
      </c>
      <c r="AC75" s="161">
        <f>IF(AC5&gt;$D$7,0,Leadsheet!$E$35*(-AC53+AC29-SUM(AB29:AB37)+SUM(AC30:AC38)))</f>
        <v>0</v>
      </c>
      <c r="AD75" s="161">
        <f>IF(AD5&gt;$D$7,0,Leadsheet!$E$35*(-AD53+AD29-SUM(AC29:AC37)+SUM(AD30:AD38)))</f>
        <v>0</v>
      </c>
      <c r="AE75" s="161">
        <f>IF(AE5&gt;$D$7,0,Leadsheet!$E$35*(-AE53+AE29-SUM(AD29:AD37)+SUM(AE30:AE38)))</f>
        <v>0</v>
      </c>
      <c r="AF75" s="161">
        <f>IF(AF5&gt;$D$7,0,Leadsheet!$E$35*(-AF53+AF29-SUM(AE29:AE37)+SUM(AF30:AF38)))</f>
        <v>0</v>
      </c>
      <c r="AG75" s="161">
        <f>IF(AG5&gt;$D$7,0,Leadsheet!$E$35*(-AG53+AG29-SUM(AF29:AF37)+SUM(AG30:AG38)))</f>
        <v>0</v>
      </c>
      <c r="AH75" s="161">
        <f>IF(AH5&gt;$D$7,0,Leadsheet!$E$35*(-AH53+AH29-SUM(AG29:AG37)+SUM(AH30:AH38)))</f>
        <v>0</v>
      </c>
      <c r="AI75" s="161">
        <f>IF(AI5&gt;$D$7,0,Leadsheet!$E$35*(-AI53+AI29-SUM(AH29:AH37)+SUM(AI30:AI38)))</f>
        <v>0</v>
      </c>
      <c r="AJ75" s="161">
        <f>IF(AJ5&gt;$D$7,0,Leadsheet!$E$35*(-AJ53+AJ29-SUM(AI29:AI37)+SUM(AJ30:AJ38)))</f>
        <v>0</v>
      </c>
      <c r="AK75" s="161">
        <f>IF(AK5&gt;$D$7,0,Leadsheet!$E$35*(-AK53+AK29-SUM(AJ29:AJ37)+SUM(AK30:AK38)))</f>
        <v>0</v>
      </c>
      <c r="AL75" s="161">
        <f>IF(AL5&gt;$D$7,0,Leadsheet!$E$35*(-AL53+AL29-SUM(AK29:AK37)+SUM(AL30:AL38)))</f>
        <v>0</v>
      </c>
      <c r="AM75" s="161">
        <f>IF(AM5&gt;$D$7,0,Leadsheet!$E$35*(-AM53+AM29-SUM(AL29:AL37)+SUM(AM30:AM38)))</f>
        <v>0</v>
      </c>
      <c r="AN75" s="161">
        <f>IF(AN5&gt;$D$7,0,Leadsheet!$E$35*(-AN53+AN29-SUM(AM29:AM37)+SUM(AN30:AN38)))</f>
        <v>0</v>
      </c>
      <c r="AO75" s="161">
        <f>IF(AO5&gt;$D$7,0,Leadsheet!$E$35*(-AO53+AO29-SUM(AN29:AN37)+SUM(AO30:AO38)))</f>
        <v>0</v>
      </c>
      <c r="AP75" s="161">
        <f>IF(AP5&gt;$D$7,0,Leadsheet!$E$35*(-AP53+AP29-SUM(AO29:AO37)+SUM(AP30:AP38)))</f>
        <v>0</v>
      </c>
      <c r="AQ75" s="161">
        <f>IF(AQ5&gt;$D$7,0,Leadsheet!$E$35*(-AQ53+AQ29-SUM(AP29:AP37)+SUM(AQ30:AQ38)))</f>
        <v>0</v>
      </c>
      <c r="AR75" s="161">
        <f>IF(AR5&gt;$D$7,0,Leadsheet!$E$35*(-AR53+AR29-SUM(AQ29:AQ37)+SUM(AR30:AR38)))</f>
        <v>0</v>
      </c>
      <c r="AS75" s="161">
        <f>IF(AS5&gt;$D$7,0,Leadsheet!$E$35*(-AS53+AS29-SUM(AR29:AR37)+SUM(AS30:AS38)))</f>
        <v>0</v>
      </c>
      <c r="AT75" s="161">
        <f>IF(AT5&gt;$D$7,0,Leadsheet!$E$35*(-AT53+AT29-SUM(AS29:AS37)+SUM(AT30:AT38)))</f>
        <v>0</v>
      </c>
      <c r="AU75" s="161">
        <f>IF(AU5&gt;$D$7,0,Leadsheet!$E$35*(-AU53+AU29-SUM(AT29:AT37)+SUM(AU30:AU38)))</f>
        <v>0</v>
      </c>
      <c r="AV75" s="161">
        <f>IF(AV5&gt;$D$7,0,Leadsheet!$E$35*(-AV53+AV29-SUM(AU29:AU37)+SUM(AV30:AV38)))</f>
        <v>0</v>
      </c>
      <c r="AW75" s="161">
        <f>IF(AW5&gt;$D$7,0,Leadsheet!$E$35*(-AW53+AW29-SUM(AV29:AV37)+SUM(AW30:AW38)))</f>
        <v>0</v>
      </c>
      <c r="AX75" s="161">
        <f>IF(AX5&gt;$D$7,0,Leadsheet!$E$35*(-AX53+AX29-SUM(AW29:AW37)+SUM(AX30:AX38)))</f>
        <v>0</v>
      </c>
      <c r="AY75" s="161">
        <f>IF(AY5&gt;$D$7,0,Leadsheet!$E$35*(-AY53+AY29-SUM(AX29:AX37)+SUM(AY30:AY38)))</f>
        <v>0</v>
      </c>
      <c r="AZ75" s="161">
        <f>IF(AZ5&gt;$D$7,0,Leadsheet!$E$35*(-AZ53+AZ29-SUM(AY29:AY37)+SUM(AZ30:AZ38)))</f>
        <v>0</v>
      </c>
      <c r="BA75" s="161">
        <f>IF(BA5&gt;$D$7,0,Leadsheet!$E$35*(-BA53+BA29-SUM(AZ29:AZ37)+SUM(BA30:BA38)))</f>
        <v>0</v>
      </c>
      <c r="BB75" s="161">
        <f>IF(BB5&gt;$D$7,0,Leadsheet!$E$35*(-BB53+BB29-SUM(BA29:BA37)+SUM(BB30:BB38)))</f>
        <v>0</v>
      </c>
      <c r="BC75" s="161">
        <f>IF(BC5&gt;$D$7,0,Leadsheet!$E$35*(-BC53+BC29-SUM(BB29:BB37)+SUM(BC30:BC38)))</f>
        <v>0</v>
      </c>
      <c r="BD75" s="161">
        <f>IF(BD5&gt;$D$7,0,Leadsheet!$E$35*(-BD53+BD29-SUM(BC29:BC37)+SUM(BD30:BD38)))</f>
        <v>0</v>
      </c>
      <c r="BE75" s="161">
        <f>IF(BE5&gt;$D$7,0,Leadsheet!$E$35*(-BE53+BE29-SUM(BD29:BD37)+SUM(BE30:BE38)))</f>
        <v>0</v>
      </c>
      <c r="BF75" s="161">
        <f>IF(BF5&gt;$D$7,0,Leadsheet!$E$35*(-BF53+BF29-SUM(BE29:BE37)+SUM(BF30:BF38)))</f>
        <v>0</v>
      </c>
      <c r="BG75" s="161">
        <f>IF(BG5&gt;$D$7,0,Leadsheet!$E$35*(-BG53+BG29-SUM(BF29:BF37)+SUM(BG30:BG38)))</f>
        <v>0</v>
      </c>
      <c r="BH75" s="161">
        <f>IF(BH5&gt;$D$7,0,Leadsheet!$E$35*(-BH53+BH29-SUM(BG29:BG37)+SUM(BH30:BH38)))</f>
        <v>0</v>
      </c>
      <c r="BI75" s="161">
        <f>IF(BI5&gt;$D$7,0,Leadsheet!$E$35*(-BI53+BI29-SUM(BH29:BH37)+SUM(BI30:BI38)))</f>
        <v>0</v>
      </c>
      <c r="BJ75" s="161">
        <f>IF(BJ5&gt;$D$7,0,Leadsheet!$E$35*(-BJ53+BJ29-SUM(BI29:BI37)+SUM(BJ30:BJ38)))</f>
        <v>0</v>
      </c>
      <c r="BK75" s="161">
        <f>IF(BK5&gt;$D$7,0,Leadsheet!$E$35*(-BK53+BK29-SUM(BJ29:BJ37)+SUM(BK30:BK38)))</f>
        <v>0</v>
      </c>
      <c r="BL75" s="161">
        <f>IF(BL5&gt;$D$7,0,Leadsheet!$E$35*(-BL53+BL29-SUM(BK29:BK37)+SUM(BL30:BL38)))</f>
        <v>0</v>
      </c>
    </row>
    <row r="76" spans="2:64" x14ac:dyDescent="0.15">
      <c r="C76" s="278" t="s">
        <v>403</v>
      </c>
      <c r="E76" s="161">
        <f>IF(E5&gt;$D$7,0,Leadsheet!$E$42*(-(E55+E59)+E32+SUM(D32:D37)-SUM(E33:E38)))</f>
        <v>0</v>
      </c>
      <c r="F76" s="161">
        <f>IF(F5&gt;$D$7,0,Leadsheet!$E$42*(-(F55+F59)+F32+SUM(E32:E37)-SUM(F33:F38)))</f>
        <v>0</v>
      </c>
      <c r="G76" s="161">
        <f>IF(G5&gt;$D$7,0,Leadsheet!$E$42*(-(G55+G59)+G32+SUM(F32:F37)-SUM(G33:G38)))</f>
        <v>0</v>
      </c>
      <c r="H76" s="161">
        <f>IF(H5&gt;$D$7,0,Leadsheet!$E$42*(-(H55+H59)+H32+SUM(G32:G37)-SUM(H33:H38)))</f>
        <v>0</v>
      </c>
      <c r="I76" s="161">
        <f>IF(I5&gt;$D$7,0,Leadsheet!$E$42*(-(I55+I59)+I32+SUM(H32:H37)-SUM(I33:I38)))</f>
        <v>0</v>
      </c>
      <c r="J76" s="161">
        <f>IF(J5&gt;$D$7,0,Leadsheet!$E$42*(-(J55+J59)+J32+SUM(I32:I37)-SUM(J33:J38)))</f>
        <v>0</v>
      </c>
      <c r="K76" s="161">
        <f>IF(K5&gt;$D$7,0,Leadsheet!$E$42*(-(K55+K59)+K32+SUM(J32:J37)-SUM(K33:K38)))</f>
        <v>0</v>
      </c>
      <c r="L76" s="161">
        <f>IF(L5&gt;$D$7,0,Leadsheet!$E$42*(-(L55+L59)+L32+SUM(K32:K37)-SUM(L33:L38)))</f>
        <v>0</v>
      </c>
      <c r="M76" s="161">
        <f>IF(M5&gt;$D$7,0,Leadsheet!$E$42*(-(M55+M59)+M32+SUM(L32:L37)-SUM(M33:M38)))</f>
        <v>0</v>
      </c>
      <c r="N76" s="161">
        <f>IF(N5&gt;$D$7,0,Leadsheet!$E$42*(-(N55+N59)+N32+SUM(M32:M37)-SUM(N33:N38)))</f>
        <v>0</v>
      </c>
      <c r="O76" s="161">
        <f>IF(O5&gt;$D$7,0,Leadsheet!$E$42*(-(O55+O59)+O32+SUM(N32:N37)-SUM(O33:O38)))</f>
        <v>0</v>
      </c>
      <c r="P76" s="161">
        <f>IF(P5&gt;$D$7,0,Leadsheet!$E$42*(-(P55+P59)+P32+SUM(O32:O37)-SUM(P33:P38)))</f>
        <v>0</v>
      </c>
      <c r="Q76" s="161">
        <f>IF(Q5&gt;$D$7,0,Leadsheet!$E$42*(-(Q55+Q59)+Q32+SUM(P32:P37)-SUM(Q33:Q38)))</f>
        <v>0</v>
      </c>
      <c r="R76" s="161">
        <f>IF(R5&gt;$D$7,0,Leadsheet!$E$42*(-(R55+R59)+R32+SUM(Q32:Q37)-SUM(R33:R38)))</f>
        <v>0</v>
      </c>
      <c r="S76" s="161">
        <f>IF(S5&gt;$D$7,0,Leadsheet!$E$42*(-(S55+S59)+S32+SUM(R32:R37)-SUM(S33:S38)))</f>
        <v>0</v>
      </c>
      <c r="T76" s="161">
        <f>IF(T5&gt;$D$7,0,Leadsheet!$E$42*(-(T55+T59)+T32+SUM(S32:S37)-SUM(T33:T38)))</f>
        <v>0</v>
      </c>
      <c r="U76" s="161">
        <f>IF(U5&gt;$D$7,0,Leadsheet!$E$42*(-(U55+U59)+U32+SUM(T32:T37)-SUM(U33:U38)))</f>
        <v>0</v>
      </c>
      <c r="V76" s="161">
        <f>IF(V5&gt;$D$7,0,Leadsheet!$E$42*(-(V55+V59)+V32+SUM(U32:U37)-SUM(V33:V38)))</f>
        <v>0</v>
      </c>
      <c r="W76" s="161">
        <f>IF(W5&gt;$D$7,0,Leadsheet!$E$42*(-(W55+W59)+W32+SUM(V32:V37)-SUM(W33:W38)))</f>
        <v>0</v>
      </c>
      <c r="X76" s="161">
        <f>IF(X5&gt;$D$7,0,Leadsheet!$E$42*(-(X55+X59)+X32+SUM(W32:W37)-SUM(X33:X38)))</f>
        <v>0</v>
      </c>
      <c r="Y76" s="161">
        <f>IF(Y5&gt;$D$7,0,Leadsheet!$E$42*(-(Y55+Y59)+Y32+SUM(X32:X37)-SUM(Y33:Y38)))</f>
        <v>0</v>
      </c>
      <c r="Z76" s="161">
        <f>IF(Z5&gt;$D$7,0,Leadsheet!$E$42*(-(Z55+Z59)+Z32+SUM(Y32:Y37)-SUM(Z33:Z38)))</f>
        <v>0</v>
      </c>
      <c r="AA76" s="161">
        <f>IF(AA5&gt;$D$7,0,Leadsheet!$E$42*(-(AA55+AA59)+AA32+SUM(Z32:Z37)-SUM(AA33:AA38)))</f>
        <v>0</v>
      </c>
      <c r="AB76" s="161">
        <f>IF(AB5&gt;$D$7,0,Leadsheet!$E$42*(-(AB55+AB59)+AB32+SUM(AA32:AA37)-SUM(AB33:AB38)))</f>
        <v>0</v>
      </c>
      <c r="AC76" s="161">
        <f>IF(AC5&gt;$D$7,0,Leadsheet!$E$42*(-AC53+AC32+SUM(AB32:AB37)-SUM(AC33:AC38)))</f>
        <v>0</v>
      </c>
      <c r="AD76" s="161">
        <f>IF(AD5&gt;$D$7,0,Leadsheet!$E$42*(-AD53+AD32+SUM(AC32:AC37)-SUM(AD33:AD38)))</f>
        <v>0</v>
      </c>
      <c r="AE76" s="161">
        <f>IF(AE5&gt;$D$7,0,Leadsheet!$E$42*(-AE53+AE32+SUM(AD32:AD37)-SUM(AE33:AE38)))</f>
        <v>0</v>
      </c>
      <c r="AF76" s="161">
        <f>IF(AF5&gt;$D$7,0,Leadsheet!$E$42*(-AF53+AF32+SUM(AE32:AE37)-SUM(AF33:AF38)))</f>
        <v>0</v>
      </c>
      <c r="AG76" s="161">
        <f>IF(AG5&gt;$D$7,0,Leadsheet!$E$42*(-AG53+AG32+SUM(AF32:AF37)-SUM(AG33:AG38)))</f>
        <v>0</v>
      </c>
      <c r="AH76" s="161">
        <f>IF(AH5&gt;$D$7,0,Leadsheet!$E$42*(-AH53+AH32+SUM(AG32:AG37)-SUM(AH33:AH38)))</f>
        <v>0</v>
      </c>
      <c r="AI76" s="161">
        <f>IF(AI5&gt;$D$7,0,Leadsheet!$E$42*(-AI53+AI32+SUM(AH32:AH37)-SUM(AI33:AI38)))</f>
        <v>0</v>
      </c>
      <c r="AJ76" s="161">
        <f>IF(AJ5&gt;$D$7,0,Leadsheet!$E$42*(-AJ53+AJ32+SUM(AI32:AI37)-SUM(AJ33:AJ38)))</f>
        <v>0</v>
      </c>
      <c r="AK76" s="161">
        <f>IF(AK5&gt;$D$7,0,Leadsheet!$E$42*(-AK53+AK32+SUM(AJ32:AJ37)-SUM(AK33:AK38)))</f>
        <v>0</v>
      </c>
      <c r="AL76" s="161">
        <f>IF(AL5&gt;$D$7,0,Leadsheet!$E$42*(-AL53+AL32+SUM(AK32:AK37)-SUM(AL33:AL38)))</f>
        <v>0</v>
      </c>
      <c r="AM76" s="161">
        <f>IF(AM5&gt;$D$7,0,Leadsheet!$E$42*(-AM53+AM32+SUM(AL32:AL37)-SUM(AM33:AM38)))</f>
        <v>0</v>
      </c>
      <c r="AN76" s="161">
        <f>IF(AN5&gt;$D$7,0,Leadsheet!$E$42*(-AN53+AN32+SUM(AM32:AM37)-SUM(AN33:AN38)))</f>
        <v>0</v>
      </c>
      <c r="AO76" s="161">
        <f>IF(AO5&gt;$D$7,0,Leadsheet!$E$42*(-AO53+AO32+SUM(AN32:AN37)-SUM(AO33:AO38)))</f>
        <v>0</v>
      </c>
      <c r="AP76" s="161">
        <f>IF(AP5&gt;$D$7,0,Leadsheet!$E$42*(-AP53+AP32+SUM(AO32:AO37)-SUM(AP33:AP38)))</f>
        <v>0</v>
      </c>
      <c r="AQ76" s="161">
        <f>IF(AQ5&gt;$D$7,0,Leadsheet!$E$42*(-AQ53+AQ32+SUM(AP32:AP37)-SUM(AQ33:AQ38)))</f>
        <v>0</v>
      </c>
      <c r="AR76" s="161">
        <f>IF(AR5&gt;$D$7,0,Leadsheet!$E$42*(-AR53+AR32+SUM(AQ32:AQ37)-SUM(AR33:AR38)))</f>
        <v>0</v>
      </c>
      <c r="AS76" s="161">
        <f>IF(AS5&gt;$D$7,0,Leadsheet!$E$42*(-AS53+AS32+SUM(AR32:AR37)-SUM(AS33:AS38)))</f>
        <v>0</v>
      </c>
      <c r="AT76" s="161">
        <f>IF(AT5&gt;$D$7,0,Leadsheet!$E$42*(-AT53+AT32+SUM(AS32:AS37)-SUM(AT33:AT38)))</f>
        <v>0</v>
      </c>
      <c r="AU76" s="161">
        <f>IF(AU5&gt;$D$7,0,Leadsheet!$E$42*(-AU53+AU32+SUM(AT32:AT37)-SUM(AU33:AU38)))</f>
        <v>0</v>
      </c>
      <c r="AV76" s="161">
        <f>IF(AV5&gt;$D$7,0,Leadsheet!$E$42*(-AV53+AV32+SUM(AU32:AU37)-SUM(AV33:AV38)))</f>
        <v>0</v>
      </c>
      <c r="AW76" s="161">
        <f>IF(AW5&gt;$D$7,0,Leadsheet!$E$42*(-AW53+AW32+SUM(AV32:AV37)-SUM(AW33:AW38)))</f>
        <v>0</v>
      </c>
      <c r="AX76" s="161">
        <f>IF(AX5&gt;$D$7,0,Leadsheet!$E$42*(-AX53+AX32+SUM(AW32:AW37)-SUM(AX33:AX38)))</f>
        <v>0</v>
      </c>
      <c r="AY76" s="161">
        <f>IF(AY5&gt;$D$7,0,Leadsheet!$E$42*(-AY53+AY32+SUM(AX32:AX37)-SUM(AY33:AY38)))</f>
        <v>0</v>
      </c>
      <c r="AZ76" s="161">
        <f>IF(AZ5&gt;$D$7,0,Leadsheet!$E$42*(-AZ53+AZ32+SUM(AY32:AY37)-SUM(AZ33:AZ38)))</f>
        <v>0</v>
      </c>
      <c r="BA76" s="161">
        <f>IF(BA5&gt;$D$7,0,Leadsheet!$E$42*(-BA53+BA32+SUM(AZ32:AZ37)-SUM(BA33:BA38)))</f>
        <v>0</v>
      </c>
      <c r="BB76" s="161">
        <f>IF(BB5&gt;$D$7,0,Leadsheet!$E$42*(-BB53+BB32+SUM(BA32:BA37)-SUM(BB33:BB38)))</f>
        <v>0</v>
      </c>
      <c r="BC76" s="161">
        <f>IF(BC5&gt;$D$7,0,Leadsheet!$E$42*(-BC53+BC32+SUM(BB32:BB37)-SUM(BC33:BC38)))</f>
        <v>0</v>
      </c>
      <c r="BD76" s="161">
        <f>IF(BD5&gt;$D$7,0,Leadsheet!$E$42*(-BD53+BD32+SUM(BC32:BC37)-SUM(BD33:BD38)))</f>
        <v>0</v>
      </c>
      <c r="BE76" s="161">
        <f>IF(BE5&gt;$D$7,0,Leadsheet!$E$42*(-BE53+BE32+SUM(BD32:BD37)-SUM(BE33:BE38)))</f>
        <v>0</v>
      </c>
      <c r="BF76" s="161">
        <f>IF(BF5&gt;$D$7,0,Leadsheet!$E$42*(-BF53+BF32+SUM(BE32:BE37)-SUM(BF33:BF38)))</f>
        <v>0</v>
      </c>
      <c r="BG76" s="161">
        <f>IF(BG5&gt;$D$7,0,Leadsheet!$E$42*(-BG53+BG32+SUM(BF32:BF37)-SUM(BG33:BG38)))</f>
        <v>0</v>
      </c>
      <c r="BH76" s="161">
        <f>IF(BH5&gt;$D$7,0,Leadsheet!$E$42*(-BH53+BH32+SUM(BG32:BG37)-SUM(BH33:BH38)))</f>
        <v>0</v>
      </c>
      <c r="BI76" s="161">
        <f>IF(BI5&gt;$D$7,0,Leadsheet!$E$42*(-BI53+BI32+SUM(BH32:BH37)-SUM(BI33:BI38)))</f>
        <v>0</v>
      </c>
      <c r="BJ76" s="161">
        <f>IF(BJ5&gt;$D$7,0,Leadsheet!$E$42*(-BJ53+BJ32+SUM(BI32:BI37)-SUM(BJ33:BJ38)))</f>
        <v>0</v>
      </c>
      <c r="BK76" s="161">
        <f>IF(BK5&gt;$D$7,0,Leadsheet!$E$42*(-BK53+BK32+SUM(BJ32:BJ37)-SUM(BK33:BK38)))</f>
        <v>0</v>
      </c>
      <c r="BL76" s="161">
        <f>IF(BL5&gt;$D$7,0,Leadsheet!$E$42*(-BL53+BL32+SUM(BK32:BK37)-SUM(BL33:BL38)))</f>
        <v>0</v>
      </c>
    </row>
    <row r="77" spans="2:64" x14ac:dyDescent="0.15">
      <c r="B77" s="163" t="s">
        <v>235</v>
      </c>
      <c r="C77" s="278"/>
      <c r="E77" s="260">
        <f>E78+E62</f>
        <v>-6.246361931839489E-4</v>
      </c>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row>
    <row r="78" spans="2:64" x14ac:dyDescent="0.15">
      <c r="C78" s="89" t="s">
        <v>404</v>
      </c>
      <c r="E78" s="161">
        <f>-Leadsheet!E49</f>
        <v>-6.246361931839489E-4</v>
      </c>
    </row>
    <row r="80" spans="2:64" x14ac:dyDescent="0.15">
      <c r="B80" s="182" t="s">
        <v>216</v>
      </c>
      <c r="C80" s="163"/>
      <c r="D80" s="163"/>
      <c r="E80" s="260">
        <f>E81+E82+E83</f>
        <v>-1.8614427784425423E-2</v>
      </c>
      <c r="F80" s="279"/>
      <c r="G80" s="279"/>
      <c r="H80" s="279"/>
      <c r="I80" s="279"/>
      <c r="J80" s="279"/>
      <c r="K80" s="279"/>
      <c r="L80" s="279"/>
      <c r="M80" s="279"/>
      <c r="N80" s="279"/>
      <c r="O80" s="279"/>
      <c r="P80" s="279"/>
      <c r="Q80" s="279"/>
      <c r="R80" s="279"/>
      <c r="S80" s="279"/>
      <c r="T80" s="279"/>
      <c r="U80" s="279"/>
      <c r="V80" s="279"/>
      <c r="W80" s="279"/>
      <c r="X80" s="279"/>
      <c r="Y80" s="279"/>
      <c r="Z80" s="279"/>
      <c r="AA80" s="279"/>
      <c r="AB80" s="279"/>
      <c r="AC80" s="279"/>
      <c r="AD80" s="279"/>
      <c r="AE80" s="279"/>
      <c r="AF80" s="279"/>
      <c r="AG80" s="279"/>
      <c r="AH80" s="279"/>
      <c r="AI80" s="279"/>
      <c r="AJ80" s="279"/>
      <c r="AK80" s="279"/>
      <c r="AL80" s="279"/>
      <c r="AM80" s="279"/>
      <c r="AN80" s="279"/>
      <c r="AO80" s="279"/>
      <c r="AP80" s="279"/>
      <c r="AQ80" s="279"/>
      <c r="AR80" s="279"/>
      <c r="AS80" s="279"/>
      <c r="AT80" s="279"/>
      <c r="AU80" s="279"/>
      <c r="AV80" s="279"/>
      <c r="AW80" s="279"/>
      <c r="AX80" s="279"/>
      <c r="AY80" s="279"/>
      <c r="AZ80" s="279"/>
      <c r="BA80" s="279"/>
      <c r="BB80" s="279"/>
      <c r="BC80" s="279"/>
    </row>
    <row r="81" spans="2:64" x14ac:dyDescent="0.15">
      <c r="C81" s="89" t="s">
        <v>405</v>
      </c>
      <c r="E81" s="161">
        <f>-Leadsheet!E51/Leadsheet!E54/Leadsheet!E55-Leadsheet!E52</f>
        <v>-1.0614427784425421E-2</v>
      </c>
    </row>
    <row r="82" spans="2:64" x14ac:dyDescent="0.15">
      <c r="C82" s="89" t="s">
        <v>136</v>
      </c>
      <c r="E82" s="161">
        <f>-Leadsheet!E53</f>
        <v>-8.0000000000000002E-3</v>
      </c>
    </row>
    <row r="83" spans="2:64" x14ac:dyDescent="0.15">
      <c r="C83" s="89" t="s">
        <v>134</v>
      </c>
      <c r="E83" s="161">
        <f>-Leadsheet!E52</f>
        <v>0</v>
      </c>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row>
    <row r="84" spans="2:64" x14ac:dyDescent="0.15">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row>
    <row r="85" spans="2:64" x14ac:dyDescent="0.15">
      <c r="C85" s="280" t="s">
        <v>406</v>
      </c>
      <c r="D85" s="280"/>
      <c r="E85" s="281">
        <v>1</v>
      </c>
      <c r="F85" s="281">
        <f>IF(F$5&gt;$D$7,0,IF(F$5&lt;12,1,(1+Leadsheet!$E$31)^(ROUNDDOWN(F$5/12,0))))</f>
        <v>1</v>
      </c>
      <c r="G85" s="281">
        <f>IF(G$5&gt;$D$7,0,IF(G$5&lt;12,1,(1+Leadsheet!$E$31)^(ROUNDDOWN(G$5/12,0))))</f>
        <v>1</v>
      </c>
      <c r="H85" s="281">
        <f>IF(H$5&gt;$D$7,0,IF(H$5&lt;12,1,(1+Leadsheet!$E$31)^(ROUNDDOWN(H$5/12,0))))</f>
        <v>1</v>
      </c>
      <c r="I85" s="281">
        <f>IF(I$5&gt;$D$7,0,IF(I$5&lt;12,1,(1+Leadsheet!$E$31)^(ROUNDDOWN(I$5/12,0))))</f>
        <v>1</v>
      </c>
      <c r="J85" s="281">
        <f>IF(J$5&gt;$D$7,0,IF(J$5&lt;12,1,(1+Leadsheet!$E$31)^(ROUNDDOWN(J$5/12,0))))</f>
        <v>1</v>
      </c>
      <c r="K85" s="281">
        <f>IF(K$5&gt;$D$7,0,IF(K$5&lt;12,1,(1+Leadsheet!$E$31)^(ROUNDDOWN(K$5/12,0))))</f>
        <v>1</v>
      </c>
      <c r="L85" s="281">
        <f>IF(L$5&gt;$D$7,0,IF(L$5&lt;12,1,(1+Leadsheet!$E$31)^(ROUNDDOWN(L$5/12,0))))</f>
        <v>0</v>
      </c>
      <c r="M85" s="281">
        <f>IF(M$5&gt;$D$7,0,IF(M$5&lt;12,1,(1+Leadsheet!$E$31)^(ROUNDDOWN(M$5/12,0))))</f>
        <v>0</v>
      </c>
      <c r="N85" s="281">
        <f>IF(N$5&gt;$D$7,0,IF(N$5&lt;12,1,(1+Leadsheet!$E$31)^(ROUNDDOWN(N$5/12,0))))</f>
        <v>0</v>
      </c>
      <c r="O85" s="281">
        <f>IF(O$5&gt;$D$7,0,IF(O$5&lt;12,1,(1+Leadsheet!$E$31)^(ROUNDDOWN(O$5/12,0))))</f>
        <v>0</v>
      </c>
      <c r="P85" s="281">
        <f>IF(P$5&gt;$D$7,0,IF(P$5&lt;12,1,(1+Leadsheet!$E$31)^(ROUNDDOWN(P$5/12,0))))</f>
        <v>0</v>
      </c>
      <c r="Q85" s="281">
        <f>IF(Q$5&gt;$D$7,0,IF(Q$5&lt;12,1,(1+Leadsheet!$E$31)^(ROUNDDOWN(Q$5/12,0))))</f>
        <v>0</v>
      </c>
      <c r="R85" s="281">
        <f>IF(R$5&gt;$D$7,0,IF(R$5&lt;12,1,(1+Leadsheet!$E$31)^(ROUNDDOWN(R$5/12,0))))</f>
        <v>0</v>
      </c>
      <c r="S85" s="281">
        <f>IF(S$5&gt;$D$7,0,IF(S$5&lt;12,1,(1+Leadsheet!$E$31)^(ROUNDDOWN(S$5/12,0))))</f>
        <v>0</v>
      </c>
      <c r="T85" s="281">
        <f>IF(T$5&gt;$D$7,0,IF(T$5&lt;12,1,(1+Leadsheet!$E$31)^(ROUNDDOWN(T$5/12,0))))</f>
        <v>0</v>
      </c>
      <c r="U85" s="281">
        <f>IF(U$5&gt;$D$7,0,IF(U$5&lt;12,1,(1+Leadsheet!$E$31)^(ROUNDDOWN(U$5/12,0))))</f>
        <v>0</v>
      </c>
      <c r="V85" s="281">
        <f>IF(V$5&gt;$D$7,0,IF(V$5&lt;12,1,(1+Leadsheet!$E$31)^(ROUNDDOWN(V$5/12,0))))</f>
        <v>0</v>
      </c>
      <c r="W85" s="281">
        <f>IF(W$5&gt;$D$7,0,IF(W$5&lt;12,1,(1+Leadsheet!$E$31)^(ROUNDDOWN(W$5/12,0))))</f>
        <v>0</v>
      </c>
      <c r="X85" s="281">
        <f>IF(X$5&gt;$D$7,0,IF(X$5&lt;12,1,(1+Leadsheet!$E$31)^(ROUNDDOWN(X$5/12,0))))</f>
        <v>0</v>
      </c>
      <c r="Y85" s="281">
        <f>IF(Y$5&gt;$D$7,0,IF(Y$5&lt;12,1,(1+Leadsheet!$E$31)^(ROUNDDOWN(Y$5/12,0))))</f>
        <v>0</v>
      </c>
      <c r="Z85" s="281">
        <f>IF(Z$5&gt;$D$7,0,IF(Z$5&lt;12,1,(1+Leadsheet!$E$31)^(ROUNDDOWN(Z$5/12,0))))</f>
        <v>0</v>
      </c>
      <c r="AA85" s="281">
        <f>IF(AA$5&gt;$D$7,0,IF(AA$5&lt;12,1,(1+Leadsheet!$E$31)^(ROUNDDOWN(AA$5/12,0))))</f>
        <v>0</v>
      </c>
      <c r="AB85" s="281">
        <f>IF(AB$5&gt;$D$7,0,IF(AB$5&lt;12,1,(1+Leadsheet!$E$31)^(ROUNDDOWN(AB$5/12,0))))</f>
        <v>0</v>
      </c>
      <c r="AC85" s="281">
        <f>IF(AC$5&gt;$D$7,0,IF(AC$5&lt;12,1,(1+Leadsheet!$E$31)^(ROUNDDOWN(AC$5/12,0))))</f>
        <v>0</v>
      </c>
      <c r="AD85" s="281">
        <f>IF(AD$5&gt;$D$7,0,IF(AD$5&lt;12,1,(1+Leadsheet!$E$31)^(ROUNDDOWN(AD$5/12,0))))</f>
        <v>0</v>
      </c>
      <c r="AE85" s="281">
        <f>IF(AE$5&gt;$D$7,0,IF(AE$5&lt;12,1,(1+Leadsheet!$E$31)^(ROUNDDOWN(AE$5/12,0))))</f>
        <v>0</v>
      </c>
      <c r="AF85" s="281">
        <f>IF(AF$5&gt;$D$7,0,IF(AF$5&lt;12,1,(1+Leadsheet!$E$31)^(ROUNDDOWN(AF$5/12,0))))</f>
        <v>0</v>
      </c>
      <c r="AG85" s="281">
        <f>IF(AG$5&gt;$D$7,0,IF(AG$5&lt;12,1,(1+Leadsheet!$E$31)^(ROUNDDOWN(AG$5/12,0))))</f>
        <v>0</v>
      </c>
      <c r="AH85" s="281">
        <f>IF(AH$5&gt;$D$7,0,IF(AH$5&lt;12,1,(1+Leadsheet!$E$31)^(ROUNDDOWN(AH$5/12,0))))</f>
        <v>0</v>
      </c>
      <c r="AI85" s="281">
        <f>IF(AI$5&gt;$D$7,0,IF(AI$5&lt;12,1,(1+Leadsheet!$E$31)^(ROUNDDOWN(AI$5/12,0))))</f>
        <v>0</v>
      </c>
      <c r="AJ85" s="281">
        <f>IF(AJ$5&gt;$D$7,0,IF(AJ$5&lt;12,1,(1+Leadsheet!$E$31)^(ROUNDDOWN(AJ$5/12,0))))</f>
        <v>0</v>
      </c>
      <c r="AK85" s="281">
        <f>IF(AK$5&gt;$D$7,0,IF(AK$5&lt;12,1,(1+Leadsheet!$E$31)^(ROUNDDOWN(AK$5/12,0))))</f>
        <v>0</v>
      </c>
      <c r="AL85" s="281">
        <f>IF(AL$5&gt;$D$7,0,IF(AL$5&lt;12,1,(1+Leadsheet!$E$31)^(ROUNDDOWN(AL$5/12,0))))</f>
        <v>0</v>
      </c>
      <c r="AM85" s="281">
        <f>IF(AM$5&gt;$D$7,0,IF(AM$5&lt;12,1,(1+Leadsheet!$E$31)^(ROUNDDOWN(AM$5/12,0))))</f>
        <v>0</v>
      </c>
      <c r="AN85" s="281">
        <f>IF(AN$5&gt;$D$7,0,IF(AN$5&lt;12,1,(1+Leadsheet!$E$31)^(ROUNDDOWN(AN$5/12,0))))</f>
        <v>0</v>
      </c>
      <c r="AO85" s="281">
        <f>IF(AO$5&gt;$D$7,0,IF(AO$5&lt;12,1,(1+Leadsheet!$E$31)^(ROUNDDOWN(AO$5/12,0))))</f>
        <v>0</v>
      </c>
      <c r="AP85" s="281">
        <f>IF(AP$5&gt;$D$7,0,IF(AP$5&lt;12,1,(1+Leadsheet!$E$31)^(ROUNDDOWN(AP$5/12,0))))</f>
        <v>0</v>
      </c>
      <c r="AQ85" s="281">
        <f>IF(AQ$5&gt;$D$7,0,IF(AQ$5&lt;12,1,(1+Leadsheet!$E$31)^(ROUNDDOWN(AQ$5/12,0))))</f>
        <v>0</v>
      </c>
      <c r="AR85" s="281">
        <f>IF(AR$5&gt;$D$7,0,IF(AR$5&lt;12,1,(1+Leadsheet!$E$31)^(ROUNDDOWN(AR$5/12,0))))</f>
        <v>0</v>
      </c>
      <c r="AS85" s="281">
        <f>IF(AS$5&gt;$D$7,0,IF(AS$5&lt;12,1,(1+Leadsheet!$E$31)^(ROUNDDOWN(AS$5/12,0))))</f>
        <v>0</v>
      </c>
      <c r="AT85" s="281">
        <f>IF(AT$5&gt;$D$7,0,IF(AT$5&lt;12,1,(1+Leadsheet!$E$31)^(ROUNDDOWN(AT$5/12,0))))</f>
        <v>0</v>
      </c>
      <c r="AU85" s="281">
        <f>IF(AU$5&gt;$D$7,0,IF(AU$5&lt;12,1,(1+Leadsheet!$E$31)^(ROUNDDOWN(AU$5/12,0))))</f>
        <v>0</v>
      </c>
      <c r="AV85" s="281">
        <f>IF(AV$5&gt;$D$7,0,IF(AV$5&lt;12,1,(1+Leadsheet!$E$31)^(ROUNDDOWN(AV$5/12,0))))</f>
        <v>0</v>
      </c>
      <c r="AW85" s="281">
        <f>IF(AW$5&gt;$D$7,0,IF(AW$5&lt;12,1,(1+Leadsheet!$E$31)^(ROUNDDOWN(AW$5/12,0))))</f>
        <v>0</v>
      </c>
      <c r="AX85" s="281">
        <f>IF(AX$5&gt;$D$7,0,IF(AX$5&lt;12,1,(1+Leadsheet!$E$31)^(ROUNDDOWN(AX$5/12,0))))</f>
        <v>0</v>
      </c>
      <c r="AY85" s="281">
        <f>IF(AY$5&gt;$D$7,0,IF(AY$5&lt;12,1,(1+Leadsheet!$E$31)^(ROUNDDOWN(AY$5/12,0))))</f>
        <v>0</v>
      </c>
      <c r="AZ85" s="281">
        <f>IF(AZ$5&gt;$D$7,0,IF(AZ$5&lt;12,1,(1+Leadsheet!$E$31)^(ROUNDDOWN(AZ$5/12,0))))</f>
        <v>0</v>
      </c>
      <c r="BA85" s="281">
        <f>IF(BA$5&gt;$D$7,0,IF(BA$5&lt;12,1,(1+Leadsheet!$E$31)^(ROUNDDOWN(BA$5/12,0))))</f>
        <v>0</v>
      </c>
      <c r="BB85" s="281">
        <f>IF(BB$5&gt;$D$7,0,IF(BB$5&lt;12,1,(1+Leadsheet!$E$31)^(ROUNDDOWN(BB$5/12,0))))</f>
        <v>0</v>
      </c>
      <c r="BC85" s="281">
        <f>IF(BC$5&gt;$D$7,0,IF(BC$5&lt;12,1,(1+Leadsheet!$E$31)^(ROUNDDOWN(BC$5/12,0))))</f>
        <v>0</v>
      </c>
      <c r="BD85" s="281">
        <f>IF(BD$5&gt;$D$7,0,IF(BD$5&lt;12,1,(1+Leadsheet!$E$31)^(ROUNDDOWN(BD$5/12,0))))</f>
        <v>0</v>
      </c>
      <c r="BE85" s="281">
        <f>IF(BE$5&gt;$D$7,0,IF(BE$5&lt;12,1,(1+Leadsheet!$E$31)^(ROUNDDOWN(BE$5/12,0))))</f>
        <v>0</v>
      </c>
      <c r="BF85" s="281">
        <f>IF(BF$5&gt;$D$7,0,IF(BF$5&lt;12,1,(1+Leadsheet!$E$31)^(ROUNDDOWN(BF$5/12,0))))</f>
        <v>0</v>
      </c>
      <c r="BG85" s="281">
        <f>IF(BG$5&gt;$D$7,0,IF(BG$5&lt;12,1,(1+Leadsheet!$E$31)^(ROUNDDOWN(BG$5/12,0))))</f>
        <v>0</v>
      </c>
      <c r="BH85" s="281">
        <f>IF(BH$5&gt;$D$7,0,IF(BH$5&lt;12,1,(1+Leadsheet!$E$31)^(ROUNDDOWN(BH$5/12,0))))</f>
        <v>0</v>
      </c>
      <c r="BI85" s="281">
        <f>IF(BI$5&gt;$D$7,0,IF(BI$5&lt;12,1,(1+Leadsheet!$E$31)^(ROUNDDOWN(BI$5/12,0))))</f>
        <v>0</v>
      </c>
      <c r="BJ85" s="281">
        <f>IF(BJ$5&gt;$D$7,0,IF(BJ$5&lt;12,1,(1+Leadsheet!$E$31)^(ROUNDDOWN(BJ$5/12,0))))</f>
        <v>0</v>
      </c>
      <c r="BK85" s="281">
        <f>IF(BK$5&gt;$D$7,0,IF(BK$5&lt;12,1,(1+Leadsheet!$E$31)^(ROUNDDOWN(BK$5/12,0))))</f>
        <v>0</v>
      </c>
      <c r="BL85" s="281">
        <f>IF(BL$5&gt;$D$7,0,IF(BL$5&lt;12,1,(1+Leadsheet!$E$31)^(ROUNDDOWN(BL$5/12,0))))</f>
        <v>0</v>
      </c>
    </row>
    <row r="87" spans="2:64" s="163" customFormat="1" x14ac:dyDescent="0.15">
      <c r="B87" s="163" t="s">
        <v>144</v>
      </c>
      <c r="E87" s="276">
        <f>SUM(E88:E89)</f>
        <v>-5.0000000000000001E-3</v>
      </c>
      <c r="F87" s="276">
        <f t="shared" ref="F87:BL87" si="18">SUM(F88:F89)</f>
        <v>-2.9260000000000006E-4</v>
      </c>
      <c r="G87" s="276">
        <f t="shared" si="18"/>
        <v>-2.6733361223772999E-4</v>
      </c>
      <c r="H87" s="276">
        <f t="shared" si="18"/>
        <v>-2.5931360387059806E-4</v>
      </c>
      <c r="I87" s="276">
        <f t="shared" si="18"/>
        <v>-2.5672046783189209E-4</v>
      </c>
      <c r="J87" s="276">
        <f t="shared" si="18"/>
        <v>-2.5415326315357317E-4</v>
      </c>
      <c r="K87" s="276">
        <f t="shared" si="18"/>
        <v>-2.5288249683780534E-4</v>
      </c>
      <c r="L87" s="276">
        <f t="shared" si="18"/>
        <v>0</v>
      </c>
      <c r="M87" s="276">
        <f t="shared" si="18"/>
        <v>0</v>
      </c>
      <c r="N87" s="276">
        <f t="shared" si="18"/>
        <v>0</v>
      </c>
      <c r="O87" s="276">
        <f t="shared" si="18"/>
        <v>0</v>
      </c>
      <c r="P87" s="276">
        <f t="shared" si="18"/>
        <v>0</v>
      </c>
      <c r="Q87" s="276">
        <f t="shared" si="18"/>
        <v>0</v>
      </c>
      <c r="R87" s="276">
        <f t="shared" si="18"/>
        <v>0</v>
      </c>
      <c r="S87" s="276">
        <f t="shared" si="18"/>
        <v>0</v>
      </c>
      <c r="T87" s="276">
        <f t="shared" si="18"/>
        <v>0</v>
      </c>
      <c r="U87" s="276">
        <f t="shared" si="18"/>
        <v>0</v>
      </c>
      <c r="V87" s="276">
        <f t="shared" si="18"/>
        <v>0</v>
      </c>
      <c r="W87" s="276">
        <f t="shared" si="18"/>
        <v>0</v>
      </c>
      <c r="X87" s="276">
        <f t="shared" si="18"/>
        <v>0</v>
      </c>
      <c r="Y87" s="276">
        <f t="shared" si="18"/>
        <v>0</v>
      </c>
      <c r="Z87" s="276">
        <f t="shared" si="18"/>
        <v>0</v>
      </c>
      <c r="AA87" s="276">
        <f t="shared" si="18"/>
        <v>0</v>
      </c>
      <c r="AB87" s="276">
        <f t="shared" si="18"/>
        <v>0</v>
      </c>
      <c r="AC87" s="276">
        <f t="shared" si="18"/>
        <v>0</v>
      </c>
      <c r="AD87" s="276">
        <f t="shared" si="18"/>
        <v>0</v>
      </c>
      <c r="AE87" s="276">
        <f t="shared" si="18"/>
        <v>0</v>
      </c>
      <c r="AF87" s="276">
        <f t="shared" si="18"/>
        <v>0</v>
      </c>
      <c r="AG87" s="276">
        <f t="shared" si="18"/>
        <v>0</v>
      </c>
      <c r="AH87" s="276">
        <f t="shared" si="18"/>
        <v>0</v>
      </c>
      <c r="AI87" s="276">
        <f t="shared" si="18"/>
        <v>0</v>
      </c>
      <c r="AJ87" s="276">
        <f t="shared" si="18"/>
        <v>0</v>
      </c>
      <c r="AK87" s="276">
        <f t="shared" si="18"/>
        <v>0</v>
      </c>
      <c r="AL87" s="276">
        <f t="shared" si="18"/>
        <v>0</v>
      </c>
      <c r="AM87" s="276">
        <f t="shared" si="18"/>
        <v>0</v>
      </c>
      <c r="AN87" s="276">
        <f t="shared" si="18"/>
        <v>0</v>
      </c>
      <c r="AO87" s="276">
        <f t="shared" si="18"/>
        <v>0</v>
      </c>
      <c r="AP87" s="276">
        <f t="shared" si="18"/>
        <v>0</v>
      </c>
      <c r="AQ87" s="276">
        <f t="shared" si="18"/>
        <v>0</v>
      </c>
      <c r="AR87" s="276">
        <f t="shared" si="18"/>
        <v>0</v>
      </c>
      <c r="AS87" s="276">
        <f t="shared" si="18"/>
        <v>0</v>
      </c>
      <c r="AT87" s="276">
        <f t="shared" si="18"/>
        <v>0</v>
      </c>
      <c r="AU87" s="276">
        <f t="shared" si="18"/>
        <v>0</v>
      </c>
      <c r="AV87" s="276">
        <f t="shared" si="18"/>
        <v>0</v>
      </c>
      <c r="AW87" s="276">
        <f t="shared" si="18"/>
        <v>0</v>
      </c>
      <c r="AX87" s="276">
        <f t="shared" si="18"/>
        <v>0</v>
      </c>
      <c r="AY87" s="276">
        <f t="shared" si="18"/>
        <v>0</v>
      </c>
      <c r="AZ87" s="276">
        <f t="shared" si="18"/>
        <v>0</v>
      </c>
      <c r="BA87" s="276">
        <f t="shared" si="18"/>
        <v>0</v>
      </c>
      <c r="BB87" s="276">
        <f t="shared" si="18"/>
        <v>0</v>
      </c>
      <c r="BC87" s="276">
        <f t="shared" si="18"/>
        <v>0</v>
      </c>
      <c r="BD87" s="276">
        <f t="shared" si="18"/>
        <v>0</v>
      </c>
      <c r="BE87" s="276">
        <f t="shared" si="18"/>
        <v>0</v>
      </c>
      <c r="BF87" s="276">
        <f t="shared" si="18"/>
        <v>0</v>
      </c>
      <c r="BG87" s="276">
        <f t="shared" si="18"/>
        <v>0</v>
      </c>
      <c r="BH87" s="276">
        <f t="shared" si="18"/>
        <v>0</v>
      </c>
      <c r="BI87" s="276">
        <f t="shared" si="18"/>
        <v>0</v>
      </c>
      <c r="BJ87" s="276">
        <f t="shared" si="18"/>
        <v>0</v>
      </c>
      <c r="BK87" s="276">
        <f t="shared" si="18"/>
        <v>0</v>
      </c>
      <c r="BL87" s="276">
        <f t="shared" si="18"/>
        <v>0</v>
      </c>
    </row>
    <row r="88" spans="2:64" s="282" customFormat="1" x14ac:dyDescent="0.15">
      <c r="C88" s="283" t="s">
        <v>239</v>
      </c>
      <c r="E88" s="282">
        <f>-IF(E5&gt;Leadsheet!$E$12,Leadsheet!$E$57*E$85*E42/$D$42,Leadsheet!$E$57*E$85*D15)</f>
        <v>-5.0000000000000001E-3</v>
      </c>
      <c r="F88" s="282">
        <f>-IF(F5&gt;Leadsheet!$E$12,Leadsheet!$E$57*F$85*F42/$D$42,Leadsheet!$E$57*F$85*E15)</f>
        <v>-2.9260000000000006E-4</v>
      </c>
      <c r="G88" s="282">
        <f>-IF(G5&gt;Leadsheet!$E$12,Leadsheet!$E$57*G$85*G42/$D$42,Leadsheet!$E$57*G$85*F15)</f>
        <v>-2.6733361223772999E-4</v>
      </c>
      <c r="H88" s="282">
        <f>-IF(H5&gt;Leadsheet!$E$12,Leadsheet!$E$57*H$85*H42/$D$42,Leadsheet!$E$57*H$85*G15)</f>
        <v>-2.5931360387059806E-4</v>
      </c>
      <c r="I88" s="282">
        <f>-IF(I5&gt;Leadsheet!$E$12,Leadsheet!$E$57*I$85*I42/$D$42,Leadsheet!$E$57*I$85*H15)</f>
        <v>-2.5672046783189209E-4</v>
      </c>
      <c r="J88" s="282">
        <f>-IF(J5&gt;Leadsheet!$E$12,Leadsheet!$E$57*J$85*J42/$D$42,Leadsheet!$E$57*J$85*I15)</f>
        <v>-2.5415326315357317E-4</v>
      </c>
      <c r="K88" s="282">
        <f>-IF(K5&gt;Leadsheet!$E$12,Leadsheet!$E$57*K$85*K42/$D$42,Leadsheet!$E$57*K$85*J15)</f>
        <v>-2.5288249683780534E-4</v>
      </c>
      <c r="L88" s="282">
        <f>-IF(L5&gt;Leadsheet!$E$12,Leadsheet!$E$57*L$85*L42/$D$42,Leadsheet!$E$57*L$85*K15)</f>
        <v>0</v>
      </c>
      <c r="M88" s="282">
        <f>-IF(M5&gt;Leadsheet!$E$12,Leadsheet!$E$57*M$85*M42/$D$42,Leadsheet!$E$57*M$85*L15)</f>
        <v>0</v>
      </c>
      <c r="N88" s="282">
        <f>-IF(N5&gt;Leadsheet!$E$12,Leadsheet!$E$57*N$85*N42/$D$42,Leadsheet!$E$57*N$85*M15)</f>
        <v>0</v>
      </c>
      <c r="O88" s="282">
        <f>-IF(O5&gt;Leadsheet!$E$12,Leadsheet!$E$57*O$85*O42/$D$42,Leadsheet!$E$57*O$85*N15)</f>
        <v>0</v>
      </c>
      <c r="P88" s="282">
        <f>-IF(P5&gt;Leadsheet!$E$12,Leadsheet!$E$57*P$85*P42/$D$42,Leadsheet!$E$57*P$85*O15)</f>
        <v>0</v>
      </c>
      <c r="Q88" s="282">
        <f>-IF(Q5&gt;Leadsheet!$E$12,Leadsheet!$E$57*Q$85*Q42/$D$42,Leadsheet!$E$57*Q$85*P15)</f>
        <v>0</v>
      </c>
      <c r="R88" s="282">
        <f>-IF(R5&gt;Leadsheet!$E$12,Leadsheet!$E$57*R$85*R42/$D$42,Leadsheet!$E$57*R$85*Q15)</f>
        <v>0</v>
      </c>
      <c r="S88" s="282">
        <f>-IF(S5&gt;Leadsheet!$E$12,Leadsheet!$E$57*S$85*S42/$D$42,Leadsheet!$E$57*S$85*R15)</f>
        <v>0</v>
      </c>
      <c r="T88" s="282">
        <f>-IF(T5&gt;Leadsheet!$E$12,Leadsheet!$E$57*T$85*T42/$D$42,Leadsheet!$E$57*T$85*S15)</f>
        <v>0</v>
      </c>
      <c r="U88" s="282">
        <f>-IF(U5&gt;Leadsheet!$E$12,Leadsheet!$E$57*U$85*U42/$D$42,Leadsheet!$E$57*U$85*T15)</f>
        <v>0</v>
      </c>
      <c r="V88" s="282">
        <f>-IF(V5&gt;Leadsheet!$E$12,Leadsheet!$E$57*V$85*V42/$D$42,Leadsheet!$E$57*V$85*U15)</f>
        <v>0</v>
      </c>
      <c r="W88" s="282">
        <f>-IF(W5&gt;Leadsheet!$E$12,Leadsheet!$E$57*W$85*W42/$D$42,Leadsheet!$E$57*W$85*V15)</f>
        <v>0</v>
      </c>
      <c r="X88" s="282">
        <f>-IF(X5&gt;Leadsheet!$E$12,Leadsheet!$E$57*X$85*X42/$D$42,Leadsheet!$E$57*X$85*W15)</f>
        <v>0</v>
      </c>
      <c r="Y88" s="282">
        <f>-IF(Y5&gt;Leadsheet!$E$12,Leadsheet!$E$57*Y$85*Y42/$D$42,Leadsheet!$E$57*Y$85*X15)</f>
        <v>0</v>
      </c>
      <c r="Z88" s="282">
        <f>-IF(Z5&gt;Leadsheet!$E$12,Leadsheet!$E$57*Z$85*Z42/$D$42,Leadsheet!$E$57*Z$85*Y15)</f>
        <v>0</v>
      </c>
      <c r="AA88" s="282">
        <f>-IF(AA5&gt;Leadsheet!$E$12,Leadsheet!$E$57*AA$85*AA42/$D$42,Leadsheet!$E$57*AA$85*Z15)</f>
        <v>0</v>
      </c>
      <c r="AB88" s="282">
        <f>-IF(AB5&gt;Leadsheet!$E$12,Leadsheet!$E$57*AB$85*AB42/$D$42,Leadsheet!$E$57*AB$85*AA15)</f>
        <v>0</v>
      </c>
      <c r="AC88" s="282">
        <f>-IF(AC5&gt;Leadsheet!$E$12,Leadsheet!$E$57*AC$85*AC42/$D$42,Leadsheet!$E$57*AC$85*AB15)</f>
        <v>0</v>
      </c>
      <c r="AD88" s="282">
        <f>-IF(AD5&gt;Leadsheet!$E$12,Leadsheet!$E$57*AD$85*AD42/$D$42,Leadsheet!$E$57*AD$85*AC15)</f>
        <v>0</v>
      </c>
      <c r="AE88" s="282">
        <f>-IF(AE5&gt;Leadsheet!$E$12,Leadsheet!$E$57*AE$85*AE42/$D$42,Leadsheet!$E$57*AE$85*AD15)</f>
        <v>0</v>
      </c>
      <c r="AF88" s="282">
        <f>-IF(AF5&gt;Leadsheet!$E$12,Leadsheet!$E$57*AF$85*AF42/$D$42,Leadsheet!$E$57*AF$85*AE15)</f>
        <v>0</v>
      </c>
      <c r="AG88" s="282">
        <f>-IF(AG5&gt;Leadsheet!$E$12,Leadsheet!$E$57*AG$85*AG42/$D$42,Leadsheet!$E$57*AG$85*AF15)</f>
        <v>0</v>
      </c>
      <c r="AH88" s="282">
        <f>-IF(AH5&gt;Leadsheet!$E$12,Leadsheet!$E$57*AH$85*AH42/$D$42,Leadsheet!$E$57*AH$85*AG15)</f>
        <v>0</v>
      </c>
      <c r="AI88" s="282">
        <f>-IF(AI5&gt;Leadsheet!$E$12,Leadsheet!$E$57*AI$85*AI42/$D$42,Leadsheet!$E$57*AI$85*AH15)</f>
        <v>0</v>
      </c>
      <c r="AJ88" s="282">
        <f>-IF(AJ5&gt;Leadsheet!$E$12,Leadsheet!$E$57*AJ$85*AJ42/$D$42,Leadsheet!$E$57*AJ$85*AI15)</f>
        <v>0</v>
      </c>
      <c r="AK88" s="282">
        <f>-IF(AK5&gt;Leadsheet!$E$12,Leadsheet!$E$57*AK$85*AK42/$D$42,Leadsheet!$E$57*AK$85*AJ15)</f>
        <v>0</v>
      </c>
      <c r="AL88" s="282">
        <f>-IF(AL5&gt;Leadsheet!$E$12,Leadsheet!$E$57*AL$85*AL42/$D$42,Leadsheet!$E$57*AL$85*AK15)</f>
        <v>0</v>
      </c>
      <c r="AM88" s="282">
        <f>-IF(AM5&gt;Leadsheet!$E$12,Leadsheet!$E$57*AM$85*AM42/$D$42,Leadsheet!$E$57*AM$85*AL15)</f>
        <v>0</v>
      </c>
      <c r="AN88" s="282">
        <f>-IF(AN5&gt;Leadsheet!$E$12,Leadsheet!$E$57*AN$85*AN42/$D$42,Leadsheet!$E$57*AN$85*AM15)</f>
        <v>0</v>
      </c>
      <c r="AO88" s="282">
        <f>-IF(AO5&gt;Leadsheet!$E$12,Leadsheet!$E$57*AO$85*AO42/$D$42,Leadsheet!$E$57*AO$85*AN15)</f>
        <v>0</v>
      </c>
      <c r="AP88" s="282">
        <f>-IF(AP5&gt;Leadsheet!$E$12,Leadsheet!$E$57*AP$85*AP42/$D$42,Leadsheet!$E$57*AP$85*AO15)</f>
        <v>0</v>
      </c>
      <c r="AQ88" s="282">
        <f>-IF(AQ5&gt;Leadsheet!$E$12,Leadsheet!$E$57*AQ$85*AQ42/$D$42,Leadsheet!$E$57*AQ$85*AP15)</f>
        <v>0</v>
      </c>
      <c r="AR88" s="282">
        <f>-IF(AR5&gt;Leadsheet!$E$12,Leadsheet!$E$57*AR$85*AR42/$D$42,Leadsheet!$E$57*AR$85*AQ15)</f>
        <v>0</v>
      </c>
      <c r="AS88" s="282">
        <f>-IF(AS5&gt;Leadsheet!$E$12,Leadsheet!$E$57*AS$85*AS42/$D$42,Leadsheet!$E$57*AS$85*AR15)</f>
        <v>0</v>
      </c>
      <c r="AT88" s="282">
        <f>-IF(AT5&gt;Leadsheet!$E$12,Leadsheet!$E$57*AT$85*AT42/$D$42,Leadsheet!$E$57*AT$85*AS15)</f>
        <v>0</v>
      </c>
      <c r="AU88" s="282">
        <f>-IF(AU5&gt;Leadsheet!$E$12,Leadsheet!$E$57*AU$85*AU42/$D$42,Leadsheet!$E$57*AU$85*AT15)</f>
        <v>0</v>
      </c>
      <c r="AV88" s="282">
        <f>-IF(AV5&gt;Leadsheet!$E$12,Leadsheet!$E$57*AV$85*AV42/$D$42,Leadsheet!$E$57*AV$85*AU15)</f>
        <v>0</v>
      </c>
      <c r="AW88" s="282">
        <f>-IF(AW5&gt;Leadsheet!$E$12,Leadsheet!$E$57*AW$85*AW42/$D$42,Leadsheet!$E$57*AW$85*AV15)</f>
        <v>0</v>
      </c>
      <c r="AX88" s="282">
        <f>-IF(AX5&gt;Leadsheet!$E$12,Leadsheet!$E$57*AX$85*AX42/$D$42,Leadsheet!$E$57*AX$85*AW15)</f>
        <v>0</v>
      </c>
      <c r="AY88" s="282">
        <f>-IF(AY5&gt;Leadsheet!$E$12,Leadsheet!$E$57*AY$85*AY42/$D$42,Leadsheet!$E$57*AY$85*AX15)</f>
        <v>0</v>
      </c>
      <c r="AZ88" s="282">
        <f>-IF(AZ5&gt;Leadsheet!$E$12,Leadsheet!$E$57*AZ$85*AZ42/$D$42,Leadsheet!$E$57*AZ$85*AY15)</f>
        <v>0</v>
      </c>
      <c r="BA88" s="282">
        <f>-IF(BA5&gt;Leadsheet!$E$12,Leadsheet!$E$57*BA$85*BA42/$D$42,Leadsheet!$E$57*BA$85*AZ15)</f>
        <v>0</v>
      </c>
      <c r="BB88" s="282">
        <f>-IF(BB5&gt;Leadsheet!$E$12,Leadsheet!$E$57*BB$85*BB42/$D$42,Leadsheet!$E$57*BB$85*BA15)</f>
        <v>0</v>
      </c>
      <c r="BC88" s="282">
        <f>-IF(BC5&gt;Leadsheet!$E$12,Leadsheet!$E$57*BC$85*BC42/$D$42,Leadsheet!$E$57*BC$85*BB15)</f>
        <v>0</v>
      </c>
      <c r="BD88" s="282">
        <f>-IF(BD5&gt;Leadsheet!$E$12,Leadsheet!$E$57*BD$85*BD42/$D$42,Leadsheet!$E$57*BD$85*BC15)</f>
        <v>0</v>
      </c>
      <c r="BE88" s="282">
        <f>-IF(BE5&gt;Leadsheet!$E$12,Leadsheet!$E$57*BE$85*BE42/$D$42,Leadsheet!$E$57*BE$85*BD15)</f>
        <v>0</v>
      </c>
      <c r="BF88" s="282">
        <f>-IF(BF5&gt;Leadsheet!$E$12,Leadsheet!$E$57*BF$85*BF42/$D$42,Leadsheet!$E$57*BF$85*BE15)</f>
        <v>0</v>
      </c>
      <c r="BG88" s="282">
        <f>-IF(BG5&gt;Leadsheet!$E$12,Leadsheet!$E$57*BG$85*BG42/$D$42,Leadsheet!$E$57*BG$85*BF15)</f>
        <v>0</v>
      </c>
      <c r="BH88" s="282">
        <f>-IF(BH5&gt;Leadsheet!$E$12,Leadsheet!$E$57*BH$85*BH42/$D$42,Leadsheet!$E$57*BH$85*BG15)</f>
        <v>0</v>
      </c>
      <c r="BI88" s="282">
        <f>-IF(BI5&gt;Leadsheet!$E$12,Leadsheet!$E$57*BI$85*BI42/$D$42,Leadsheet!$E$57*BI$85*BH15)</f>
        <v>0</v>
      </c>
      <c r="BJ88" s="282">
        <f>-IF(BJ5&gt;Leadsheet!$E$12,Leadsheet!$E$57*BJ$85*BJ42/$D$42,Leadsheet!$E$57*BJ$85*BI15)</f>
        <v>0</v>
      </c>
      <c r="BK88" s="282">
        <f>-IF(BK5&gt;Leadsheet!$E$12,Leadsheet!$E$57*BK$85*BK42/$D$42,Leadsheet!$E$57*BK$85*BJ15)</f>
        <v>0</v>
      </c>
      <c r="BL88" s="282">
        <f>-IF(BL5&gt;Leadsheet!$E$12,Leadsheet!$E$57*BL$85*BL42/$D$42,Leadsheet!$E$57*BL$85*BK15)</f>
        <v>0</v>
      </c>
    </row>
    <row r="89" spans="2:64" x14ac:dyDescent="0.15">
      <c r="C89" s="185" t="s">
        <v>240</v>
      </c>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c r="BH89" s="161"/>
      <c r="BI89" s="161"/>
      <c r="BJ89" s="161"/>
      <c r="BK89" s="161"/>
      <c r="BL89" s="161"/>
    </row>
    <row r="90" spans="2:64" x14ac:dyDescent="0.15">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c r="BH90" s="161"/>
      <c r="BI90" s="161"/>
      <c r="BJ90" s="161"/>
      <c r="BK90" s="161"/>
      <c r="BL90" s="161"/>
    </row>
    <row r="91" spans="2:64" x14ac:dyDescent="0.15">
      <c r="B91" s="163" t="s">
        <v>407</v>
      </c>
      <c r="E91" s="260">
        <f>SUM(E92:E93)</f>
        <v>-1E-3</v>
      </c>
      <c r="F91" s="260">
        <f t="shared" ref="F91:BL91" si="19">SUM(F92:F93)</f>
        <v>0</v>
      </c>
      <c r="G91" s="260">
        <f t="shared" si="19"/>
        <v>0</v>
      </c>
      <c r="H91" s="260">
        <f t="shared" si="19"/>
        <v>0</v>
      </c>
      <c r="I91" s="260">
        <f t="shared" si="19"/>
        <v>0</v>
      </c>
      <c r="J91" s="260">
        <f t="shared" si="19"/>
        <v>0</v>
      </c>
      <c r="K91" s="260">
        <f t="shared" si="19"/>
        <v>0</v>
      </c>
      <c r="L91" s="260">
        <f t="shared" si="19"/>
        <v>0</v>
      </c>
      <c r="M91" s="260">
        <f t="shared" si="19"/>
        <v>0</v>
      </c>
      <c r="N91" s="260">
        <f t="shared" si="19"/>
        <v>0</v>
      </c>
      <c r="O91" s="260">
        <f t="shared" si="19"/>
        <v>0</v>
      </c>
      <c r="P91" s="260">
        <f t="shared" si="19"/>
        <v>0</v>
      </c>
      <c r="Q91" s="260">
        <f t="shared" si="19"/>
        <v>0</v>
      </c>
      <c r="R91" s="260">
        <f t="shared" si="19"/>
        <v>0</v>
      </c>
      <c r="S91" s="260">
        <f t="shared" si="19"/>
        <v>0</v>
      </c>
      <c r="T91" s="260">
        <f t="shared" si="19"/>
        <v>0</v>
      </c>
      <c r="U91" s="260">
        <f t="shared" si="19"/>
        <v>0</v>
      </c>
      <c r="V91" s="260">
        <f t="shared" si="19"/>
        <v>0</v>
      </c>
      <c r="W91" s="260">
        <f t="shared" si="19"/>
        <v>0</v>
      </c>
      <c r="X91" s="260">
        <f t="shared" si="19"/>
        <v>0</v>
      </c>
      <c r="Y91" s="260">
        <f t="shared" si="19"/>
        <v>0</v>
      </c>
      <c r="Z91" s="260">
        <f t="shared" si="19"/>
        <v>0</v>
      </c>
      <c r="AA91" s="260">
        <f t="shared" si="19"/>
        <v>0</v>
      </c>
      <c r="AB91" s="260">
        <f t="shared" si="19"/>
        <v>0</v>
      </c>
      <c r="AC91" s="260">
        <f t="shared" si="19"/>
        <v>0</v>
      </c>
      <c r="AD91" s="260">
        <f t="shared" si="19"/>
        <v>0</v>
      </c>
      <c r="AE91" s="260">
        <f t="shared" si="19"/>
        <v>0</v>
      </c>
      <c r="AF91" s="260">
        <f t="shared" si="19"/>
        <v>0</v>
      </c>
      <c r="AG91" s="260">
        <f t="shared" si="19"/>
        <v>0</v>
      </c>
      <c r="AH91" s="260">
        <f t="shared" si="19"/>
        <v>0</v>
      </c>
      <c r="AI91" s="260">
        <f t="shared" si="19"/>
        <v>0</v>
      </c>
      <c r="AJ91" s="260">
        <f t="shared" si="19"/>
        <v>0</v>
      </c>
      <c r="AK91" s="260">
        <f t="shared" si="19"/>
        <v>0</v>
      </c>
      <c r="AL91" s="260">
        <f t="shared" si="19"/>
        <v>0</v>
      </c>
      <c r="AM91" s="260">
        <f t="shared" si="19"/>
        <v>0</v>
      </c>
      <c r="AN91" s="260">
        <f t="shared" si="19"/>
        <v>0</v>
      </c>
      <c r="AO91" s="260">
        <f t="shared" si="19"/>
        <v>0</v>
      </c>
      <c r="AP91" s="260">
        <f t="shared" si="19"/>
        <v>0</v>
      </c>
      <c r="AQ91" s="260">
        <f t="shared" si="19"/>
        <v>0</v>
      </c>
      <c r="AR91" s="260">
        <f t="shared" si="19"/>
        <v>0</v>
      </c>
      <c r="AS91" s="260">
        <f t="shared" si="19"/>
        <v>0</v>
      </c>
      <c r="AT91" s="260">
        <f t="shared" si="19"/>
        <v>0</v>
      </c>
      <c r="AU91" s="260">
        <f t="shared" si="19"/>
        <v>0</v>
      </c>
      <c r="AV91" s="260">
        <f t="shared" si="19"/>
        <v>0</v>
      </c>
      <c r="AW91" s="260">
        <f t="shared" si="19"/>
        <v>0</v>
      </c>
      <c r="AX91" s="260">
        <f t="shared" si="19"/>
        <v>0</v>
      </c>
      <c r="AY91" s="260">
        <f t="shared" si="19"/>
        <v>0</v>
      </c>
      <c r="AZ91" s="260">
        <f t="shared" si="19"/>
        <v>0</v>
      </c>
      <c r="BA91" s="260">
        <f t="shared" si="19"/>
        <v>0</v>
      </c>
      <c r="BB91" s="260">
        <f t="shared" si="19"/>
        <v>0</v>
      </c>
      <c r="BC91" s="260">
        <f t="shared" si="19"/>
        <v>0</v>
      </c>
      <c r="BD91" s="260">
        <f t="shared" si="19"/>
        <v>0</v>
      </c>
      <c r="BE91" s="260">
        <f t="shared" si="19"/>
        <v>0</v>
      </c>
      <c r="BF91" s="260">
        <f t="shared" si="19"/>
        <v>0</v>
      </c>
      <c r="BG91" s="260">
        <f t="shared" si="19"/>
        <v>0</v>
      </c>
      <c r="BH91" s="260">
        <f t="shared" si="19"/>
        <v>0</v>
      </c>
      <c r="BI91" s="260">
        <f t="shared" si="19"/>
        <v>0</v>
      </c>
      <c r="BJ91" s="260">
        <f t="shared" si="19"/>
        <v>0</v>
      </c>
      <c r="BK91" s="260">
        <f t="shared" si="19"/>
        <v>0</v>
      </c>
      <c r="BL91" s="260">
        <f t="shared" si="19"/>
        <v>0</v>
      </c>
    </row>
    <row r="92" spans="2:64" x14ac:dyDescent="0.15">
      <c r="B92" s="163"/>
      <c r="C92" s="89" t="s">
        <v>408</v>
      </c>
      <c r="E92" s="161">
        <f>IF(E5&gt;Leadsheet!$E$12,0,-E15*Leadsheet!$E$64)</f>
        <v>-1E-3</v>
      </c>
      <c r="F92" s="161">
        <f>IF(F5&gt;Leadsheet!$E$12,0,-F15*Leadsheet!$E$64)</f>
        <v>0</v>
      </c>
      <c r="G92" s="161">
        <f>IF(G5&gt;Leadsheet!$E$12,0,-G15*Leadsheet!$E$64)</f>
        <v>0</v>
      </c>
      <c r="H92" s="161">
        <f>IF(H5&gt;Leadsheet!$E$12,0,-H15*Leadsheet!$E$64)</f>
        <v>0</v>
      </c>
      <c r="I92" s="161">
        <f>IF(I5&gt;Leadsheet!$E$12,0,-I15*Leadsheet!$E$64)</f>
        <v>0</v>
      </c>
      <c r="J92" s="161">
        <f>IF(J5&gt;Leadsheet!$E$12,0,-J15*Leadsheet!$E$64)</f>
        <v>0</v>
      </c>
      <c r="K92" s="161">
        <f>IF(K5&gt;Leadsheet!$E$12,0,-K15*Leadsheet!$E$64)</f>
        <v>0</v>
      </c>
      <c r="L92" s="161">
        <f>IF(L5&gt;Leadsheet!$E$12,0,-L15*Leadsheet!$E$64)</f>
        <v>0</v>
      </c>
      <c r="M92" s="161">
        <f>IF(M5&gt;Leadsheet!$E$12,0,-M15*Leadsheet!$E$64)</f>
        <v>0</v>
      </c>
      <c r="N92" s="161">
        <f>IF(N5&gt;Leadsheet!$E$12,0,-N15*Leadsheet!$E$64)</f>
        <v>0</v>
      </c>
      <c r="O92" s="161">
        <f>IF(O5&gt;Leadsheet!$E$12,0,-O15*Leadsheet!$E$64)</f>
        <v>0</v>
      </c>
      <c r="P92" s="161">
        <f>IF(P5&gt;Leadsheet!$E$12,0,-P15*Leadsheet!$E$64)</f>
        <v>0</v>
      </c>
      <c r="Q92" s="161">
        <f>IF(Q5&gt;Leadsheet!$E$12,0,-Q15*Leadsheet!$E$64)</f>
        <v>0</v>
      </c>
      <c r="R92" s="161">
        <f>IF(R5&gt;Leadsheet!$E$12,0,-R15*Leadsheet!$E$64)</f>
        <v>0</v>
      </c>
      <c r="S92" s="161">
        <f>IF(S5&gt;Leadsheet!$E$12,0,-S15*Leadsheet!$E$64)</f>
        <v>0</v>
      </c>
      <c r="T92" s="161">
        <f>IF(T5&gt;Leadsheet!$E$12,0,-T15*Leadsheet!$E$64)</f>
        <v>0</v>
      </c>
      <c r="U92" s="161">
        <f>IF(U5&gt;Leadsheet!$E$12,0,-U15*Leadsheet!$E$64)</f>
        <v>0</v>
      </c>
      <c r="V92" s="161">
        <f>IF(V5&gt;Leadsheet!$E$12,0,-V15*Leadsheet!$E$64)</f>
        <v>0</v>
      </c>
      <c r="W92" s="161">
        <f>IF(W5&gt;Leadsheet!$E$12,0,-W15*Leadsheet!$E$64)</f>
        <v>0</v>
      </c>
      <c r="X92" s="161">
        <f>IF(X5&gt;Leadsheet!$E$12,0,-X15*Leadsheet!$E$64)</f>
        <v>0</v>
      </c>
      <c r="Y92" s="161">
        <f>IF(Y5&gt;Leadsheet!$E$12,0,-Y15*Leadsheet!$E$64)</f>
        <v>0</v>
      </c>
      <c r="Z92" s="161">
        <f>IF(Z5&gt;Leadsheet!$E$12,0,-Z15*Leadsheet!$E$64)</f>
        <v>0</v>
      </c>
      <c r="AA92" s="161">
        <f>IF(AA5&gt;Leadsheet!$E$12,0,-AA15*Leadsheet!$E$64)</f>
        <v>0</v>
      </c>
      <c r="AB92" s="161">
        <f>IF(AB5&gt;Leadsheet!$E$12,0,-AB15*Leadsheet!$E$64)</f>
        <v>0</v>
      </c>
      <c r="AC92" s="161">
        <f>IF(AC5&gt;Leadsheet!$E$12,0,-AC15*Leadsheet!$E$64)</f>
        <v>0</v>
      </c>
      <c r="AD92" s="161">
        <f>IF(AD5&gt;Leadsheet!$E$12,0,-AD15*Leadsheet!$E$64)</f>
        <v>0</v>
      </c>
      <c r="AE92" s="161">
        <f>IF(AE5&gt;Leadsheet!$E$12,0,-AE15*Leadsheet!$E$64)</f>
        <v>0</v>
      </c>
      <c r="AF92" s="161">
        <f>IF(AF5&gt;Leadsheet!$E$12,0,-AF15*Leadsheet!$E$64)</f>
        <v>0</v>
      </c>
      <c r="AG92" s="161">
        <f>IF(AG5&gt;Leadsheet!$E$12,0,-AG15*Leadsheet!$E$64)</f>
        <v>0</v>
      </c>
      <c r="AH92" s="161">
        <f>IF(AH5&gt;Leadsheet!$E$12,0,-AH15*Leadsheet!$E$64)</f>
        <v>0</v>
      </c>
      <c r="AI92" s="161">
        <f>IF(AI5&gt;Leadsheet!$E$12,0,-AI15*Leadsheet!$E$64)</f>
        <v>0</v>
      </c>
      <c r="AJ92" s="161">
        <f>IF(AJ5&gt;Leadsheet!$E$12,0,-AJ15*Leadsheet!$E$64)</f>
        <v>0</v>
      </c>
      <c r="AK92" s="161">
        <f>IF(AK5&gt;Leadsheet!$E$12,0,-AK15*Leadsheet!$E$64)</f>
        <v>0</v>
      </c>
      <c r="AL92" s="161">
        <f>IF(AL5&gt;Leadsheet!$E$12,0,-AL15*Leadsheet!$E$64)</f>
        <v>0</v>
      </c>
      <c r="AM92" s="161">
        <f>IF(AM5&gt;Leadsheet!$E$12,0,-AM15*Leadsheet!$E$64)</f>
        <v>0</v>
      </c>
      <c r="AN92" s="161">
        <f>IF(AN5&gt;Leadsheet!$E$12,0,-AN15*Leadsheet!$E$64)</f>
        <v>0</v>
      </c>
      <c r="AO92" s="161">
        <f>IF(AO5&gt;Leadsheet!$E$12,0,-AO15*Leadsheet!$E$64)</f>
        <v>0</v>
      </c>
      <c r="AP92" s="161">
        <f>IF(AP5&gt;Leadsheet!$E$12,0,-AP15*Leadsheet!$E$64)</f>
        <v>0</v>
      </c>
      <c r="AQ92" s="161">
        <f>IF(AQ5&gt;Leadsheet!$E$12,0,-AQ15*Leadsheet!$E$64)</f>
        <v>0</v>
      </c>
      <c r="AR92" s="161">
        <f>IF(AR5&gt;Leadsheet!$E$12,0,-AR15*Leadsheet!$E$64)</f>
        <v>0</v>
      </c>
      <c r="AS92" s="161">
        <f>IF(AS5&gt;Leadsheet!$E$12,0,-AS15*Leadsheet!$E$64)</f>
        <v>0</v>
      </c>
      <c r="AT92" s="161">
        <f>IF(AT5&gt;Leadsheet!$E$12,0,-AT15*Leadsheet!$E$64)</f>
        <v>0</v>
      </c>
      <c r="AU92" s="161">
        <f>IF(AU5&gt;Leadsheet!$E$12,0,-AU15*Leadsheet!$E$64)</f>
        <v>0</v>
      </c>
      <c r="AV92" s="161">
        <f>IF(AV5&gt;Leadsheet!$E$12,0,-AV15*Leadsheet!$E$64)</f>
        <v>0</v>
      </c>
      <c r="AW92" s="161">
        <f>IF(AW5&gt;Leadsheet!$E$12,0,-AW15*Leadsheet!$E$64)</f>
        <v>0</v>
      </c>
      <c r="AX92" s="161">
        <f>IF(AX5&gt;Leadsheet!$E$12,0,-AX15*Leadsheet!$E$64)</f>
        <v>0</v>
      </c>
      <c r="AY92" s="161">
        <f>IF(AY5&gt;Leadsheet!$E$12,0,-AY15*Leadsheet!$E$64)</f>
        <v>0</v>
      </c>
      <c r="AZ92" s="161">
        <f>IF(AZ5&gt;Leadsheet!$E$12,0,-AZ15*Leadsheet!$E$64)</f>
        <v>0</v>
      </c>
      <c r="BA92" s="161">
        <f>IF(BA5&gt;Leadsheet!$E$12,0,-BA15*Leadsheet!$E$64)</f>
        <v>0</v>
      </c>
      <c r="BB92" s="161">
        <f>IF(BB5&gt;Leadsheet!$E$12,0,-BB15*Leadsheet!$E$64)</f>
        <v>0</v>
      </c>
      <c r="BC92" s="161">
        <f>IF(BC5&gt;Leadsheet!$E$12,0,-BC15*Leadsheet!$E$64)</f>
        <v>0</v>
      </c>
      <c r="BD92" s="161">
        <f>IF(BD5&gt;Leadsheet!$E$12,0,-BD15*Leadsheet!$E$64)</f>
        <v>0</v>
      </c>
      <c r="BE92" s="161">
        <f>IF(BE5&gt;Leadsheet!$E$12,0,-BE15*Leadsheet!$E$64)</f>
        <v>0</v>
      </c>
      <c r="BF92" s="161">
        <f>IF(BF5&gt;Leadsheet!$E$12,0,-BF15*Leadsheet!$E$64)</f>
        <v>0</v>
      </c>
      <c r="BG92" s="161">
        <f>IF(BG5&gt;Leadsheet!$E$12,0,-BG15*Leadsheet!$E$64)</f>
        <v>0</v>
      </c>
      <c r="BH92" s="161">
        <f>IF(BH5&gt;Leadsheet!$E$12,0,-BH15*Leadsheet!$E$64)</f>
        <v>0</v>
      </c>
      <c r="BI92" s="161">
        <f>IF(BI5&gt;Leadsheet!$E$12,0,-BI15*Leadsheet!$E$64)</f>
        <v>0</v>
      </c>
      <c r="BJ92" s="161">
        <f>IF(BJ5&gt;Leadsheet!$E$12,0,-BJ15*Leadsheet!$E$64)</f>
        <v>0</v>
      </c>
      <c r="BK92" s="161">
        <f>IF(BK5&gt;Leadsheet!$E$12,0,-BK15*Leadsheet!$E$64)</f>
        <v>0</v>
      </c>
      <c r="BL92" s="161">
        <f>IF(BL5&gt;Leadsheet!$E$12,0,-BL15*Leadsheet!$E$64)</f>
        <v>0</v>
      </c>
    </row>
    <row r="93" spans="2:64" x14ac:dyDescent="0.15">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row>
    <row r="94" spans="2:64" x14ac:dyDescent="0.15">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row>
    <row r="95" spans="2:64" s="163" customFormat="1" x14ac:dyDescent="0.15">
      <c r="B95" s="163" t="s">
        <v>409</v>
      </c>
      <c r="E95" s="260">
        <f>SUM(E96:E99)</f>
        <v>-6.4646964276037999E-2</v>
      </c>
      <c r="F95" s="260">
        <f t="shared" ref="F95:BL95" si="20">SUM(F96:F99)</f>
        <v>0</v>
      </c>
      <c r="G95" s="260">
        <f t="shared" si="20"/>
        <v>0</v>
      </c>
      <c r="H95" s="260">
        <f t="shared" si="20"/>
        <v>0</v>
      </c>
      <c r="I95" s="260">
        <f t="shared" si="20"/>
        <v>0</v>
      </c>
      <c r="J95" s="260">
        <f t="shared" si="20"/>
        <v>0</v>
      </c>
      <c r="K95" s="260">
        <f t="shared" si="20"/>
        <v>0</v>
      </c>
      <c r="L95" s="260">
        <f t="shared" si="20"/>
        <v>0</v>
      </c>
      <c r="M95" s="260">
        <f t="shared" si="20"/>
        <v>0</v>
      </c>
      <c r="N95" s="260">
        <f t="shared" si="20"/>
        <v>0</v>
      </c>
      <c r="O95" s="260">
        <f t="shared" si="20"/>
        <v>0</v>
      </c>
      <c r="P95" s="260">
        <f t="shared" si="20"/>
        <v>0</v>
      </c>
      <c r="Q95" s="260">
        <f t="shared" si="20"/>
        <v>0</v>
      </c>
      <c r="R95" s="260">
        <f t="shared" si="20"/>
        <v>0</v>
      </c>
      <c r="S95" s="260">
        <f t="shared" si="20"/>
        <v>0</v>
      </c>
      <c r="T95" s="260">
        <f t="shared" si="20"/>
        <v>0</v>
      </c>
      <c r="U95" s="260">
        <f t="shared" si="20"/>
        <v>0</v>
      </c>
      <c r="V95" s="260">
        <f t="shared" si="20"/>
        <v>0</v>
      </c>
      <c r="W95" s="260">
        <f t="shared" si="20"/>
        <v>0</v>
      </c>
      <c r="X95" s="260">
        <f t="shared" si="20"/>
        <v>0</v>
      </c>
      <c r="Y95" s="260">
        <f t="shared" si="20"/>
        <v>0</v>
      </c>
      <c r="Z95" s="260">
        <f t="shared" si="20"/>
        <v>0</v>
      </c>
      <c r="AA95" s="260">
        <f t="shared" si="20"/>
        <v>0</v>
      </c>
      <c r="AB95" s="260">
        <f t="shared" si="20"/>
        <v>0</v>
      </c>
      <c r="AC95" s="260">
        <f t="shared" si="20"/>
        <v>0</v>
      </c>
      <c r="AD95" s="260">
        <f t="shared" si="20"/>
        <v>0</v>
      </c>
      <c r="AE95" s="260">
        <f t="shared" si="20"/>
        <v>0</v>
      </c>
      <c r="AF95" s="260">
        <f t="shared" si="20"/>
        <v>0</v>
      </c>
      <c r="AG95" s="260">
        <f t="shared" si="20"/>
        <v>0</v>
      </c>
      <c r="AH95" s="260">
        <f t="shared" si="20"/>
        <v>0</v>
      </c>
      <c r="AI95" s="260">
        <f t="shared" si="20"/>
        <v>0</v>
      </c>
      <c r="AJ95" s="260">
        <f t="shared" si="20"/>
        <v>0</v>
      </c>
      <c r="AK95" s="260">
        <f t="shared" si="20"/>
        <v>0</v>
      </c>
      <c r="AL95" s="260">
        <f t="shared" si="20"/>
        <v>0</v>
      </c>
      <c r="AM95" s="260">
        <f t="shared" si="20"/>
        <v>0</v>
      </c>
      <c r="AN95" s="260">
        <f t="shared" si="20"/>
        <v>0</v>
      </c>
      <c r="AO95" s="260">
        <f t="shared" si="20"/>
        <v>0</v>
      </c>
      <c r="AP95" s="260">
        <f t="shared" si="20"/>
        <v>0</v>
      </c>
      <c r="AQ95" s="260">
        <f t="shared" si="20"/>
        <v>0</v>
      </c>
      <c r="AR95" s="260">
        <f t="shared" si="20"/>
        <v>0</v>
      </c>
      <c r="AS95" s="260">
        <f t="shared" si="20"/>
        <v>0</v>
      </c>
      <c r="AT95" s="260">
        <f t="shared" si="20"/>
        <v>0</v>
      </c>
      <c r="AU95" s="260">
        <f t="shared" si="20"/>
        <v>0</v>
      </c>
      <c r="AV95" s="260">
        <f t="shared" si="20"/>
        <v>0</v>
      </c>
      <c r="AW95" s="260">
        <f t="shared" si="20"/>
        <v>0</v>
      </c>
      <c r="AX95" s="260">
        <f t="shared" si="20"/>
        <v>0</v>
      </c>
      <c r="AY95" s="260">
        <f t="shared" si="20"/>
        <v>0</v>
      </c>
      <c r="AZ95" s="260">
        <f t="shared" si="20"/>
        <v>0</v>
      </c>
      <c r="BA95" s="260">
        <f t="shared" si="20"/>
        <v>0</v>
      </c>
      <c r="BB95" s="260">
        <f t="shared" si="20"/>
        <v>0</v>
      </c>
      <c r="BC95" s="260">
        <f t="shared" si="20"/>
        <v>0</v>
      </c>
      <c r="BD95" s="260">
        <f t="shared" si="20"/>
        <v>0</v>
      </c>
      <c r="BE95" s="260">
        <f t="shared" si="20"/>
        <v>0</v>
      </c>
      <c r="BF95" s="260">
        <f t="shared" si="20"/>
        <v>0</v>
      </c>
      <c r="BG95" s="260">
        <f t="shared" si="20"/>
        <v>0</v>
      </c>
      <c r="BH95" s="260">
        <f t="shared" si="20"/>
        <v>0</v>
      </c>
      <c r="BI95" s="260">
        <f t="shared" si="20"/>
        <v>0</v>
      </c>
      <c r="BJ95" s="260">
        <f t="shared" si="20"/>
        <v>0</v>
      </c>
      <c r="BK95" s="260">
        <f t="shared" si="20"/>
        <v>0</v>
      </c>
      <c r="BL95" s="260">
        <f t="shared" si="20"/>
        <v>0</v>
      </c>
    </row>
    <row r="96" spans="2:64" x14ac:dyDescent="0.15">
      <c r="C96" s="89" t="s">
        <v>152</v>
      </c>
      <c r="E96" s="161">
        <f>-IF(E$5&gt;Leadsheet!$E$12,0,Leadsheet!$E67*SAP_Speadsheet!E$85*D$15)</f>
        <v>-2.0090012189669309E-2</v>
      </c>
      <c r="F96" s="161">
        <f>-IF(F$5&gt;Leadsheet!$E$12,0,Leadsheet!$E67*SAP_Speadsheet!F$85*E$15)</f>
        <v>0</v>
      </c>
      <c r="G96" s="161">
        <f>-IF(G$5&gt;Leadsheet!$E$12,0,Leadsheet!$E67*SAP_Speadsheet!G$85*F$15)</f>
        <v>0</v>
      </c>
      <c r="H96" s="161">
        <f>-IF(H$5&gt;Leadsheet!$E$12,0,Leadsheet!$E67*SAP_Speadsheet!H$85*G$15)</f>
        <v>0</v>
      </c>
      <c r="I96" s="161">
        <f>-IF(I$5&gt;Leadsheet!$E$12,0,Leadsheet!$E67*SAP_Speadsheet!I$85*H$15)</f>
        <v>0</v>
      </c>
      <c r="J96" s="161">
        <f>-IF(J$5&gt;Leadsheet!$E$12,0,Leadsheet!$E67*SAP_Speadsheet!J$85*I$15)</f>
        <v>0</v>
      </c>
      <c r="K96" s="161">
        <f>-IF(K$5&gt;Leadsheet!$E$12,0,Leadsheet!$E67*SAP_Speadsheet!K$85*J$15)</f>
        <v>0</v>
      </c>
      <c r="L96" s="161">
        <f>-IF(L$5&gt;Leadsheet!$E$12,0,Leadsheet!$E67*SAP_Speadsheet!L$85*K$15)</f>
        <v>0</v>
      </c>
      <c r="M96" s="161">
        <f>-IF(M$5&gt;Leadsheet!$E$12,0,Leadsheet!$E67*SAP_Speadsheet!M$85*L$15)</f>
        <v>0</v>
      </c>
      <c r="N96" s="161">
        <f>-IF(N$5&gt;Leadsheet!$E$12,0,Leadsheet!$E67*SAP_Speadsheet!N$85*M$15)</f>
        <v>0</v>
      </c>
      <c r="O96" s="161">
        <f>-IF(O$5&gt;Leadsheet!$E$12,0,Leadsheet!$E67*SAP_Speadsheet!O$85*N$15)</f>
        <v>0</v>
      </c>
      <c r="P96" s="161">
        <f>-IF(P$5&gt;Leadsheet!$E$12,0,Leadsheet!$E67*SAP_Speadsheet!P$85*O$15)</f>
        <v>0</v>
      </c>
      <c r="Q96" s="161">
        <f>-IF(Q$5&gt;Leadsheet!$E$12,0,Leadsheet!$E67*SAP_Speadsheet!Q$85*P$15)</f>
        <v>0</v>
      </c>
      <c r="R96" s="161">
        <f>-IF(R$5&gt;Leadsheet!$E$12,0,Leadsheet!$E67*SAP_Speadsheet!R$85*Q$15)</f>
        <v>0</v>
      </c>
      <c r="S96" s="161">
        <f>-IF(S$5&gt;Leadsheet!$E$12,0,Leadsheet!$E67*SAP_Speadsheet!S$85*R$15)</f>
        <v>0</v>
      </c>
      <c r="T96" s="161">
        <f>-IF(T$5&gt;Leadsheet!$E$12,0,Leadsheet!$E67*SAP_Speadsheet!T$85*S$15)</f>
        <v>0</v>
      </c>
      <c r="U96" s="161">
        <f>-IF(U$5&gt;Leadsheet!$E$12,0,Leadsheet!$E67*SAP_Speadsheet!U$85*T$15)</f>
        <v>0</v>
      </c>
      <c r="V96" s="161">
        <f>-IF(V$5&gt;Leadsheet!$E$12,0,Leadsheet!$E67*SAP_Speadsheet!V$85*U$15)</f>
        <v>0</v>
      </c>
      <c r="W96" s="161">
        <f>-IF(W$5&gt;Leadsheet!$E$12,0,Leadsheet!$E67*SAP_Speadsheet!W$85*V$15)</f>
        <v>0</v>
      </c>
      <c r="X96" s="161">
        <f>-IF(X$5&gt;Leadsheet!$E$12,0,Leadsheet!$E67*SAP_Speadsheet!X$85*W$15)</f>
        <v>0</v>
      </c>
      <c r="Y96" s="161">
        <f>-IF(Y$5&gt;Leadsheet!$E$12,0,Leadsheet!$E67*SAP_Speadsheet!Y$85*X$15)</f>
        <v>0</v>
      </c>
      <c r="Z96" s="161">
        <f>-IF(Z$5&gt;Leadsheet!$E$12,0,Leadsheet!$E67*SAP_Speadsheet!Z$85*Y$15)</f>
        <v>0</v>
      </c>
      <c r="AA96" s="161">
        <f>-IF(AA$5&gt;Leadsheet!$E$12,0,Leadsheet!$E67*SAP_Speadsheet!AA$85*Z$15)</f>
        <v>0</v>
      </c>
      <c r="AB96" s="161">
        <f>-IF(AB$5&gt;Leadsheet!$E$12,0,Leadsheet!$E67*SAP_Speadsheet!AB$85*AA$15)</f>
        <v>0</v>
      </c>
      <c r="AC96" s="161">
        <f>-IF(AC$5&gt;Leadsheet!$E$12,0,Leadsheet!$E67*SAP_Speadsheet!AC$85*AB$15)</f>
        <v>0</v>
      </c>
      <c r="AD96" s="161">
        <f>-IF(AD$5&gt;Leadsheet!$E$12,0,Leadsheet!$E67*SAP_Speadsheet!AD$85*AC$15)</f>
        <v>0</v>
      </c>
      <c r="AE96" s="161">
        <f>-IF(AE$5&gt;Leadsheet!$E$12,0,Leadsheet!$E67*SAP_Speadsheet!AE$85*AD$15)</f>
        <v>0</v>
      </c>
      <c r="AF96" s="161">
        <f>-IF(AF$5&gt;Leadsheet!$E$12,0,Leadsheet!$E67*SAP_Speadsheet!AF$85*AE$15)</f>
        <v>0</v>
      </c>
      <c r="AG96" s="161">
        <f>-IF(AG$5&gt;Leadsheet!$E$12,0,Leadsheet!$E67*SAP_Speadsheet!AG$85*AF$15)</f>
        <v>0</v>
      </c>
      <c r="AH96" s="161">
        <f>-IF(AH$5&gt;Leadsheet!$E$12,0,Leadsheet!$E67*SAP_Speadsheet!AH$85*AG$15)</f>
        <v>0</v>
      </c>
      <c r="AI96" s="161">
        <f>-IF(AI$5&gt;Leadsheet!$E$12,0,Leadsheet!$E67*SAP_Speadsheet!AI$85*AH$15)</f>
        <v>0</v>
      </c>
      <c r="AJ96" s="161">
        <f>-IF(AJ$5&gt;Leadsheet!$E$12,0,Leadsheet!$E67*SAP_Speadsheet!AJ$85*AI$15)</f>
        <v>0</v>
      </c>
      <c r="AK96" s="161">
        <f>-IF(AK$5&gt;Leadsheet!$E$12,0,Leadsheet!$E67*SAP_Speadsheet!AK$85*AJ$15)</f>
        <v>0</v>
      </c>
      <c r="AL96" s="161">
        <f>-IF(AL$5&gt;Leadsheet!$E$12,0,Leadsheet!$E67*SAP_Speadsheet!AL$85*AK$15)</f>
        <v>0</v>
      </c>
      <c r="AM96" s="161">
        <f>-IF(AM$5&gt;Leadsheet!$E$12,0,Leadsheet!$E67*SAP_Speadsheet!AM$85*AL$15)</f>
        <v>0</v>
      </c>
      <c r="AN96" s="161">
        <f>-IF(AN$5&gt;Leadsheet!$E$12,0,Leadsheet!$E67*SAP_Speadsheet!AN$85*AM$15)</f>
        <v>0</v>
      </c>
      <c r="AO96" s="161">
        <f>-IF(AO$5&gt;Leadsheet!$E$12,0,Leadsheet!$E67*SAP_Speadsheet!AO$85*AN$15)</f>
        <v>0</v>
      </c>
      <c r="AP96" s="161">
        <f>-IF(AP$5&gt;Leadsheet!$E$12,0,Leadsheet!$E67*SAP_Speadsheet!AP$85*AO$15)</f>
        <v>0</v>
      </c>
      <c r="AQ96" s="161">
        <f>-IF(AQ$5&gt;Leadsheet!$E$12,0,Leadsheet!$E67*SAP_Speadsheet!AQ$85*AP$15)</f>
        <v>0</v>
      </c>
      <c r="AR96" s="161">
        <f>-IF(AR$5&gt;Leadsheet!$E$12,0,Leadsheet!$E67*SAP_Speadsheet!AR$85*AQ$15)</f>
        <v>0</v>
      </c>
      <c r="AS96" s="161">
        <f>-IF(AS$5&gt;Leadsheet!$E$12,0,Leadsheet!$E67*SAP_Speadsheet!AS$85*AR$15)</f>
        <v>0</v>
      </c>
      <c r="AT96" s="161">
        <f>-IF(AT$5&gt;Leadsheet!$E$12,0,Leadsheet!$E67*SAP_Speadsheet!AT$85*AS$15)</f>
        <v>0</v>
      </c>
      <c r="AU96" s="161">
        <f>-IF(AU$5&gt;Leadsheet!$E$12,0,Leadsheet!$E67*SAP_Speadsheet!AU$85*AT$15)</f>
        <v>0</v>
      </c>
      <c r="AV96" s="161">
        <f>-IF(AV$5&gt;Leadsheet!$E$12,0,Leadsheet!$E67*SAP_Speadsheet!AV$85*AU$15)</f>
        <v>0</v>
      </c>
      <c r="AW96" s="161">
        <f>-IF(AW$5&gt;Leadsheet!$E$12,0,Leadsheet!$E67*SAP_Speadsheet!AW$85*AV$15)</f>
        <v>0</v>
      </c>
      <c r="AX96" s="161">
        <f>-IF(AX$5&gt;Leadsheet!$E$12,0,Leadsheet!$E67*SAP_Speadsheet!AX$85*AW$15)</f>
        <v>0</v>
      </c>
      <c r="AY96" s="161">
        <f>-IF(AY$5&gt;Leadsheet!$E$12,0,Leadsheet!$E67*SAP_Speadsheet!AY$85*AX$15)</f>
        <v>0</v>
      </c>
      <c r="AZ96" s="161">
        <f>-IF(AZ$5&gt;Leadsheet!$E$12,0,Leadsheet!$E67*SAP_Speadsheet!AZ$85*AY$15)</f>
        <v>0</v>
      </c>
      <c r="BA96" s="161">
        <f>-IF(BA$5&gt;Leadsheet!$E$12,0,Leadsheet!$E67*SAP_Speadsheet!BA$85*AZ$15)</f>
        <v>0</v>
      </c>
      <c r="BB96" s="161">
        <f>-IF(BB$5&gt;Leadsheet!$E$12,0,Leadsheet!$E67*SAP_Speadsheet!BB$85*BA$15)</f>
        <v>0</v>
      </c>
      <c r="BC96" s="161">
        <f>-IF(BC$5&gt;Leadsheet!$E$12,0,Leadsheet!$E67*SAP_Speadsheet!BC$85*BB$15)</f>
        <v>0</v>
      </c>
      <c r="BD96" s="161">
        <f>-IF(BD$5&gt;Leadsheet!$E$12,0,Leadsheet!$E67*SAP_Speadsheet!BD$85*BC$15)</f>
        <v>0</v>
      </c>
      <c r="BE96" s="161">
        <f>-IF(BE$5&gt;Leadsheet!$E$12,0,Leadsheet!$E67*SAP_Speadsheet!BE$85*BD$15)</f>
        <v>0</v>
      </c>
      <c r="BF96" s="161">
        <f>-IF(BF$5&gt;Leadsheet!$E$12,0,Leadsheet!$E67*SAP_Speadsheet!BF$85*BE$15)</f>
        <v>0</v>
      </c>
      <c r="BG96" s="161">
        <f>-IF(BG$5&gt;Leadsheet!$E$12,0,Leadsheet!$E67*SAP_Speadsheet!BG$85*BF$15)</f>
        <v>0</v>
      </c>
      <c r="BH96" s="161">
        <f>-IF(BH$5&gt;Leadsheet!$E$12,0,Leadsheet!$E67*SAP_Speadsheet!BH$85*BG$15)</f>
        <v>0</v>
      </c>
      <c r="BI96" s="161">
        <f>-IF(BI$5&gt;Leadsheet!$E$12,0,Leadsheet!$E67*SAP_Speadsheet!BI$85*BH$15)</f>
        <v>0</v>
      </c>
      <c r="BJ96" s="161">
        <f>-IF(BJ$5&gt;Leadsheet!$E$12,0,Leadsheet!$E67*SAP_Speadsheet!BJ$85*BI$15)</f>
        <v>0</v>
      </c>
      <c r="BK96" s="161">
        <f>-IF(BK$5&gt;Leadsheet!$E$12,0,Leadsheet!$E67*SAP_Speadsheet!BK$85*BJ$15)</f>
        <v>0</v>
      </c>
      <c r="BL96" s="161">
        <f>-IF(BL$5&gt;Leadsheet!$E$12,0,Leadsheet!$E67*SAP_Speadsheet!BL$85*BK$15)</f>
        <v>0</v>
      </c>
    </row>
    <row r="97" spans="1:64" x14ac:dyDescent="0.15">
      <c r="C97" s="89" t="s">
        <v>154</v>
      </c>
      <c r="E97" s="161">
        <f>-IF(E$5&gt;Leadsheet!$E$12,0,Leadsheet!$E68*SAP_Speadsheet!E$85*D$15)</f>
        <v>-1.1815846505735611E-2</v>
      </c>
      <c r="F97" s="161">
        <f>-IF(F$5&gt;Leadsheet!$E$12,0,Leadsheet!$E68*SAP_Speadsheet!F$85*E$15)</f>
        <v>0</v>
      </c>
      <c r="G97" s="161">
        <f>-IF(G$5&gt;Leadsheet!$E$12,0,Leadsheet!$E68*SAP_Speadsheet!G$85*F$15)</f>
        <v>0</v>
      </c>
      <c r="H97" s="161">
        <f>-IF(H$5&gt;Leadsheet!$E$12,0,Leadsheet!$E68*SAP_Speadsheet!H$85*G$15)</f>
        <v>0</v>
      </c>
      <c r="I97" s="161">
        <f>-IF(I$5&gt;Leadsheet!$E$12,0,Leadsheet!$E68*SAP_Speadsheet!I$85*H$15)</f>
        <v>0</v>
      </c>
      <c r="J97" s="161">
        <f>-IF(J$5&gt;Leadsheet!$E$12,0,Leadsheet!$E68*SAP_Speadsheet!J$85*I$15)</f>
        <v>0</v>
      </c>
      <c r="K97" s="161">
        <f>-IF(K$5&gt;Leadsheet!$E$12,0,Leadsheet!$E68*SAP_Speadsheet!K$85*J$15)</f>
        <v>0</v>
      </c>
      <c r="L97" s="161">
        <f>-IF(L$5&gt;Leadsheet!$E$12,0,Leadsheet!$E68*SAP_Speadsheet!L$85*K$15)</f>
        <v>0</v>
      </c>
      <c r="M97" s="161">
        <f>-IF(M$5&gt;Leadsheet!$E$12,0,Leadsheet!$E68*SAP_Speadsheet!M$85*L$15)</f>
        <v>0</v>
      </c>
      <c r="N97" s="161">
        <f>-IF(N$5&gt;Leadsheet!$E$12,0,Leadsheet!$E68*SAP_Speadsheet!N$85*M$15)</f>
        <v>0</v>
      </c>
      <c r="O97" s="161">
        <f>-IF(O$5&gt;Leadsheet!$E$12,0,Leadsheet!$E68*SAP_Speadsheet!O$85*N$15)</f>
        <v>0</v>
      </c>
      <c r="P97" s="161">
        <f>-IF(P$5&gt;Leadsheet!$E$12,0,Leadsheet!$E68*SAP_Speadsheet!P$85*O$15)</f>
        <v>0</v>
      </c>
      <c r="Q97" s="161">
        <f>-IF(Q$5&gt;Leadsheet!$E$12,0,Leadsheet!$E68*SAP_Speadsheet!Q$85*P$15)</f>
        <v>0</v>
      </c>
      <c r="R97" s="161">
        <f>-IF(R$5&gt;Leadsheet!$E$12,0,Leadsheet!$E68*SAP_Speadsheet!R$85*Q$15)</f>
        <v>0</v>
      </c>
      <c r="S97" s="161">
        <f>-IF(S$5&gt;Leadsheet!$E$12,0,Leadsheet!$E68*SAP_Speadsheet!S$85*R$15)</f>
        <v>0</v>
      </c>
      <c r="T97" s="161">
        <f>-IF(T$5&gt;Leadsheet!$E$12,0,Leadsheet!$E68*SAP_Speadsheet!T$85*S$15)</f>
        <v>0</v>
      </c>
      <c r="U97" s="161">
        <f>-IF(U$5&gt;Leadsheet!$E$12,0,Leadsheet!$E68*SAP_Speadsheet!U$85*T$15)</f>
        <v>0</v>
      </c>
      <c r="V97" s="161">
        <f>-IF(V$5&gt;Leadsheet!$E$12,0,Leadsheet!$E68*SAP_Speadsheet!V$85*U$15)</f>
        <v>0</v>
      </c>
      <c r="W97" s="161">
        <f>-IF(W$5&gt;Leadsheet!$E$12,0,Leadsheet!$E68*SAP_Speadsheet!W$85*V$15)</f>
        <v>0</v>
      </c>
      <c r="X97" s="161">
        <f>-IF(X$5&gt;Leadsheet!$E$12,0,Leadsheet!$E68*SAP_Speadsheet!X$85*W$15)</f>
        <v>0</v>
      </c>
      <c r="Y97" s="161">
        <f>-IF(Y$5&gt;Leadsheet!$E$12,0,Leadsheet!$E68*SAP_Speadsheet!Y$85*X$15)</f>
        <v>0</v>
      </c>
      <c r="Z97" s="161">
        <f>-IF(Z$5&gt;Leadsheet!$E$12,0,Leadsheet!$E68*SAP_Speadsheet!Z$85*Y$15)</f>
        <v>0</v>
      </c>
      <c r="AA97" s="161">
        <f>-IF(AA$5&gt;Leadsheet!$E$12,0,Leadsheet!$E68*SAP_Speadsheet!AA$85*Z$15)</f>
        <v>0</v>
      </c>
      <c r="AB97" s="161">
        <f>-IF(AB$5&gt;Leadsheet!$E$12,0,Leadsheet!$E68*SAP_Speadsheet!AB$85*AA$15)</f>
        <v>0</v>
      </c>
      <c r="AC97" s="161">
        <f>-IF(AC$5&gt;Leadsheet!$E$12,0,Leadsheet!$E68*SAP_Speadsheet!AC$85*AB$15)</f>
        <v>0</v>
      </c>
      <c r="AD97" s="161">
        <f>-IF(AD$5&gt;Leadsheet!$E$12,0,Leadsheet!$E68*SAP_Speadsheet!AD$85*AC$15)</f>
        <v>0</v>
      </c>
      <c r="AE97" s="161">
        <f>-IF(AE$5&gt;Leadsheet!$E$12,0,Leadsheet!$E68*SAP_Speadsheet!AE$85*AD$15)</f>
        <v>0</v>
      </c>
      <c r="AF97" s="161">
        <f>-IF(AF$5&gt;Leadsheet!$E$12,0,Leadsheet!$E68*SAP_Speadsheet!AF$85*AE$15)</f>
        <v>0</v>
      </c>
      <c r="AG97" s="161">
        <f>-IF(AG$5&gt;Leadsheet!$E$12,0,Leadsheet!$E68*SAP_Speadsheet!AG$85*AF$15)</f>
        <v>0</v>
      </c>
      <c r="AH97" s="161">
        <f>-IF(AH$5&gt;Leadsheet!$E$12,0,Leadsheet!$E68*SAP_Speadsheet!AH$85*AG$15)</f>
        <v>0</v>
      </c>
      <c r="AI97" s="161">
        <f>-IF(AI$5&gt;Leadsheet!$E$12,0,Leadsheet!$E68*SAP_Speadsheet!AI$85*AH$15)</f>
        <v>0</v>
      </c>
      <c r="AJ97" s="161">
        <f>-IF(AJ$5&gt;Leadsheet!$E$12,0,Leadsheet!$E68*SAP_Speadsheet!AJ$85*AI$15)</f>
        <v>0</v>
      </c>
      <c r="AK97" s="161">
        <f>-IF(AK$5&gt;Leadsheet!$E$12,0,Leadsheet!$E68*SAP_Speadsheet!AK$85*AJ$15)</f>
        <v>0</v>
      </c>
      <c r="AL97" s="161">
        <f>-IF(AL$5&gt;Leadsheet!$E$12,0,Leadsheet!$E68*SAP_Speadsheet!AL$85*AK$15)</f>
        <v>0</v>
      </c>
      <c r="AM97" s="161">
        <f>-IF(AM$5&gt;Leadsheet!$E$12,0,Leadsheet!$E68*SAP_Speadsheet!AM$85*AL$15)</f>
        <v>0</v>
      </c>
      <c r="AN97" s="161">
        <f>-IF(AN$5&gt;Leadsheet!$E$12,0,Leadsheet!$E68*SAP_Speadsheet!AN$85*AM$15)</f>
        <v>0</v>
      </c>
      <c r="AO97" s="161">
        <f>-IF(AO$5&gt;Leadsheet!$E$12,0,Leadsheet!$E68*SAP_Speadsheet!AO$85*AN$15)</f>
        <v>0</v>
      </c>
      <c r="AP97" s="161">
        <f>-IF(AP$5&gt;Leadsheet!$E$12,0,Leadsheet!$E68*SAP_Speadsheet!AP$85*AO$15)</f>
        <v>0</v>
      </c>
      <c r="AQ97" s="161">
        <f>-IF(AQ$5&gt;Leadsheet!$E$12,0,Leadsheet!$E68*SAP_Speadsheet!AQ$85*AP$15)</f>
        <v>0</v>
      </c>
      <c r="AR97" s="161">
        <f>-IF(AR$5&gt;Leadsheet!$E$12,0,Leadsheet!$E68*SAP_Speadsheet!AR$85*AQ$15)</f>
        <v>0</v>
      </c>
      <c r="AS97" s="161">
        <f>-IF(AS$5&gt;Leadsheet!$E$12,0,Leadsheet!$E68*SAP_Speadsheet!AS$85*AR$15)</f>
        <v>0</v>
      </c>
      <c r="AT97" s="161">
        <f>-IF(AT$5&gt;Leadsheet!$E$12,0,Leadsheet!$E68*SAP_Speadsheet!AT$85*AS$15)</f>
        <v>0</v>
      </c>
      <c r="AU97" s="161">
        <f>-IF(AU$5&gt;Leadsheet!$E$12,0,Leadsheet!$E68*SAP_Speadsheet!AU$85*AT$15)</f>
        <v>0</v>
      </c>
      <c r="AV97" s="161">
        <f>-IF(AV$5&gt;Leadsheet!$E$12,0,Leadsheet!$E68*SAP_Speadsheet!AV$85*AU$15)</f>
        <v>0</v>
      </c>
      <c r="AW97" s="161">
        <f>-IF(AW$5&gt;Leadsheet!$E$12,0,Leadsheet!$E68*SAP_Speadsheet!AW$85*AV$15)</f>
        <v>0</v>
      </c>
      <c r="AX97" s="161">
        <f>-IF(AX$5&gt;Leadsheet!$E$12,0,Leadsheet!$E68*SAP_Speadsheet!AX$85*AW$15)</f>
        <v>0</v>
      </c>
      <c r="AY97" s="161">
        <f>-IF(AY$5&gt;Leadsheet!$E$12,0,Leadsheet!$E68*SAP_Speadsheet!AY$85*AX$15)</f>
        <v>0</v>
      </c>
      <c r="AZ97" s="161">
        <f>-IF(AZ$5&gt;Leadsheet!$E$12,0,Leadsheet!$E68*SAP_Speadsheet!AZ$85*AY$15)</f>
        <v>0</v>
      </c>
      <c r="BA97" s="161">
        <f>-IF(BA$5&gt;Leadsheet!$E$12,0,Leadsheet!$E68*SAP_Speadsheet!BA$85*AZ$15)</f>
        <v>0</v>
      </c>
      <c r="BB97" s="161">
        <f>-IF(BB$5&gt;Leadsheet!$E$12,0,Leadsheet!$E68*SAP_Speadsheet!BB$85*BA$15)</f>
        <v>0</v>
      </c>
      <c r="BC97" s="161">
        <f>-IF(BC$5&gt;Leadsheet!$E$12,0,Leadsheet!$E68*SAP_Speadsheet!BC$85*BB$15)</f>
        <v>0</v>
      </c>
      <c r="BD97" s="161">
        <f>-IF(BD$5&gt;Leadsheet!$E$12,0,Leadsheet!$E68*SAP_Speadsheet!BD$85*BC$15)</f>
        <v>0</v>
      </c>
      <c r="BE97" s="161">
        <f>-IF(BE$5&gt;Leadsheet!$E$12,0,Leadsheet!$E68*SAP_Speadsheet!BE$85*BD$15)</f>
        <v>0</v>
      </c>
      <c r="BF97" s="161">
        <f>-IF(BF$5&gt;Leadsheet!$E$12,0,Leadsheet!$E68*SAP_Speadsheet!BF$85*BE$15)</f>
        <v>0</v>
      </c>
      <c r="BG97" s="161">
        <f>-IF(BG$5&gt;Leadsheet!$E$12,0,Leadsheet!$E68*SAP_Speadsheet!BG$85*BF$15)</f>
        <v>0</v>
      </c>
      <c r="BH97" s="161">
        <f>-IF(BH$5&gt;Leadsheet!$E$12,0,Leadsheet!$E68*SAP_Speadsheet!BH$85*BG$15)</f>
        <v>0</v>
      </c>
      <c r="BI97" s="161">
        <f>-IF(BI$5&gt;Leadsheet!$E$12,0,Leadsheet!$E68*SAP_Speadsheet!BI$85*BH$15)</f>
        <v>0</v>
      </c>
      <c r="BJ97" s="161">
        <f>-IF(BJ$5&gt;Leadsheet!$E$12,0,Leadsheet!$E68*SAP_Speadsheet!BJ$85*BI$15)</f>
        <v>0</v>
      </c>
      <c r="BK97" s="161">
        <f>-IF(BK$5&gt;Leadsheet!$E$12,0,Leadsheet!$E68*SAP_Speadsheet!BK$85*BJ$15)</f>
        <v>0</v>
      </c>
      <c r="BL97" s="161">
        <f>-IF(BL$5&gt;Leadsheet!$E$12,0,Leadsheet!$E68*SAP_Speadsheet!BL$85*BK$15)</f>
        <v>0</v>
      </c>
    </row>
    <row r="98" spans="1:64" x14ac:dyDescent="0.15">
      <c r="C98" s="89" t="s">
        <v>156</v>
      </c>
      <c r="E98" s="161">
        <f>-IF(E$5&gt;Leadsheet!$E$12,0,Leadsheet!$E69*SAP_Speadsheet!E$85*D$15)</f>
        <v>-1.5590188276446888E-2</v>
      </c>
      <c r="F98" s="161">
        <f>-IF(F$5&gt;Leadsheet!$E$12,0,Leadsheet!$E69*SAP_Speadsheet!F$85*E$15)</f>
        <v>0</v>
      </c>
      <c r="G98" s="161">
        <f>-IF(G$5&gt;Leadsheet!$E$12,0,Leadsheet!$E69*SAP_Speadsheet!G$85*F$15)</f>
        <v>0</v>
      </c>
      <c r="H98" s="161">
        <f>-IF(H$5&gt;Leadsheet!$E$12,0,Leadsheet!$E69*SAP_Speadsheet!H$85*G$15)</f>
        <v>0</v>
      </c>
      <c r="I98" s="161">
        <f>-IF(I$5&gt;Leadsheet!$E$12,0,Leadsheet!$E69*SAP_Speadsheet!I$85*H$15)</f>
        <v>0</v>
      </c>
      <c r="J98" s="161">
        <f>-IF(J$5&gt;Leadsheet!$E$12,0,Leadsheet!$E69*SAP_Speadsheet!J$85*I$15)</f>
        <v>0</v>
      </c>
      <c r="K98" s="161">
        <f>-IF(K$5&gt;Leadsheet!$E$12,0,Leadsheet!$E69*SAP_Speadsheet!K$85*J$15)</f>
        <v>0</v>
      </c>
      <c r="L98" s="161">
        <f>-IF(L$5&gt;Leadsheet!$E$12,0,Leadsheet!$E69*SAP_Speadsheet!L$85*K$15)</f>
        <v>0</v>
      </c>
      <c r="M98" s="161">
        <f>-IF(M$5&gt;Leadsheet!$E$12,0,Leadsheet!$E69*SAP_Speadsheet!M$85*L$15)</f>
        <v>0</v>
      </c>
      <c r="N98" s="161">
        <f>-IF(N$5&gt;Leadsheet!$E$12,0,Leadsheet!$E69*SAP_Speadsheet!N$85*M$15)</f>
        <v>0</v>
      </c>
      <c r="O98" s="161">
        <f>-IF(O$5&gt;Leadsheet!$E$12,0,Leadsheet!$E69*SAP_Speadsheet!O$85*N$15)</f>
        <v>0</v>
      </c>
      <c r="P98" s="161">
        <f>-IF(P$5&gt;Leadsheet!$E$12,0,Leadsheet!$E69*SAP_Speadsheet!P$85*O$15)</f>
        <v>0</v>
      </c>
      <c r="Q98" s="161">
        <f>-IF(Q$5&gt;Leadsheet!$E$12,0,Leadsheet!$E69*SAP_Speadsheet!Q$85*P$15)</f>
        <v>0</v>
      </c>
      <c r="R98" s="161">
        <f>-IF(R$5&gt;Leadsheet!$E$12,0,Leadsheet!$E69*SAP_Speadsheet!R$85*Q$15)</f>
        <v>0</v>
      </c>
      <c r="S98" s="161">
        <f>-IF(S$5&gt;Leadsheet!$E$12,0,Leadsheet!$E69*SAP_Speadsheet!S$85*R$15)</f>
        <v>0</v>
      </c>
      <c r="T98" s="161">
        <f>-IF(T$5&gt;Leadsheet!$E$12,0,Leadsheet!$E69*SAP_Speadsheet!T$85*S$15)</f>
        <v>0</v>
      </c>
      <c r="U98" s="161">
        <f>-IF(U$5&gt;Leadsheet!$E$12,0,Leadsheet!$E69*SAP_Speadsheet!U$85*T$15)</f>
        <v>0</v>
      </c>
      <c r="V98" s="161">
        <f>-IF(V$5&gt;Leadsheet!$E$12,0,Leadsheet!$E69*SAP_Speadsheet!V$85*U$15)</f>
        <v>0</v>
      </c>
      <c r="W98" s="161">
        <f>-IF(W$5&gt;Leadsheet!$E$12,0,Leadsheet!$E69*SAP_Speadsheet!W$85*V$15)</f>
        <v>0</v>
      </c>
      <c r="X98" s="161">
        <f>-IF(X$5&gt;Leadsheet!$E$12,0,Leadsheet!$E69*SAP_Speadsheet!X$85*W$15)</f>
        <v>0</v>
      </c>
      <c r="Y98" s="161">
        <f>-IF(Y$5&gt;Leadsheet!$E$12,0,Leadsheet!$E69*SAP_Speadsheet!Y$85*X$15)</f>
        <v>0</v>
      </c>
      <c r="Z98" s="161">
        <f>-IF(Z$5&gt;Leadsheet!$E$12,0,Leadsheet!$E69*SAP_Speadsheet!Z$85*Y$15)</f>
        <v>0</v>
      </c>
      <c r="AA98" s="161">
        <f>-IF(AA$5&gt;Leadsheet!$E$12,0,Leadsheet!$E69*SAP_Speadsheet!AA$85*Z$15)</f>
        <v>0</v>
      </c>
      <c r="AB98" s="161">
        <f>-IF(AB$5&gt;Leadsheet!$E$12,0,Leadsheet!$E69*SAP_Speadsheet!AB$85*AA$15)</f>
        <v>0</v>
      </c>
      <c r="AC98" s="161">
        <f>-IF(AC$5&gt;Leadsheet!$E$12,0,Leadsheet!$E69*SAP_Speadsheet!AC$85*AB$15)</f>
        <v>0</v>
      </c>
      <c r="AD98" s="161">
        <f>-IF(AD$5&gt;Leadsheet!$E$12,0,Leadsheet!$E69*SAP_Speadsheet!AD$85*AC$15)</f>
        <v>0</v>
      </c>
      <c r="AE98" s="161">
        <f>-IF(AE$5&gt;Leadsheet!$E$12,0,Leadsheet!$E69*SAP_Speadsheet!AE$85*AD$15)</f>
        <v>0</v>
      </c>
      <c r="AF98" s="161">
        <f>-IF(AF$5&gt;Leadsheet!$E$12,0,Leadsheet!$E69*SAP_Speadsheet!AF$85*AE$15)</f>
        <v>0</v>
      </c>
      <c r="AG98" s="161">
        <f>-IF(AG$5&gt;Leadsheet!$E$12,0,Leadsheet!$E69*SAP_Speadsheet!AG$85*AF$15)</f>
        <v>0</v>
      </c>
      <c r="AH98" s="161">
        <f>-IF(AH$5&gt;Leadsheet!$E$12,0,Leadsheet!$E69*SAP_Speadsheet!AH$85*AG$15)</f>
        <v>0</v>
      </c>
      <c r="AI98" s="161">
        <f>-IF(AI$5&gt;Leadsheet!$E$12,0,Leadsheet!$E69*SAP_Speadsheet!AI$85*AH$15)</f>
        <v>0</v>
      </c>
      <c r="AJ98" s="161">
        <f>-IF(AJ$5&gt;Leadsheet!$E$12,0,Leadsheet!$E69*SAP_Speadsheet!AJ$85*AI$15)</f>
        <v>0</v>
      </c>
      <c r="AK98" s="161">
        <f>-IF(AK$5&gt;Leadsheet!$E$12,0,Leadsheet!$E69*SAP_Speadsheet!AK$85*AJ$15)</f>
        <v>0</v>
      </c>
      <c r="AL98" s="161">
        <f>-IF(AL$5&gt;Leadsheet!$E$12,0,Leadsheet!$E69*SAP_Speadsheet!AL$85*AK$15)</f>
        <v>0</v>
      </c>
      <c r="AM98" s="161">
        <f>-IF(AM$5&gt;Leadsheet!$E$12,0,Leadsheet!$E69*SAP_Speadsheet!AM$85*AL$15)</f>
        <v>0</v>
      </c>
      <c r="AN98" s="161">
        <f>-IF(AN$5&gt;Leadsheet!$E$12,0,Leadsheet!$E69*SAP_Speadsheet!AN$85*AM$15)</f>
        <v>0</v>
      </c>
      <c r="AO98" s="161">
        <f>-IF(AO$5&gt;Leadsheet!$E$12,0,Leadsheet!$E69*SAP_Speadsheet!AO$85*AN$15)</f>
        <v>0</v>
      </c>
      <c r="AP98" s="161">
        <f>-IF(AP$5&gt;Leadsheet!$E$12,0,Leadsheet!$E69*SAP_Speadsheet!AP$85*AO$15)</f>
        <v>0</v>
      </c>
      <c r="AQ98" s="161">
        <f>-IF(AQ$5&gt;Leadsheet!$E$12,0,Leadsheet!$E69*SAP_Speadsheet!AQ$85*AP$15)</f>
        <v>0</v>
      </c>
      <c r="AR98" s="161">
        <f>-IF(AR$5&gt;Leadsheet!$E$12,0,Leadsheet!$E69*SAP_Speadsheet!AR$85*AQ$15)</f>
        <v>0</v>
      </c>
      <c r="AS98" s="161">
        <f>-IF(AS$5&gt;Leadsheet!$E$12,0,Leadsheet!$E69*SAP_Speadsheet!AS$85*AR$15)</f>
        <v>0</v>
      </c>
      <c r="AT98" s="161">
        <f>-IF(AT$5&gt;Leadsheet!$E$12,0,Leadsheet!$E69*SAP_Speadsheet!AT$85*AS$15)</f>
        <v>0</v>
      </c>
      <c r="AU98" s="161">
        <f>-IF(AU$5&gt;Leadsheet!$E$12,0,Leadsheet!$E69*SAP_Speadsheet!AU$85*AT$15)</f>
        <v>0</v>
      </c>
      <c r="AV98" s="161">
        <f>-IF(AV$5&gt;Leadsheet!$E$12,0,Leadsheet!$E69*SAP_Speadsheet!AV$85*AU$15)</f>
        <v>0</v>
      </c>
      <c r="AW98" s="161">
        <f>-IF(AW$5&gt;Leadsheet!$E$12,0,Leadsheet!$E69*SAP_Speadsheet!AW$85*AV$15)</f>
        <v>0</v>
      </c>
      <c r="AX98" s="161">
        <f>-IF(AX$5&gt;Leadsheet!$E$12,0,Leadsheet!$E69*SAP_Speadsheet!AX$85*AW$15)</f>
        <v>0</v>
      </c>
      <c r="AY98" s="161">
        <f>-IF(AY$5&gt;Leadsheet!$E$12,0,Leadsheet!$E69*SAP_Speadsheet!AY$85*AX$15)</f>
        <v>0</v>
      </c>
      <c r="AZ98" s="161">
        <f>-IF(AZ$5&gt;Leadsheet!$E$12,0,Leadsheet!$E69*SAP_Speadsheet!AZ$85*AY$15)</f>
        <v>0</v>
      </c>
      <c r="BA98" s="161">
        <f>-IF(BA$5&gt;Leadsheet!$E$12,0,Leadsheet!$E69*SAP_Speadsheet!BA$85*AZ$15)</f>
        <v>0</v>
      </c>
      <c r="BB98" s="161">
        <f>-IF(BB$5&gt;Leadsheet!$E$12,0,Leadsheet!$E69*SAP_Speadsheet!BB$85*BA$15)</f>
        <v>0</v>
      </c>
      <c r="BC98" s="161">
        <f>-IF(BC$5&gt;Leadsheet!$E$12,0,Leadsheet!$E69*SAP_Speadsheet!BC$85*BB$15)</f>
        <v>0</v>
      </c>
      <c r="BD98" s="161">
        <f>-IF(BD$5&gt;Leadsheet!$E$12,0,Leadsheet!$E69*SAP_Speadsheet!BD$85*BC$15)</f>
        <v>0</v>
      </c>
      <c r="BE98" s="161">
        <f>-IF(BE$5&gt;Leadsheet!$E$12,0,Leadsheet!$E69*SAP_Speadsheet!BE$85*BD$15)</f>
        <v>0</v>
      </c>
      <c r="BF98" s="161">
        <f>-IF(BF$5&gt;Leadsheet!$E$12,0,Leadsheet!$E69*SAP_Speadsheet!BF$85*BE$15)</f>
        <v>0</v>
      </c>
      <c r="BG98" s="161">
        <f>-IF(BG$5&gt;Leadsheet!$E$12,0,Leadsheet!$E69*SAP_Speadsheet!BG$85*BF$15)</f>
        <v>0</v>
      </c>
      <c r="BH98" s="161">
        <f>-IF(BH$5&gt;Leadsheet!$E$12,0,Leadsheet!$E69*SAP_Speadsheet!BH$85*BG$15)</f>
        <v>0</v>
      </c>
      <c r="BI98" s="161">
        <f>-IF(BI$5&gt;Leadsheet!$E$12,0,Leadsheet!$E69*SAP_Speadsheet!BI$85*BH$15)</f>
        <v>0</v>
      </c>
      <c r="BJ98" s="161">
        <f>-IF(BJ$5&gt;Leadsheet!$E$12,0,Leadsheet!$E69*SAP_Speadsheet!BJ$85*BI$15)</f>
        <v>0</v>
      </c>
      <c r="BK98" s="161">
        <f>-IF(BK$5&gt;Leadsheet!$E$12,0,Leadsheet!$E69*SAP_Speadsheet!BK$85*BJ$15)</f>
        <v>0</v>
      </c>
      <c r="BL98" s="161">
        <f>-IF(BL$5&gt;Leadsheet!$E$12,0,Leadsheet!$E69*SAP_Speadsheet!BL$85*BK$15)</f>
        <v>0</v>
      </c>
    </row>
    <row r="99" spans="1:64" x14ac:dyDescent="0.15">
      <c r="C99" s="89" t="s">
        <v>247</v>
      </c>
      <c r="E99" s="161">
        <f>-IF(E$5&gt;Leadsheet!$E$12,0,Leadsheet!$E70*SAP_Speadsheet!E$85*D$15)</f>
        <v>-1.7150917304186188E-2</v>
      </c>
      <c r="F99" s="161">
        <f>-IF(F$5&gt;Leadsheet!$E$12,0,Leadsheet!$E70*SAP_Speadsheet!F$85*E$15)</f>
        <v>0</v>
      </c>
      <c r="G99" s="161">
        <f>-IF(G$5&gt;Leadsheet!$E$12,0,Leadsheet!$E70*SAP_Speadsheet!G$85*F$15)</f>
        <v>0</v>
      </c>
      <c r="H99" s="161">
        <f>-IF(H$5&gt;Leadsheet!$E$12,0,Leadsheet!$E70*SAP_Speadsheet!H$85*G$15)</f>
        <v>0</v>
      </c>
      <c r="I99" s="161">
        <f>-IF(I$5&gt;Leadsheet!$E$12,0,Leadsheet!$E70*SAP_Speadsheet!I$85*H$15)</f>
        <v>0</v>
      </c>
      <c r="J99" s="161">
        <f>-IF(J$5&gt;Leadsheet!$E$12,0,Leadsheet!$E70*SAP_Speadsheet!J$85*I$15)</f>
        <v>0</v>
      </c>
      <c r="K99" s="161">
        <f>-IF(K$5&gt;Leadsheet!$E$12,0,Leadsheet!$E70*SAP_Speadsheet!K$85*J$15)</f>
        <v>0</v>
      </c>
      <c r="L99" s="161">
        <f>-IF(L$5&gt;Leadsheet!$E$12,0,Leadsheet!$E70*SAP_Speadsheet!L$85*K$15)</f>
        <v>0</v>
      </c>
      <c r="M99" s="161">
        <f>-IF(M$5&gt;Leadsheet!$E$12,0,Leadsheet!$E70*SAP_Speadsheet!M$85*L$15)</f>
        <v>0</v>
      </c>
      <c r="N99" s="161">
        <f>-IF(N$5&gt;Leadsheet!$E$12,0,Leadsheet!$E70*SAP_Speadsheet!N$85*M$15)</f>
        <v>0</v>
      </c>
      <c r="O99" s="161">
        <f>-IF(O$5&gt;Leadsheet!$E$12,0,Leadsheet!$E70*SAP_Speadsheet!O$85*N$15)</f>
        <v>0</v>
      </c>
      <c r="P99" s="161">
        <f>-IF(P$5&gt;Leadsheet!$E$12,0,Leadsheet!$E70*SAP_Speadsheet!P$85*O$15)</f>
        <v>0</v>
      </c>
      <c r="Q99" s="161">
        <f>-IF(Q$5&gt;Leadsheet!$E$12,0,Leadsheet!$E70*SAP_Speadsheet!Q$85*P$15)</f>
        <v>0</v>
      </c>
      <c r="R99" s="161">
        <f>-IF(R$5&gt;Leadsheet!$E$12,0,Leadsheet!$E70*SAP_Speadsheet!R$85*Q$15)</f>
        <v>0</v>
      </c>
      <c r="S99" s="161">
        <f>-IF(S$5&gt;Leadsheet!$E$12,0,Leadsheet!$E70*SAP_Speadsheet!S$85*R$15)</f>
        <v>0</v>
      </c>
      <c r="T99" s="161">
        <f>-IF(T$5&gt;Leadsheet!$E$12,0,Leadsheet!$E70*SAP_Speadsheet!T$85*S$15)</f>
        <v>0</v>
      </c>
      <c r="U99" s="161">
        <f>-IF(U$5&gt;Leadsheet!$E$12,0,Leadsheet!$E70*SAP_Speadsheet!U$85*T$15)</f>
        <v>0</v>
      </c>
      <c r="V99" s="161">
        <f>-IF(V$5&gt;Leadsheet!$E$12,0,Leadsheet!$E70*SAP_Speadsheet!V$85*U$15)</f>
        <v>0</v>
      </c>
      <c r="W99" s="161">
        <f>-IF(W$5&gt;Leadsheet!$E$12,0,Leadsheet!$E70*SAP_Speadsheet!W$85*V$15)</f>
        <v>0</v>
      </c>
      <c r="X99" s="161">
        <f>-IF(X$5&gt;Leadsheet!$E$12,0,Leadsheet!$E70*SAP_Speadsheet!X$85*W$15)</f>
        <v>0</v>
      </c>
      <c r="Y99" s="161">
        <f>-IF(Y$5&gt;Leadsheet!$E$12,0,Leadsheet!$E70*SAP_Speadsheet!Y$85*X$15)</f>
        <v>0</v>
      </c>
      <c r="Z99" s="161">
        <f>-IF(Z$5&gt;Leadsheet!$E$12,0,Leadsheet!$E70*SAP_Speadsheet!Z$85*Y$15)</f>
        <v>0</v>
      </c>
      <c r="AA99" s="161">
        <f>-IF(AA$5&gt;Leadsheet!$E$12,0,Leadsheet!$E70*SAP_Speadsheet!AA$85*Z$15)</f>
        <v>0</v>
      </c>
      <c r="AB99" s="161">
        <f>-IF(AB$5&gt;Leadsheet!$E$12,0,Leadsheet!$E70*SAP_Speadsheet!AB$85*AA$15)</f>
        <v>0</v>
      </c>
      <c r="AC99" s="161">
        <f>-IF(AC$5&gt;Leadsheet!$E$12,0,Leadsheet!$E70*SAP_Speadsheet!AC$85*AB$15)</f>
        <v>0</v>
      </c>
      <c r="AD99" s="161">
        <f>-IF(AD$5&gt;Leadsheet!$E$12,0,Leadsheet!$E70*SAP_Speadsheet!AD$85*AC$15)</f>
        <v>0</v>
      </c>
      <c r="AE99" s="161">
        <f>-IF(AE$5&gt;Leadsheet!$E$12,0,Leadsheet!$E70*SAP_Speadsheet!AE$85*AD$15)</f>
        <v>0</v>
      </c>
      <c r="AF99" s="161">
        <f>-IF(AF$5&gt;Leadsheet!$E$12,0,Leadsheet!$E70*SAP_Speadsheet!AF$85*AE$15)</f>
        <v>0</v>
      </c>
      <c r="AG99" s="161">
        <f>-IF(AG$5&gt;Leadsheet!$E$12,0,Leadsheet!$E70*SAP_Speadsheet!AG$85*AF$15)</f>
        <v>0</v>
      </c>
      <c r="AH99" s="161">
        <f>-IF(AH$5&gt;Leadsheet!$E$12,0,Leadsheet!$E70*SAP_Speadsheet!AH$85*AG$15)</f>
        <v>0</v>
      </c>
      <c r="AI99" s="161">
        <f>-IF(AI$5&gt;Leadsheet!$E$12,0,Leadsheet!$E70*SAP_Speadsheet!AI$85*AH$15)</f>
        <v>0</v>
      </c>
      <c r="AJ99" s="161">
        <f>-IF(AJ$5&gt;Leadsheet!$E$12,0,Leadsheet!$E70*SAP_Speadsheet!AJ$85*AI$15)</f>
        <v>0</v>
      </c>
      <c r="AK99" s="161">
        <f>-IF(AK$5&gt;Leadsheet!$E$12,0,Leadsheet!$E70*SAP_Speadsheet!AK$85*AJ$15)</f>
        <v>0</v>
      </c>
      <c r="AL99" s="161">
        <f>-IF(AL$5&gt;Leadsheet!$E$12,0,Leadsheet!$E70*SAP_Speadsheet!AL$85*AK$15)</f>
        <v>0</v>
      </c>
      <c r="AM99" s="161">
        <f>-IF(AM$5&gt;Leadsheet!$E$12,0,Leadsheet!$E70*SAP_Speadsheet!AM$85*AL$15)</f>
        <v>0</v>
      </c>
      <c r="AN99" s="161">
        <f>-IF(AN$5&gt;Leadsheet!$E$12,0,Leadsheet!$E70*SAP_Speadsheet!AN$85*AM$15)</f>
        <v>0</v>
      </c>
      <c r="AO99" s="161">
        <f>-IF(AO$5&gt;Leadsheet!$E$12,0,Leadsheet!$E70*SAP_Speadsheet!AO$85*AN$15)</f>
        <v>0</v>
      </c>
      <c r="AP99" s="161">
        <f>-IF(AP$5&gt;Leadsheet!$E$12,0,Leadsheet!$E70*SAP_Speadsheet!AP$85*AO$15)</f>
        <v>0</v>
      </c>
      <c r="AQ99" s="161">
        <f>-IF(AQ$5&gt;Leadsheet!$E$12,0,Leadsheet!$E70*SAP_Speadsheet!AQ$85*AP$15)</f>
        <v>0</v>
      </c>
      <c r="AR99" s="161">
        <f>-IF(AR$5&gt;Leadsheet!$E$12,0,Leadsheet!$E70*SAP_Speadsheet!AR$85*AQ$15)</f>
        <v>0</v>
      </c>
      <c r="AS99" s="161">
        <f>-IF(AS$5&gt;Leadsheet!$E$12,0,Leadsheet!$E70*SAP_Speadsheet!AS$85*AR$15)</f>
        <v>0</v>
      </c>
      <c r="AT99" s="161">
        <f>-IF(AT$5&gt;Leadsheet!$E$12,0,Leadsheet!$E70*SAP_Speadsheet!AT$85*AS$15)</f>
        <v>0</v>
      </c>
      <c r="AU99" s="161">
        <f>-IF(AU$5&gt;Leadsheet!$E$12,0,Leadsheet!$E70*SAP_Speadsheet!AU$85*AT$15)</f>
        <v>0</v>
      </c>
      <c r="AV99" s="161">
        <f>-IF(AV$5&gt;Leadsheet!$E$12,0,Leadsheet!$E70*SAP_Speadsheet!AV$85*AU$15)</f>
        <v>0</v>
      </c>
      <c r="AW99" s="161">
        <f>-IF(AW$5&gt;Leadsheet!$E$12,0,Leadsheet!$E70*SAP_Speadsheet!AW$85*AV$15)</f>
        <v>0</v>
      </c>
      <c r="AX99" s="161">
        <f>-IF(AX$5&gt;Leadsheet!$E$12,0,Leadsheet!$E70*SAP_Speadsheet!AX$85*AW$15)</f>
        <v>0</v>
      </c>
      <c r="AY99" s="161">
        <f>-IF(AY$5&gt;Leadsheet!$E$12,0,Leadsheet!$E70*SAP_Speadsheet!AY$85*AX$15)</f>
        <v>0</v>
      </c>
      <c r="AZ99" s="161">
        <f>-IF(AZ$5&gt;Leadsheet!$E$12,0,Leadsheet!$E70*SAP_Speadsheet!AZ$85*AY$15)</f>
        <v>0</v>
      </c>
      <c r="BA99" s="161">
        <f>-IF(BA$5&gt;Leadsheet!$E$12,0,Leadsheet!$E70*SAP_Speadsheet!BA$85*AZ$15)</f>
        <v>0</v>
      </c>
      <c r="BB99" s="161">
        <f>-IF(BB$5&gt;Leadsheet!$E$12,0,Leadsheet!$E70*SAP_Speadsheet!BB$85*BA$15)</f>
        <v>0</v>
      </c>
      <c r="BC99" s="161">
        <f>-IF(BC$5&gt;Leadsheet!$E$12,0,Leadsheet!$E70*SAP_Speadsheet!BC$85*BB$15)</f>
        <v>0</v>
      </c>
      <c r="BD99" s="161">
        <f>-IF(BD$5&gt;Leadsheet!$E$12,0,Leadsheet!$E70*SAP_Speadsheet!BD$85*BC$15)</f>
        <v>0</v>
      </c>
      <c r="BE99" s="161">
        <f>-IF(BE$5&gt;Leadsheet!$E$12,0,Leadsheet!$E70*SAP_Speadsheet!BE$85*BD$15)</f>
        <v>0</v>
      </c>
      <c r="BF99" s="161">
        <f>-IF(BF$5&gt;Leadsheet!$E$12,0,Leadsheet!$E70*SAP_Speadsheet!BF$85*BE$15)</f>
        <v>0</v>
      </c>
      <c r="BG99" s="161">
        <f>-IF(BG$5&gt;Leadsheet!$E$12,0,Leadsheet!$E70*SAP_Speadsheet!BG$85*BF$15)</f>
        <v>0</v>
      </c>
      <c r="BH99" s="161">
        <f>-IF(BH$5&gt;Leadsheet!$E$12,0,Leadsheet!$E70*SAP_Speadsheet!BH$85*BG$15)</f>
        <v>0</v>
      </c>
      <c r="BI99" s="161">
        <f>-IF(BI$5&gt;Leadsheet!$E$12,0,Leadsheet!$E70*SAP_Speadsheet!BI$85*BH$15)</f>
        <v>0</v>
      </c>
      <c r="BJ99" s="161">
        <f>-IF(BJ$5&gt;Leadsheet!$E$12,0,Leadsheet!$E70*SAP_Speadsheet!BJ$85*BI$15)</f>
        <v>0</v>
      </c>
      <c r="BK99" s="161">
        <f>-IF(BK$5&gt;Leadsheet!$E$12,0,Leadsheet!$E70*SAP_Speadsheet!BK$85*BJ$15)</f>
        <v>0</v>
      </c>
      <c r="BL99" s="161">
        <f>-IF(BL$5&gt;Leadsheet!$E$12,0,Leadsheet!$E70*SAP_Speadsheet!BL$85*BK$15)</f>
        <v>0</v>
      </c>
    </row>
    <row r="100" spans="1:64" s="248" customFormat="1" x14ac:dyDescent="0.15">
      <c r="C100" s="181"/>
      <c r="D100" s="163"/>
      <c r="E100" s="284"/>
      <c r="F100" s="284"/>
      <c r="G100" s="284"/>
      <c r="H100" s="284"/>
      <c r="I100" s="284"/>
      <c r="J100" s="284"/>
      <c r="K100" s="284"/>
      <c r="L100" s="284"/>
      <c r="M100" s="284"/>
      <c r="N100" s="284"/>
      <c r="O100" s="284"/>
      <c r="P100" s="284"/>
      <c r="Q100" s="284"/>
      <c r="R100" s="284"/>
      <c r="S100" s="284"/>
      <c r="T100" s="284"/>
      <c r="U100" s="284"/>
      <c r="V100" s="284"/>
      <c r="W100" s="284"/>
      <c r="X100" s="284"/>
      <c r="Y100" s="284"/>
      <c r="Z100" s="284"/>
      <c r="AA100" s="284"/>
      <c r="AB100" s="284"/>
      <c r="AC100" s="284"/>
      <c r="AD100" s="284"/>
      <c r="AE100" s="284"/>
      <c r="AF100" s="284"/>
      <c r="AG100" s="284"/>
      <c r="AH100" s="284"/>
      <c r="AI100" s="284"/>
      <c r="AJ100" s="284"/>
      <c r="AK100" s="284"/>
      <c r="AL100" s="284"/>
      <c r="AM100" s="284"/>
      <c r="AN100" s="284"/>
      <c r="AO100" s="284"/>
      <c r="AP100" s="284"/>
      <c r="AQ100" s="284"/>
      <c r="AR100" s="284"/>
      <c r="AS100" s="284"/>
      <c r="AT100" s="284"/>
      <c r="AU100" s="284"/>
      <c r="AV100" s="284"/>
      <c r="AW100" s="284"/>
      <c r="AX100" s="284"/>
      <c r="AY100" s="284"/>
      <c r="AZ100" s="284"/>
      <c r="BA100" s="284"/>
      <c r="BB100" s="284"/>
      <c r="BC100" s="284"/>
      <c r="BD100" s="284"/>
      <c r="BE100" s="284"/>
      <c r="BF100" s="284"/>
      <c r="BG100" s="284"/>
      <c r="BH100" s="284"/>
      <c r="BI100" s="284"/>
      <c r="BJ100" s="284"/>
      <c r="BK100" s="284"/>
      <c r="BL100" s="284"/>
    </row>
    <row r="101" spans="1:64" x14ac:dyDescent="0.15">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row>
    <row r="102" spans="1:64" ht="13" thickBot="1" x14ac:dyDescent="0.2">
      <c r="A102" s="163"/>
      <c r="B102" s="253" t="s">
        <v>410</v>
      </c>
      <c r="C102" s="254"/>
      <c r="D102" s="255"/>
      <c r="E102" s="256"/>
      <c r="F102" s="255"/>
      <c r="G102" s="255"/>
      <c r="H102" s="255"/>
      <c r="I102" s="255"/>
      <c r="J102" s="255"/>
      <c r="K102" s="255"/>
      <c r="L102" s="255"/>
      <c r="M102" s="255"/>
      <c r="N102" s="255"/>
      <c r="O102" s="255"/>
      <c r="P102" s="255"/>
      <c r="Q102" s="255"/>
      <c r="R102" s="255"/>
      <c r="S102" s="255"/>
      <c r="T102" s="255"/>
      <c r="U102" s="255"/>
      <c r="V102" s="255"/>
      <c r="W102" s="255"/>
      <c r="X102" s="255"/>
      <c r="Y102" s="255"/>
      <c r="Z102" s="255"/>
      <c r="AA102" s="255"/>
      <c r="AB102" s="255"/>
      <c r="AC102" s="255"/>
      <c r="AD102" s="255"/>
      <c r="AE102" s="255"/>
      <c r="AF102" s="255"/>
      <c r="AG102" s="255"/>
      <c r="AH102" s="255"/>
      <c r="AI102" s="255"/>
      <c r="AJ102" s="255"/>
      <c r="AK102" s="255"/>
      <c r="AL102" s="255"/>
      <c r="AM102" s="255"/>
      <c r="AN102" s="255"/>
      <c r="AO102" s="255"/>
      <c r="AP102" s="255"/>
      <c r="AQ102" s="255"/>
      <c r="AR102" s="255"/>
      <c r="AS102" s="255"/>
      <c r="AT102" s="255"/>
      <c r="AU102" s="255"/>
      <c r="AV102" s="255"/>
      <c r="AW102" s="255"/>
      <c r="AX102" s="255"/>
      <c r="AY102" s="255"/>
      <c r="AZ102" s="255"/>
      <c r="BA102" s="255"/>
      <c r="BB102" s="255"/>
      <c r="BC102" s="255"/>
      <c r="BD102" s="255"/>
      <c r="BE102" s="255"/>
      <c r="BF102" s="255"/>
      <c r="BG102" s="255"/>
      <c r="BH102" s="255"/>
      <c r="BI102" s="255"/>
      <c r="BJ102" s="255"/>
      <c r="BK102" s="255"/>
      <c r="BL102" s="255"/>
    </row>
    <row r="103" spans="1:64" ht="12" thickTop="1" x14ac:dyDescent="0.15">
      <c r="C103" s="285" t="s">
        <v>411</v>
      </c>
      <c r="E103" s="89" t="s">
        <v>174</v>
      </c>
      <c r="F103" s="89" t="s">
        <v>412</v>
      </c>
      <c r="G103" s="89" t="s">
        <v>413</v>
      </c>
    </row>
    <row r="104" spans="1:64" x14ac:dyDescent="0.15">
      <c r="C104" s="89" t="s">
        <v>374</v>
      </c>
      <c r="E104" s="257">
        <f>Leadsheet!F76</f>
        <v>4.7126174626825987E-2</v>
      </c>
      <c r="F104" s="257">
        <v>7.4999999999999997E-3</v>
      </c>
      <c r="G104" s="286">
        <v>7.4999999999999997E-3</v>
      </c>
    </row>
    <row r="105" spans="1:64" x14ac:dyDescent="0.15">
      <c r="C105" s="89" t="s">
        <v>376</v>
      </c>
      <c r="E105" s="257">
        <f>Leadsheet!F77</f>
        <v>0.62008124508981566</v>
      </c>
      <c r="F105" s="257">
        <v>5.7500000000000002E-2</v>
      </c>
      <c r="G105" s="286">
        <v>5.7500000000000002E-2</v>
      </c>
    </row>
    <row r="106" spans="1:64" x14ac:dyDescent="0.15">
      <c r="C106" s="89" t="s">
        <v>377</v>
      </c>
      <c r="E106" s="257">
        <f>Leadsheet!F78</f>
        <v>0.80530031829846171</v>
      </c>
      <c r="F106" s="257">
        <v>5.7500000000000002E-2</v>
      </c>
      <c r="G106" s="286">
        <v>5.7500000000000002E-2</v>
      </c>
    </row>
    <row r="107" spans="1:64" x14ac:dyDescent="0.15">
      <c r="C107" s="89" t="s">
        <v>378</v>
      </c>
      <c r="E107" s="257">
        <f>Leadsheet!F79</f>
        <v>0.88141132408218092</v>
      </c>
      <c r="F107" s="257">
        <v>5.7500000000000002E-2</v>
      </c>
      <c r="G107" s="286">
        <v>5.7500000000000002E-2</v>
      </c>
    </row>
    <row r="108" spans="1:64" x14ac:dyDescent="0.15">
      <c r="C108" s="89" t="s">
        <v>380</v>
      </c>
      <c r="E108" s="257">
        <f>Leadsheet!F80</f>
        <v>0.90867146812596</v>
      </c>
      <c r="F108" s="257">
        <v>0.20749999999999999</v>
      </c>
      <c r="G108" s="286">
        <v>0.20749999999999999</v>
      </c>
    </row>
    <row r="109" spans="1:64" x14ac:dyDescent="0.15">
      <c r="C109" s="89" t="s">
        <v>381</v>
      </c>
      <c r="E109" s="257">
        <f>Leadsheet!F81</f>
        <v>0.91784996780400008</v>
      </c>
      <c r="F109" s="257">
        <v>0.20749999999999999</v>
      </c>
      <c r="G109" s="286">
        <v>0.20749999999999999</v>
      </c>
    </row>
    <row r="110" spans="1:64" x14ac:dyDescent="0.15">
      <c r="C110" s="89" t="s">
        <v>382</v>
      </c>
      <c r="E110" s="257">
        <f>Leadsheet!F82</f>
        <v>0.92712117959999996</v>
      </c>
      <c r="F110" s="257">
        <v>0.20749999999999999</v>
      </c>
      <c r="G110" s="286">
        <v>0.20749999999999999</v>
      </c>
    </row>
    <row r="111" spans="1:64" x14ac:dyDescent="0.15">
      <c r="C111" s="89" t="s">
        <v>384</v>
      </c>
      <c r="E111" s="257">
        <f>Leadsheet!F83</f>
        <v>0.9317800799999999</v>
      </c>
      <c r="F111" s="257">
        <v>0.50749999999999995</v>
      </c>
      <c r="G111" s="286">
        <v>0.50749999999999995</v>
      </c>
    </row>
    <row r="112" spans="1:64" x14ac:dyDescent="0.15">
      <c r="C112" s="89" t="s">
        <v>385</v>
      </c>
      <c r="E112" s="257">
        <f>Leadsheet!F84</f>
        <v>0.95079599999999986</v>
      </c>
      <c r="F112" s="257">
        <v>0.50749999999999995</v>
      </c>
      <c r="G112" s="286">
        <v>1</v>
      </c>
    </row>
    <row r="113" spans="2:64" x14ac:dyDescent="0.15">
      <c r="C113" s="89" t="s">
        <v>386</v>
      </c>
      <c r="E113" s="257">
        <f>Leadsheet!F85</f>
        <v>0.95079599999999986</v>
      </c>
      <c r="F113" s="257">
        <v>0.50749999999999995</v>
      </c>
    </row>
    <row r="114" spans="2:64" x14ac:dyDescent="0.15">
      <c r="C114" s="89" t="s">
        <v>320</v>
      </c>
      <c r="E114" s="257">
        <f>Leadsheet!F86</f>
        <v>0.95079599999999986</v>
      </c>
      <c r="F114" s="257">
        <v>0.50749999999999995</v>
      </c>
    </row>
    <row r="115" spans="2:64" x14ac:dyDescent="0.15">
      <c r="C115" s="89" t="s">
        <v>321</v>
      </c>
      <c r="E115" s="257">
        <f>Leadsheet!F87</f>
        <v>0.95079599999999986</v>
      </c>
      <c r="F115" s="257">
        <v>0.50749999999999995</v>
      </c>
    </row>
    <row r="116" spans="2:64" x14ac:dyDescent="0.15">
      <c r="C116" s="89" t="s">
        <v>322</v>
      </c>
      <c r="E116" s="257">
        <f>Leadsheet!F88</f>
        <v>0.95079599999999986</v>
      </c>
      <c r="F116" s="257">
        <v>0.50749999999999995</v>
      </c>
    </row>
    <row r="117" spans="2:64" x14ac:dyDescent="0.15">
      <c r="C117" s="89" t="s">
        <v>323</v>
      </c>
      <c r="E117" s="257">
        <f>Leadsheet!F89</f>
        <v>0.95079599999999986</v>
      </c>
      <c r="F117" s="257">
        <v>1</v>
      </c>
    </row>
    <row r="118" spans="2:64" x14ac:dyDescent="0.15">
      <c r="C118" s="89" t="s">
        <v>389</v>
      </c>
      <c r="E118" s="257">
        <f>Leadsheet!F90</f>
        <v>0.97019999999999995</v>
      </c>
      <c r="F118" s="257">
        <v>1</v>
      </c>
    </row>
    <row r="120" spans="2:64" x14ac:dyDescent="0.15">
      <c r="B120" s="163" t="s">
        <v>174</v>
      </c>
    </row>
    <row r="121" spans="2:64" s="163" customFormat="1" x14ac:dyDescent="0.15">
      <c r="C121" s="163" t="s">
        <v>414</v>
      </c>
    </row>
    <row r="122" spans="2:64" s="163" customFormat="1" x14ac:dyDescent="0.15">
      <c r="C122" s="89" t="s">
        <v>374</v>
      </c>
      <c r="E122" s="156">
        <f t="shared" ref="E122:BL126" si="21">IF(E$5&gt;$D$7,0,E25*$E104)</f>
        <v>0</v>
      </c>
      <c r="F122" s="156">
        <f t="shared" si="21"/>
        <v>0</v>
      </c>
      <c r="G122" s="156">
        <f t="shared" si="21"/>
        <v>0</v>
      </c>
      <c r="H122" s="156">
        <f t="shared" si="21"/>
        <v>0</v>
      </c>
      <c r="I122" s="156">
        <f t="shared" si="21"/>
        <v>0</v>
      </c>
      <c r="J122" s="156">
        <f t="shared" si="21"/>
        <v>0</v>
      </c>
      <c r="K122" s="156">
        <f t="shared" si="21"/>
        <v>0</v>
      </c>
      <c r="L122" s="156">
        <f t="shared" si="21"/>
        <v>0</v>
      </c>
      <c r="M122" s="156">
        <f t="shared" si="21"/>
        <v>0</v>
      </c>
      <c r="N122" s="156">
        <f t="shared" si="21"/>
        <v>0</v>
      </c>
      <c r="O122" s="156">
        <f t="shared" si="21"/>
        <v>0</v>
      </c>
      <c r="P122" s="156">
        <f t="shared" si="21"/>
        <v>0</v>
      </c>
      <c r="Q122" s="156">
        <f t="shared" si="21"/>
        <v>0</v>
      </c>
      <c r="R122" s="156">
        <f t="shared" si="21"/>
        <v>0</v>
      </c>
      <c r="S122" s="156">
        <f t="shared" si="21"/>
        <v>0</v>
      </c>
      <c r="T122" s="156">
        <f t="shared" si="21"/>
        <v>0</v>
      </c>
      <c r="U122" s="156">
        <f t="shared" si="21"/>
        <v>0</v>
      </c>
      <c r="V122" s="156">
        <f t="shared" si="21"/>
        <v>0</v>
      </c>
      <c r="W122" s="156">
        <f t="shared" si="21"/>
        <v>0</v>
      </c>
      <c r="X122" s="156">
        <f t="shared" si="21"/>
        <v>0</v>
      </c>
      <c r="Y122" s="156">
        <f t="shared" si="21"/>
        <v>0</v>
      </c>
      <c r="Z122" s="156">
        <f t="shared" si="21"/>
        <v>0</v>
      </c>
      <c r="AA122" s="156">
        <f t="shared" si="21"/>
        <v>0</v>
      </c>
      <c r="AB122" s="156">
        <f t="shared" si="21"/>
        <v>0</v>
      </c>
      <c r="AC122" s="156">
        <f t="shared" si="21"/>
        <v>0</v>
      </c>
      <c r="AD122" s="156">
        <f t="shared" si="21"/>
        <v>0</v>
      </c>
      <c r="AE122" s="156">
        <f t="shared" si="21"/>
        <v>0</v>
      </c>
      <c r="AF122" s="156">
        <f t="shared" si="21"/>
        <v>0</v>
      </c>
      <c r="AG122" s="156">
        <f t="shared" si="21"/>
        <v>0</v>
      </c>
      <c r="AH122" s="156">
        <f t="shared" si="21"/>
        <v>0</v>
      </c>
      <c r="AI122" s="156">
        <f t="shared" si="21"/>
        <v>0</v>
      </c>
      <c r="AJ122" s="156">
        <f t="shared" si="21"/>
        <v>0</v>
      </c>
      <c r="AK122" s="156">
        <f t="shared" si="21"/>
        <v>0</v>
      </c>
      <c r="AL122" s="156">
        <f t="shared" si="21"/>
        <v>0</v>
      </c>
      <c r="AM122" s="156">
        <f t="shared" si="21"/>
        <v>0</v>
      </c>
      <c r="AN122" s="156">
        <f t="shared" si="21"/>
        <v>0</v>
      </c>
      <c r="AO122" s="156">
        <f t="shared" si="21"/>
        <v>0</v>
      </c>
      <c r="AP122" s="156">
        <f t="shared" si="21"/>
        <v>0</v>
      </c>
      <c r="AQ122" s="156">
        <f t="shared" si="21"/>
        <v>0</v>
      </c>
      <c r="AR122" s="156">
        <f t="shared" si="21"/>
        <v>0</v>
      </c>
      <c r="AS122" s="156">
        <f t="shared" si="21"/>
        <v>0</v>
      </c>
      <c r="AT122" s="156">
        <f t="shared" si="21"/>
        <v>0</v>
      </c>
      <c r="AU122" s="156">
        <f t="shared" si="21"/>
        <v>0</v>
      </c>
      <c r="AV122" s="156">
        <f t="shared" si="21"/>
        <v>0</v>
      </c>
      <c r="AW122" s="156">
        <f t="shared" si="21"/>
        <v>0</v>
      </c>
      <c r="AX122" s="156">
        <f t="shared" si="21"/>
        <v>0</v>
      </c>
      <c r="AY122" s="156">
        <f t="shared" si="21"/>
        <v>0</v>
      </c>
      <c r="AZ122" s="156">
        <f t="shared" si="21"/>
        <v>0</v>
      </c>
      <c r="BA122" s="156">
        <f t="shared" si="21"/>
        <v>0</v>
      </c>
      <c r="BB122" s="156">
        <f t="shared" si="21"/>
        <v>0</v>
      </c>
      <c r="BC122" s="156">
        <f t="shared" si="21"/>
        <v>0</v>
      </c>
      <c r="BD122" s="156">
        <f t="shared" si="21"/>
        <v>0</v>
      </c>
      <c r="BE122" s="156">
        <f t="shared" si="21"/>
        <v>0</v>
      </c>
      <c r="BF122" s="156">
        <f t="shared" si="21"/>
        <v>0</v>
      </c>
      <c r="BG122" s="156">
        <f t="shared" si="21"/>
        <v>0</v>
      </c>
      <c r="BH122" s="156">
        <f t="shared" si="21"/>
        <v>0</v>
      </c>
      <c r="BI122" s="156">
        <f t="shared" si="21"/>
        <v>0</v>
      </c>
      <c r="BJ122" s="156">
        <f t="shared" si="21"/>
        <v>0</v>
      </c>
      <c r="BK122" s="156">
        <f t="shared" si="21"/>
        <v>0</v>
      </c>
      <c r="BL122" s="156">
        <f t="shared" si="21"/>
        <v>0</v>
      </c>
    </row>
    <row r="123" spans="2:64" s="163" customFormat="1" x14ac:dyDescent="0.15">
      <c r="C123" s="89" t="s">
        <v>376</v>
      </c>
      <c r="E123" s="156">
        <f t="shared" si="21"/>
        <v>0.16371398412074356</v>
      </c>
      <c r="F123" s="156">
        <f t="shared" si="21"/>
        <v>0</v>
      </c>
      <c r="G123" s="156">
        <f t="shared" si="21"/>
        <v>0</v>
      </c>
      <c r="H123" s="156">
        <f t="shared" si="21"/>
        <v>0</v>
      </c>
      <c r="I123" s="156">
        <f t="shared" si="21"/>
        <v>0</v>
      </c>
      <c r="J123" s="156">
        <f t="shared" si="21"/>
        <v>0</v>
      </c>
      <c r="K123" s="156">
        <f t="shared" si="21"/>
        <v>0</v>
      </c>
      <c r="L123" s="156">
        <f t="shared" si="21"/>
        <v>0</v>
      </c>
      <c r="M123" s="156">
        <f t="shared" si="21"/>
        <v>0</v>
      </c>
      <c r="N123" s="156">
        <f t="shared" si="21"/>
        <v>0</v>
      </c>
      <c r="O123" s="156">
        <f t="shared" si="21"/>
        <v>0</v>
      </c>
      <c r="P123" s="156">
        <f t="shared" si="21"/>
        <v>0</v>
      </c>
      <c r="Q123" s="156">
        <f t="shared" si="21"/>
        <v>0</v>
      </c>
      <c r="R123" s="156">
        <f t="shared" si="21"/>
        <v>0</v>
      </c>
      <c r="S123" s="156">
        <f t="shared" si="21"/>
        <v>0</v>
      </c>
      <c r="T123" s="156">
        <f t="shared" si="21"/>
        <v>0</v>
      </c>
      <c r="U123" s="156">
        <f t="shared" si="21"/>
        <v>0</v>
      </c>
      <c r="V123" s="156">
        <f t="shared" si="21"/>
        <v>0</v>
      </c>
      <c r="W123" s="156">
        <f t="shared" si="21"/>
        <v>0</v>
      </c>
      <c r="X123" s="156">
        <f t="shared" si="21"/>
        <v>0</v>
      </c>
      <c r="Y123" s="156">
        <f t="shared" si="21"/>
        <v>0</v>
      </c>
      <c r="Z123" s="156">
        <f t="shared" si="21"/>
        <v>0</v>
      </c>
      <c r="AA123" s="156">
        <f t="shared" si="21"/>
        <v>0</v>
      </c>
      <c r="AB123" s="156">
        <f t="shared" si="21"/>
        <v>0</v>
      </c>
      <c r="AC123" s="156">
        <f t="shared" si="21"/>
        <v>0</v>
      </c>
      <c r="AD123" s="156">
        <f t="shared" si="21"/>
        <v>0</v>
      </c>
      <c r="AE123" s="156">
        <f t="shared" si="21"/>
        <v>0</v>
      </c>
      <c r="AF123" s="156">
        <f t="shared" si="21"/>
        <v>0</v>
      </c>
      <c r="AG123" s="156">
        <f t="shared" si="21"/>
        <v>0</v>
      </c>
      <c r="AH123" s="156">
        <f t="shared" si="21"/>
        <v>0</v>
      </c>
      <c r="AI123" s="156">
        <f t="shared" si="21"/>
        <v>0</v>
      </c>
      <c r="AJ123" s="156">
        <f t="shared" si="21"/>
        <v>0</v>
      </c>
      <c r="AK123" s="156">
        <f t="shared" si="21"/>
        <v>0</v>
      </c>
      <c r="AL123" s="156">
        <f t="shared" si="21"/>
        <v>0</v>
      </c>
      <c r="AM123" s="156">
        <f t="shared" si="21"/>
        <v>0</v>
      </c>
      <c r="AN123" s="156">
        <f t="shared" si="21"/>
        <v>0</v>
      </c>
      <c r="AO123" s="156">
        <f t="shared" si="21"/>
        <v>0</v>
      </c>
      <c r="AP123" s="156">
        <f t="shared" si="21"/>
        <v>0</v>
      </c>
      <c r="AQ123" s="156">
        <f t="shared" si="21"/>
        <v>0</v>
      </c>
      <c r="AR123" s="156">
        <f t="shared" si="21"/>
        <v>0</v>
      </c>
      <c r="AS123" s="156">
        <f t="shared" si="21"/>
        <v>0</v>
      </c>
      <c r="AT123" s="156">
        <f t="shared" si="21"/>
        <v>0</v>
      </c>
      <c r="AU123" s="156">
        <f t="shared" si="21"/>
        <v>0</v>
      </c>
      <c r="AV123" s="156">
        <f t="shared" si="21"/>
        <v>0</v>
      </c>
      <c r="AW123" s="156">
        <f t="shared" si="21"/>
        <v>0</v>
      </c>
      <c r="AX123" s="156">
        <f t="shared" si="21"/>
        <v>0</v>
      </c>
      <c r="AY123" s="156">
        <f t="shared" si="21"/>
        <v>0</v>
      </c>
      <c r="AZ123" s="156">
        <f t="shared" si="21"/>
        <v>0</v>
      </c>
      <c r="BA123" s="156">
        <f t="shared" si="21"/>
        <v>0</v>
      </c>
      <c r="BB123" s="156">
        <f t="shared" si="21"/>
        <v>0</v>
      </c>
      <c r="BC123" s="156">
        <f t="shared" si="21"/>
        <v>0</v>
      </c>
      <c r="BD123" s="156">
        <f t="shared" si="21"/>
        <v>0</v>
      </c>
      <c r="BE123" s="156">
        <f t="shared" si="21"/>
        <v>0</v>
      </c>
      <c r="BF123" s="156">
        <f t="shared" si="21"/>
        <v>0</v>
      </c>
      <c r="BG123" s="156">
        <f t="shared" si="21"/>
        <v>0</v>
      </c>
      <c r="BH123" s="156">
        <f t="shared" si="21"/>
        <v>0</v>
      </c>
      <c r="BI123" s="156">
        <f t="shared" si="21"/>
        <v>0</v>
      </c>
      <c r="BJ123" s="156">
        <f t="shared" si="21"/>
        <v>0</v>
      </c>
      <c r="BK123" s="156">
        <f t="shared" si="21"/>
        <v>0</v>
      </c>
      <c r="BL123" s="156">
        <f t="shared" si="21"/>
        <v>0</v>
      </c>
    </row>
    <row r="124" spans="2:64" s="163" customFormat="1" x14ac:dyDescent="0.15">
      <c r="C124" s="89" t="s">
        <v>377</v>
      </c>
      <c r="E124" s="156">
        <f t="shared" si="21"/>
        <v>0</v>
      </c>
      <c r="F124" s="156">
        <f t="shared" si="21"/>
        <v>0.16371398412074353</v>
      </c>
      <c r="G124" s="156">
        <f t="shared" si="21"/>
        <v>0</v>
      </c>
      <c r="H124" s="156">
        <f t="shared" si="21"/>
        <v>0</v>
      </c>
      <c r="I124" s="156">
        <f t="shared" si="21"/>
        <v>0</v>
      </c>
      <c r="J124" s="156">
        <f t="shared" si="21"/>
        <v>0</v>
      </c>
      <c r="K124" s="156">
        <f t="shared" si="21"/>
        <v>0</v>
      </c>
      <c r="L124" s="156">
        <f t="shared" si="21"/>
        <v>0</v>
      </c>
      <c r="M124" s="156">
        <f t="shared" si="21"/>
        <v>0</v>
      </c>
      <c r="N124" s="156">
        <f t="shared" si="21"/>
        <v>0</v>
      </c>
      <c r="O124" s="156">
        <f t="shared" si="21"/>
        <v>0</v>
      </c>
      <c r="P124" s="156">
        <f t="shared" si="21"/>
        <v>0</v>
      </c>
      <c r="Q124" s="156">
        <f t="shared" si="21"/>
        <v>0</v>
      </c>
      <c r="R124" s="156">
        <f t="shared" si="21"/>
        <v>0</v>
      </c>
      <c r="S124" s="156">
        <f t="shared" si="21"/>
        <v>0</v>
      </c>
      <c r="T124" s="156">
        <f t="shared" si="21"/>
        <v>0</v>
      </c>
      <c r="U124" s="156">
        <f t="shared" si="21"/>
        <v>0</v>
      </c>
      <c r="V124" s="156">
        <f t="shared" si="21"/>
        <v>0</v>
      </c>
      <c r="W124" s="156">
        <f t="shared" si="21"/>
        <v>0</v>
      </c>
      <c r="X124" s="156">
        <f t="shared" si="21"/>
        <v>0</v>
      </c>
      <c r="Y124" s="156">
        <f t="shared" si="21"/>
        <v>0</v>
      </c>
      <c r="Z124" s="156">
        <f t="shared" si="21"/>
        <v>0</v>
      </c>
      <c r="AA124" s="156">
        <f t="shared" si="21"/>
        <v>0</v>
      </c>
      <c r="AB124" s="156">
        <f t="shared" si="21"/>
        <v>0</v>
      </c>
      <c r="AC124" s="156">
        <f t="shared" si="21"/>
        <v>0</v>
      </c>
      <c r="AD124" s="156">
        <f t="shared" si="21"/>
        <v>0</v>
      </c>
      <c r="AE124" s="156">
        <f t="shared" si="21"/>
        <v>0</v>
      </c>
      <c r="AF124" s="156">
        <f t="shared" si="21"/>
        <v>0</v>
      </c>
      <c r="AG124" s="156">
        <f t="shared" si="21"/>
        <v>0</v>
      </c>
      <c r="AH124" s="156">
        <f t="shared" si="21"/>
        <v>0</v>
      </c>
      <c r="AI124" s="156">
        <f t="shared" si="21"/>
        <v>0</v>
      </c>
      <c r="AJ124" s="156">
        <f t="shared" si="21"/>
        <v>0</v>
      </c>
      <c r="AK124" s="156">
        <f t="shared" si="21"/>
        <v>0</v>
      </c>
      <c r="AL124" s="156">
        <f t="shared" si="21"/>
        <v>0</v>
      </c>
      <c r="AM124" s="156">
        <f t="shared" si="21"/>
        <v>0</v>
      </c>
      <c r="AN124" s="156">
        <f t="shared" si="21"/>
        <v>0</v>
      </c>
      <c r="AO124" s="156">
        <f t="shared" si="21"/>
        <v>0</v>
      </c>
      <c r="AP124" s="156">
        <f t="shared" si="21"/>
        <v>0</v>
      </c>
      <c r="AQ124" s="156">
        <f t="shared" si="21"/>
        <v>0</v>
      </c>
      <c r="AR124" s="156">
        <f t="shared" si="21"/>
        <v>0</v>
      </c>
      <c r="AS124" s="156">
        <f t="shared" si="21"/>
        <v>0</v>
      </c>
      <c r="AT124" s="156">
        <f t="shared" si="21"/>
        <v>0</v>
      </c>
      <c r="AU124" s="156">
        <f t="shared" si="21"/>
        <v>0</v>
      </c>
      <c r="AV124" s="156">
        <f t="shared" si="21"/>
        <v>0</v>
      </c>
      <c r="AW124" s="156">
        <f t="shared" si="21"/>
        <v>0</v>
      </c>
      <c r="AX124" s="156">
        <f t="shared" si="21"/>
        <v>0</v>
      </c>
      <c r="AY124" s="156">
        <f t="shared" si="21"/>
        <v>0</v>
      </c>
      <c r="AZ124" s="156">
        <f t="shared" si="21"/>
        <v>0</v>
      </c>
      <c r="BA124" s="156">
        <f t="shared" si="21"/>
        <v>0</v>
      </c>
      <c r="BB124" s="156">
        <f t="shared" si="21"/>
        <v>0</v>
      </c>
      <c r="BC124" s="156">
        <f t="shared" si="21"/>
        <v>0</v>
      </c>
      <c r="BD124" s="156">
        <f t="shared" si="21"/>
        <v>0</v>
      </c>
      <c r="BE124" s="156">
        <f t="shared" si="21"/>
        <v>0</v>
      </c>
      <c r="BF124" s="156">
        <f t="shared" si="21"/>
        <v>0</v>
      </c>
      <c r="BG124" s="156">
        <f t="shared" si="21"/>
        <v>0</v>
      </c>
      <c r="BH124" s="156">
        <f t="shared" si="21"/>
        <v>0</v>
      </c>
      <c r="BI124" s="156">
        <f t="shared" si="21"/>
        <v>0</v>
      </c>
      <c r="BJ124" s="156">
        <f t="shared" si="21"/>
        <v>0</v>
      </c>
      <c r="BK124" s="156">
        <f t="shared" si="21"/>
        <v>0</v>
      </c>
      <c r="BL124" s="156">
        <f t="shared" si="21"/>
        <v>0</v>
      </c>
    </row>
    <row r="125" spans="2:64" s="163" customFormat="1" x14ac:dyDescent="0.15">
      <c r="C125" s="89" t="s">
        <v>378</v>
      </c>
      <c r="E125" s="156">
        <f t="shared" si="21"/>
        <v>0</v>
      </c>
      <c r="F125" s="156">
        <f t="shared" si="21"/>
        <v>0</v>
      </c>
      <c r="G125" s="156">
        <f t="shared" si="21"/>
        <v>0.16371398412074351</v>
      </c>
      <c r="H125" s="156">
        <f t="shared" si="21"/>
        <v>0</v>
      </c>
      <c r="I125" s="156">
        <f t="shared" si="21"/>
        <v>0</v>
      </c>
      <c r="J125" s="156">
        <f t="shared" si="21"/>
        <v>0</v>
      </c>
      <c r="K125" s="156">
        <f t="shared" si="21"/>
        <v>0</v>
      </c>
      <c r="L125" s="156">
        <f t="shared" si="21"/>
        <v>0</v>
      </c>
      <c r="M125" s="156">
        <f t="shared" si="21"/>
        <v>0</v>
      </c>
      <c r="N125" s="156">
        <f t="shared" si="21"/>
        <v>0</v>
      </c>
      <c r="O125" s="156">
        <f t="shared" si="21"/>
        <v>0</v>
      </c>
      <c r="P125" s="156">
        <f t="shared" si="21"/>
        <v>0</v>
      </c>
      <c r="Q125" s="156">
        <f t="shared" si="21"/>
        <v>0</v>
      </c>
      <c r="R125" s="156">
        <f t="shared" si="21"/>
        <v>0</v>
      </c>
      <c r="S125" s="156">
        <f t="shared" si="21"/>
        <v>0</v>
      </c>
      <c r="T125" s="156">
        <f t="shared" si="21"/>
        <v>0</v>
      </c>
      <c r="U125" s="156">
        <f t="shared" si="21"/>
        <v>0</v>
      </c>
      <c r="V125" s="156">
        <f t="shared" si="21"/>
        <v>0</v>
      </c>
      <c r="W125" s="156">
        <f t="shared" si="21"/>
        <v>0</v>
      </c>
      <c r="X125" s="156">
        <f t="shared" si="21"/>
        <v>0</v>
      </c>
      <c r="Y125" s="156">
        <f t="shared" si="21"/>
        <v>0</v>
      </c>
      <c r="Z125" s="156">
        <f t="shared" si="21"/>
        <v>0</v>
      </c>
      <c r="AA125" s="156">
        <f t="shared" si="21"/>
        <v>0</v>
      </c>
      <c r="AB125" s="156">
        <f t="shared" si="21"/>
        <v>0</v>
      </c>
      <c r="AC125" s="156">
        <f t="shared" si="21"/>
        <v>0</v>
      </c>
      <c r="AD125" s="156">
        <f t="shared" si="21"/>
        <v>0</v>
      </c>
      <c r="AE125" s="156">
        <f t="shared" si="21"/>
        <v>0</v>
      </c>
      <c r="AF125" s="156">
        <f t="shared" si="21"/>
        <v>0</v>
      </c>
      <c r="AG125" s="156">
        <f t="shared" si="21"/>
        <v>0</v>
      </c>
      <c r="AH125" s="156">
        <f t="shared" si="21"/>
        <v>0</v>
      </c>
      <c r="AI125" s="156">
        <f t="shared" si="21"/>
        <v>0</v>
      </c>
      <c r="AJ125" s="156">
        <f t="shared" si="21"/>
        <v>0</v>
      </c>
      <c r="AK125" s="156">
        <f t="shared" si="21"/>
        <v>0</v>
      </c>
      <c r="AL125" s="156">
        <f t="shared" si="21"/>
        <v>0</v>
      </c>
      <c r="AM125" s="156">
        <f t="shared" si="21"/>
        <v>0</v>
      </c>
      <c r="AN125" s="156">
        <f t="shared" si="21"/>
        <v>0</v>
      </c>
      <c r="AO125" s="156">
        <f t="shared" si="21"/>
        <v>0</v>
      </c>
      <c r="AP125" s="156">
        <f t="shared" si="21"/>
        <v>0</v>
      </c>
      <c r="AQ125" s="156">
        <f t="shared" si="21"/>
        <v>0</v>
      </c>
      <c r="AR125" s="156">
        <f t="shared" si="21"/>
        <v>0</v>
      </c>
      <c r="AS125" s="156">
        <f t="shared" si="21"/>
        <v>0</v>
      </c>
      <c r="AT125" s="156">
        <f t="shared" si="21"/>
        <v>0</v>
      </c>
      <c r="AU125" s="156">
        <f t="shared" si="21"/>
        <v>0</v>
      </c>
      <c r="AV125" s="156">
        <f t="shared" si="21"/>
        <v>0</v>
      </c>
      <c r="AW125" s="156">
        <f t="shared" si="21"/>
        <v>0</v>
      </c>
      <c r="AX125" s="156">
        <f t="shared" si="21"/>
        <v>0</v>
      </c>
      <c r="AY125" s="156">
        <f t="shared" si="21"/>
        <v>0</v>
      </c>
      <c r="AZ125" s="156">
        <f t="shared" si="21"/>
        <v>0</v>
      </c>
      <c r="BA125" s="156">
        <f t="shared" si="21"/>
        <v>0</v>
      </c>
      <c r="BB125" s="156">
        <f t="shared" si="21"/>
        <v>0</v>
      </c>
      <c r="BC125" s="156">
        <f t="shared" si="21"/>
        <v>0</v>
      </c>
      <c r="BD125" s="156">
        <f t="shared" si="21"/>
        <v>0</v>
      </c>
      <c r="BE125" s="156">
        <f t="shared" si="21"/>
        <v>0</v>
      </c>
      <c r="BF125" s="156">
        <f t="shared" si="21"/>
        <v>0</v>
      </c>
      <c r="BG125" s="156">
        <f t="shared" si="21"/>
        <v>0</v>
      </c>
      <c r="BH125" s="156">
        <f t="shared" si="21"/>
        <v>0</v>
      </c>
      <c r="BI125" s="156">
        <f t="shared" si="21"/>
        <v>0</v>
      </c>
      <c r="BJ125" s="156">
        <f t="shared" si="21"/>
        <v>0</v>
      </c>
      <c r="BK125" s="156">
        <f t="shared" si="21"/>
        <v>0</v>
      </c>
      <c r="BL125" s="156">
        <f t="shared" si="21"/>
        <v>0</v>
      </c>
    </row>
    <row r="126" spans="2:64" s="163" customFormat="1" x14ac:dyDescent="0.15">
      <c r="C126" s="89" t="s">
        <v>380</v>
      </c>
      <c r="E126" s="156">
        <f t="shared" si="21"/>
        <v>0</v>
      </c>
      <c r="F126" s="156">
        <f t="shared" si="21"/>
        <v>0</v>
      </c>
      <c r="G126" s="156">
        <f t="shared" si="21"/>
        <v>0</v>
      </c>
      <c r="H126" s="156">
        <f t="shared" si="21"/>
        <v>0.16371398412074356</v>
      </c>
      <c r="I126" s="156">
        <f t="shared" si="21"/>
        <v>0</v>
      </c>
      <c r="J126" s="156">
        <f t="shared" si="21"/>
        <v>0</v>
      </c>
      <c r="K126" s="156">
        <f t="shared" si="21"/>
        <v>0</v>
      </c>
      <c r="L126" s="156">
        <f t="shared" si="21"/>
        <v>0</v>
      </c>
      <c r="M126" s="156">
        <f t="shared" si="21"/>
        <v>0</v>
      </c>
      <c r="N126" s="156">
        <f t="shared" si="21"/>
        <v>0</v>
      </c>
      <c r="O126" s="156">
        <f t="shared" si="21"/>
        <v>0</v>
      </c>
      <c r="P126" s="156">
        <f t="shared" si="21"/>
        <v>0</v>
      </c>
      <c r="Q126" s="156">
        <f t="shared" si="21"/>
        <v>0</v>
      </c>
      <c r="R126" s="156">
        <f t="shared" si="21"/>
        <v>0</v>
      </c>
      <c r="S126" s="156">
        <f t="shared" si="21"/>
        <v>0</v>
      </c>
      <c r="T126" s="156">
        <f t="shared" ref="T126:BL134" si="22">IF(T$5&gt;$D$7,0,T29*$E108)</f>
        <v>0</v>
      </c>
      <c r="U126" s="156">
        <f t="shared" si="22"/>
        <v>0</v>
      </c>
      <c r="V126" s="156">
        <f t="shared" si="22"/>
        <v>0</v>
      </c>
      <c r="W126" s="156">
        <f t="shared" si="22"/>
        <v>0</v>
      </c>
      <c r="X126" s="156">
        <f t="shared" si="22"/>
        <v>0</v>
      </c>
      <c r="Y126" s="156">
        <f t="shared" si="22"/>
        <v>0</v>
      </c>
      <c r="Z126" s="156">
        <f t="shared" si="22"/>
        <v>0</v>
      </c>
      <c r="AA126" s="156">
        <f t="shared" si="22"/>
        <v>0</v>
      </c>
      <c r="AB126" s="156">
        <f t="shared" si="22"/>
        <v>0</v>
      </c>
      <c r="AC126" s="156">
        <f t="shared" si="22"/>
        <v>0</v>
      </c>
      <c r="AD126" s="156">
        <f t="shared" si="22"/>
        <v>0</v>
      </c>
      <c r="AE126" s="156">
        <f t="shared" si="22"/>
        <v>0</v>
      </c>
      <c r="AF126" s="156">
        <f t="shared" si="22"/>
        <v>0</v>
      </c>
      <c r="AG126" s="156">
        <f t="shared" si="22"/>
        <v>0</v>
      </c>
      <c r="AH126" s="156">
        <f t="shared" si="22"/>
        <v>0</v>
      </c>
      <c r="AI126" s="156">
        <f t="shared" si="22"/>
        <v>0</v>
      </c>
      <c r="AJ126" s="156">
        <f t="shared" si="22"/>
        <v>0</v>
      </c>
      <c r="AK126" s="156">
        <f t="shared" si="22"/>
        <v>0</v>
      </c>
      <c r="AL126" s="156">
        <f t="shared" si="22"/>
        <v>0</v>
      </c>
      <c r="AM126" s="156">
        <f t="shared" si="22"/>
        <v>0</v>
      </c>
      <c r="AN126" s="156">
        <f t="shared" si="22"/>
        <v>0</v>
      </c>
      <c r="AO126" s="156">
        <f t="shared" si="22"/>
        <v>0</v>
      </c>
      <c r="AP126" s="156">
        <f t="shared" si="22"/>
        <v>0</v>
      </c>
      <c r="AQ126" s="156">
        <f t="shared" si="22"/>
        <v>0</v>
      </c>
      <c r="AR126" s="156">
        <f t="shared" si="22"/>
        <v>0</v>
      </c>
      <c r="AS126" s="156">
        <f t="shared" si="22"/>
        <v>0</v>
      </c>
      <c r="AT126" s="156">
        <f t="shared" si="22"/>
        <v>0</v>
      </c>
      <c r="AU126" s="156">
        <f t="shared" si="22"/>
        <v>0</v>
      </c>
      <c r="AV126" s="156">
        <f t="shared" si="22"/>
        <v>0</v>
      </c>
      <c r="AW126" s="156">
        <f t="shared" si="22"/>
        <v>0</v>
      </c>
      <c r="AX126" s="156">
        <f t="shared" si="22"/>
        <v>0</v>
      </c>
      <c r="AY126" s="156">
        <f t="shared" si="22"/>
        <v>0</v>
      </c>
      <c r="AZ126" s="156">
        <f t="shared" si="22"/>
        <v>0</v>
      </c>
      <c r="BA126" s="156">
        <f t="shared" si="22"/>
        <v>0</v>
      </c>
      <c r="BB126" s="156">
        <f t="shared" si="22"/>
        <v>0</v>
      </c>
      <c r="BC126" s="156">
        <f t="shared" si="22"/>
        <v>0</v>
      </c>
      <c r="BD126" s="156">
        <f t="shared" si="22"/>
        <v>0</v>
      </c>
      <c r="BE126" s="156">
        <f t="shared" si="22"/>
        <v>0</v>
      </c>
      <c r="BF126" s="156">
        <f t="shared" si="22"/>
        <v>0</v>
      </c>
      <c r="BG126" s="156">
        <f t="shared" si="22"/>
        <v>0</v>
      </c>
      <c r="BH126" s="156">
        <f t="shared" si="22"/>
        <v>0</v>
      </c>
      <c r="BI126" s="156">
        <f t="shared" si="22"/>
        <v>0</v>
      </c>
      <c r="BJ126" s="156">
        <f t="shared" si="22"/>
        <v>0</v>
      </c>
      <c r="BK126" s="156">
        <f t="shared" si="22"/>
        <v>0</v>
      </c>
      <c r="BL126" s="156">
        <f t="shared" si="22"/>
        <v>0</v>
      </c>
    </row>
    <row r="127" spans="2:64" s="163" customFormat="1" x14ac:dyDescent="0.15">
      <c r="C127" s="89" t="s">
        <v>381</v>
      </c>
      <c r="E127" s="156">
        <f t="shared" ref="E127:AJ134" si="23">IF(E$5&gt;$D$7,0,E30*$E109)</f>
        <v>0</v>
      </c>
      <c r="F127" s="156">
        <f t="shared" si="23"/>
        <v>0</v>
      </c>
      <c r="G127" s="156">
        <f t="shared" si="23"/>
        <v>0</v>
      </c>
      <c r="H127" s="156">
        <f t="shared" si="23"/>
        <v>0</v>
      </c>
      <c r="I127" s="156">
        <f t="shared" si="23"/>
        <v>0.16371398412074359</v>
      </c>
      <c r="J127" s="156">
        <f t="shared" si="23"/>
        <v>0</v>
      </c>
      <c r="K127" s="156">
        <f t="shared" si="23"/>
        <v>0</v>
      </c>
      <c r="L127" s="156">
        <f t="shared" si="23"/>
        <v>0</v>
      </c>
      <c r="M127" s="156">
        <f t="shared" si="23"/>
        <v>0</v>
      </c>
      <c r="N127" s="156">
        <f t="shared" si="23"/>
        <v>0</v>
      </c>
      <c r="O127" s="156">
        <f t="shared" si="23"/>
        <v>0</v>
      </c>
      <c r="P127" s="156">
        <f t="shared" si="23"/>
        <v>0</v>
      </c>
      <c r="Q127" s="156">
        <f t="shared" si="23"/>
        <v>0</v>
      </c>
      <c r="R127" s="156">
        <f t="shared" si="23"/>
        <v>0</v>
      </c>
      <c r="S127" s="156">
        <f t="shared" si="23"/>
        <v>0</v>
      </c>
      <c r="T127" s="156">
        <f t="shared" si="23"/>
        <v>0</v>
      </c>
      <c r="U127" s="156">
        <f t="shared" si="23"/>
        <v>0</v>
      </c>
      <c r="V127" s="156">
        <f t="shared" si="23"/>
        <v>0</v>
      </c>
      <c r="W127" s="156">
        <f t="shared" si="23"/>
        <v>0</v>
      </c>
      <c r="X127" s="156">
        <f t="shared" si="23"/>
        <v>0</v>
      </c>
      <c r="Y127" s="156">
        <f t="shared" si="23"/>
        <v>0</v>
      </c>
      <c r="Z127" s="156">
        <f t="shared" si="23"/>
        <v>0</v>
      </c>
      <c r="AA127" s="156">
        <f t="shared" si="23"/>
        <v>0</v>
      </c>
      <c r="AB127" s="156">
        <f t="shared" si="23"/>
        <v>0</v>
      </c>
      <c r="AC127" s="156">
        <f t="shared" si="23"/>
        <v>0</v>
      </c>
      <c r="AD127" s="156">
        <f t="shared" si="23"/>
        <v>0</v>
      </c>
      <c r="AE127" s="156">
        <f t="shared" si="23"/>
        <v>0</v>
      </c>
      <c r="AF127" s="156">
        <f t="shared" si="23"/>
        <v>0</v>
      </c>
      <c r="AG127" s="156">
        <f t="shared" si="23"/>
        <v>0</v>
      </c>
      <c r="AH127" s="156">
        <f t="shared" si="23"/>
        <v>0</v>
      </c>
      <c r="AI127" s="156">
        <f t="shared" si="23"/>
        <v>0</v>
      </c>
      <c r="AJ127" s="156">
        <f t="shared" si="23"/>
        <v>0</v>
      </c>
      <c r="AK127" s="156">
        <f t="shared" si="22"/>
        <v>0</v>
      </c>
      <c r="AL127" s="156">
        <f t="shared" si="22"/>
        <v>0</v>
      </c>
      <c r="AM127" s="156">
        <f t="shared" si="22"/>
        <v>0</v>
      </c>
      <c r="AN127" s="156">
        <f t="shared" si="22"/>
        <v>0</v>
      </c>
      <c r="AO127" s="156">
        <f t="shared" si="22"/>
        <v>0</v>
      </c>
      <c r="AP127" s="156">
        <f t="shared" si="22"/>
        <v>0</v>
      </c>
      <c r="AQ127" s="156">
        <f t="shared" si="22"/>
        <v>0</v>
      </c>
      <c r="AR127" s="156">
        <f t="shared" si="22"/>
        <v>0</v>
      </c>
      <c r="AS127" s="156">
        <f t="shared" si="22"/>
        <v>0</v>
      </c>
      <c r="AT127" s="156">
        <f t="shared" si="22"/>
        <v>0</v>
      </c>
      <c r="AU127" s="156">
        <f t="shared" si="22"/>
        <v>0</v>
      </c>
      <c r="AV127" s="156">
        <f t="shared" si="22"/>
        <v>0</v>
      </c>
      <c r="AW127" s="156">
        <f t="shared" si="22"/>
        <v>0</v>
      </c>
      <c r="AX127" s="156">
        <f t="shared" si="22"/>
        <v>0</v>
      </c>
      <c r="AY127" s="156">
        <f t="shared" si="22"/>
        <v>0</v>
      </c>
      <c r="AZ127" s="156">
        <f t="shared" si="22"/>
        <v>0</v>
      </c>
      <c r="BA127" s="156">
        <f t="shared" si="22"/>
        <v>0</v>
      </c>
      <c r="BB127" s="156">
        <f t="shared" si="22"/>
        <v>0</v>
      </c>
      <c r="BC127" s="156">
        <f t="shared" si="22"/>
        <v>0</v>
      </c>
      <c r="BD127" s="156">
        <f t="shared" si="22"/>
        <v>0</v>
      </c>
      <c r="BE127" s="156">
        <f t="shared" si="22"/>
        <v>0</v>
      </c>
      <c r="BF127" s="156">
        <f t="shared" si="22"/>
        <v>0</v>
      </c>
      <c r="BG127" s="156">
        <f t="shared" si="22"/>
        <v>0</v>
      </c>
      <c r="BH127" s="156">
        <f t="shared" si="22"/>
        <v>0</v>
      </c>
      <c r="BI127" s="156">
        <f t="shared" si="22"/>
        <v>0</v>
      </c>
      <c r="BJ127" s="156">
        <f t="shared" si="22"/>
        <v>0</v>
      </c>
      <c r="BK127" s="156">
        <f t="shared" si="22"/>
        <v>0</v>
      </c>
      <c r="BL127" s="156">
        <f t="shared" si="22"/>
        <v>0</v>
      </c>
    </row>
    <row r="128" spans="2:64" s="163" customFormat="1" x14ac:dyDescent="0.15">
      <c r="C128" s="89" t="s">
        <v>382</v>
      </c>
      <c r="E128" s="156">
        <f t="shared" si="23"/>
        <v>0</v>
      </c>
      <c r="F128" s="156">
        <f t="shared" si="23"/>
        <v>0</v>
      </c>
      <c r="G128" s="156">
        <f t="shared" si="23"/>
        <v>0</v>
      </c>
      <c r="H128" s="156">
        <f t="shared" si="23"/>
        <v>0</v>
      </c>
      <c r="I128" s="156">
        <f t="shared" si="23"/>
        <v>0</v>
      </c>
      <c r="J128" s="156">
        <f t="shared" si="23"/>
        <v>0.16371398412074356</v>
      </c>
      <c r="K128" s="156">
        <f t="shared" si="23"/>
        <v>0</v>
      </c>
      <c r="L128" s="156">
        <f t="shared" si="23"/>
        <v>0</v>
      </c>
      <c r="M128" s="156">
        <f t="shared" si="23"/>
        <v>0</v>
      </c>
      <c r="N128" s="156">
        <f t="shared" si="23"/>
        <v>0</v>
      </c>
      <c r="O128" s="156">
        <f t="shared" si="23"/>
        <v>0</v>
      </c>
      <c r="P128" s="156">
        <f t="shared" si="23"/>
        <v>0</v>
      </c>
      <c r="Q128" s="156">
        <f t="shared" si="23"/>
        <v>0</v>
      </c>
      <c r="R128" s="156">
        <f t="shared" si="23"/>
        <v>0</v>
      </c>
      <c r="S128" s="156">
        <f t="shared" si="23"/>
        <v>0</v>
      </c>
      <c r="T128" s="156">
        <f t="shared" si="23"/>
        <v>0</v>
      </c>
      <c r="U128" s="156">
        <f t="shared" si="23"/>
        <v>0</v>
      </c>
      <c r="V128" s="156">
        <f t="shared" si="23"/>
        <v>0</v>
      </c>
      <c r="W128" s="156">
        <f t="shared" si="23"/>
        <v>0</v>
      </c>
      <c r="X128" s="156">
        <f t="shared" si="23"/>
        <v>0</v>
      </c>
      <c r="Y128" s="156">
        <f t="shared" si="23"/>
        <v>0</v>
      </c>
      <c r="Z128" s="156">
        <f t="shared" si="23"/>
        <v>0</v>
      </c>
      <c r="AA128" s="156">
        <f t="shared" si="23"/>
        <v>0</v>
      </c>
      <c r="AB128" s="156">
        <f t="shared" si="23"/>
        <v>0</v>
      </c>
      <c r="AC128" s="156">
        <f t="shared" si="23"/>
        <v>0</v>
      </c>
      <c r="AD128" s="156">
        <f t="shared" si="23"/>
        <v>0</v>
      </c>
      <c r="AE128" s="156">
        <f t="shared" si="23"/>
        <v>0</v>
      </c>
      <c r="AF128" s="156">
        <f t="shared" si="23"/>
        <v>0</v>
      </c>
      <c r="AG128" s="156">
        <f t="shared" si="23"/>
        <v>0</v>
      </c>
      <c r="AH128" s="156">
        <f t="shared" si="23"/>
        <v>0</v>
      </c>
      <c r="AI128" s="156">
        <f t="shared" si="23"/>
        <v>0</v>
      </c>
      <c r="AJ128" s="156">
        <f t="shared" si="23"/>
        <v>0</v>
      </c>
      <c r="AK128" s="156">
        <f t="shared" si="22"/>
        <v>0</v>
      </c>
      <c r="AL128" s="156">
        <f t="shared" si="22"/>
        <v>0</v>
      </c>
      <c r="AM128" s="156">
        <f t="shared" si="22"/>
        <v>0</v>
      </c>
      <c r="AN128" s="156">
        <f t="shared" si="22"/>
        <v>0</v>
      </c>
      <c r="AO128" s="156">
        <f t="shared" si="22"/>
        <v>0</v>
      </c>
      <c r="AP128" s="156">
        <f t="shared" si="22"/>
        <v>0</v>
      </c>
      <c r="AQ128" s="156">
        <f t="shared" si="22"/>
        <v>0</v>
      </c>
      <c r="AR128" s="156">
        <f t="shared" si="22"/>
        <v>0</v>
      </c>
      <c r="AS128" s="156">
        <f t="shared" si="22"/>
        <v>0</v>
      </c>
      <c r="AT128" s="156">
        <f t="shared" si="22"/>
        <v>0</v>
      </c>
      <c r="AU128" s="156">
        <f t="shared" si="22"/>
        <v>0</v>
      </c>
      <c r="AV128" s="156">
        <f t="shared" si="22"/>
        <v>0</v>
      </c>
      <c r="AW128" s="156">
        <f t="shared" si="22"/>
        <v>0</v>
      </c>
      <c r="AX128" s="156">
        <f t="shared" si="22"/>
        <v>0</v>
      </c>
      <c r="AY128" s="156">
        <f t="shared" si="22"/>
        <v>0</v>
      </c>
      <c r="AZ128" s="156">
        <f t="shared" si="22"/>
        <v>0</v>
      </c>
      <c r="BA128" s="156">
        <f t="shared" si="22"/>
        <v>0</v>
      </c>
      <c r="BB128" s="156">
        <f t="shared" si="22"/>
        <v>0</v>
      </c>
      <c r="BC128" s="156">
        <f t="shared" si="22"/>
        <v>0</v>
      </c>
      <c r="BD128" s="156">
        <f t="shared" si="22"/>
        <v>0</v>
      </c>
      <c r="BE128" s="156">
        <f t="shared" si="22"/>
        <v>0</v>
      </c>
      <c r="BF128" s="156">
        <f t="shared" si="22"/>
        <v>0</v>
      </c>
      <c r="BG128" s="156">
        <f t="shared" si="22"/>
        <v>0</v>
      </c>
      <c r="BH128" s="156">
        <f t="shared" si="22"/>
        <v>0</v>
      </c>
      <c r="BI128" s="156">
        <f t="shared" si="22"/>
        <v>0</v>
      </c>
      <c r="BJ128" s="156">
        <f t="shared" si="22"/>
        <v>0</v>
      </c>
      <c r="BK128" s="156">
        <f t="shared" si="22"/>
        <v>0</v>
      </c>
      <c r="BL128" s="156">
        <f t="shared" si="22"/>
        <v>0</v>
      </c>
    </row>
    <row r="129" spans="2:64" s="163" customFormat="1" x14ac:dyDescent="0.15">
      <c r="C129" s="89" t="s">
        <v>384</v>
      </c>
      <c r="E129" s="156">
        <f t="shared" si="23"/>
        <v>0</v>
      </c>
      <c r="F129" s="156">
        <f t="shared" si="23"/>
        <v>0</v>
      </c>
      <c r="G129" s="156">
        <f t="shared" si="23"/>
        <v>0</v>
      </c>
      <c r="H129" s="156">
        <f t="shared" si="23"/>
        <v>0</v>
      </c>
      <c r="I129" s="156">
        <f t="shared" si="23"/>
        <v>0</v>
      </c>
      <c r="J129" s="156">
        <f t="shared" si="23"/>
        <v>0</v>
      </c>
      <c r="K129" s="156">
        <f t="shared" si="23"/>
        <v>0.16371398412074356</v>
      </c>
      <c r="L129" s="156">
        <f t="shared" si="23"/>
        <v>0</v>
      </c>
      <c r="M129" s="156">
        <f t="shared" si="23"/>
        <v>0</v>
      </c>
      <c r="N129" s="156">
        <f t="shared" si="23"/>
        <v>0</v>
      </c>
      <c r="O129" s="156">
        <f t="shared" si="23"/>
        <v>0</v>
      </c>
      <c r="P129" s="156">
        <f t="shared" si="23"/>
        <v>0</v>
      </c>
      <c r="Q129" s="156">
        <f t="shared" si="23"/>
        <v>0</v>
      </c>
      <c r="R129" s="156">
        <f t="shared" si="23"/>
        <v>0</v>
      </c>
      <c r="S129" s="156">
        <f t="shared" si="23"/>
        <v>0</v>
      </c>
      <c r="T129" s="156">
        <f t="shared" si="23"/>
        <v>0</v>
      </c>
      <c r="U129" s="156">
        <f t="shared" si="23"/>
        <v>0</v>
      </c>
      <c r="V129" s="156">
        <f t="shared" si="23"/>
        <v>0</v>
      </c>
      <c r="W129" s="156">
        <f t="shared" si="23"/>
        <v>0</v>
      </c>
      <c r="X129" s="156">
        <f t="shared" si="23"/>
        <v>0</v>
      </c>
      <c r="Y129" s="156">
        <f t="shared" si="23"/>
        <v>0</v>
      </c>
      <c r="Z129" s="156">
        <f t="shared" si="23"/>
        <v>0</v>
      </c>
      <c r="AA129" s="156">
        <f t="shared" si="23"/>
        <v>0</v>
      </c>
      <c r="AB129" s="156">
        <f t="shared" si="23"/>
        <v>0</v>
      </c>
      <c r="AC129" s="156">
        <f t="shared" si="23"/>
        <v>0</v>
      </c>
      <c r="AD129" s="156">
        <f t="shared" si="23"/>
        <v>0</v>
      </c>
      <c r="AE129" s="156">
        <f t="shared" si="23"/>
        <v>0</v>
      </c>
      <c r="AF129" s="156">
        <f t="shared" si="23"/>
        <v>0</v>
      </c>
      <c r="AG129" s="156">
        <f t="shared" si="23"/>
        <v>0</v>
      </c>
      <c r="AH129" s="156">
        <f t="shared" si="23"/>
        <v>0</v>
      </c>
      <c r="AI129" s="156">
        <f t="shared" si="23"/>
        <v>0</v>
      </c>
      <c r="AJ129" s="156">
        <f t="shared" si="23"/>
        <v>0</v>
      </c>
      <c r="AK129" s="156">
        <f t="shared" si="22"/>
        <v>0</v>
      </c>
      <c r="AL129" s="156">
        <f t="shared" si="22"/>
        <v>0</v>
      </c>
      <c r="AM129" s="156">
        <f t="shared" si="22"/>
        <v>0</v>
      </c>
      <c r="AN129" s="156">
        <f t="shared" si="22"/>
        <v>0</v>
      </c>
      <c r="AO129" s="156">
        <f t="shared" si="22"/>
        <v>0</v>
      </c>
      <c r="AP129" s="156">
        <f t="shared" si="22"/>
        <v>0</v>
      </c>
      <c r="AQ129" s="156">
        <f t="shared" si="22"/>
        <v>0</v>
      </c>
      <c r="AR129" s="156">
        <f t="shared" si="22"/>
        <v>0</v>
      </c>
      <c r="AS129" s="156">
        <f t="shared" si="22"/>
        <v>0</v>
      </c>
      <c r="AT129" s="156">
        <f t="shared" si="22"/>
        <v>0</v>
      </c>
      <c r="AU129" s="156">
        <f t="shared" si="22"/>
        <v>0</v>
      </c>
      <c r="AV129" s="156">
        <f t="shared" si="22"/>
        <v>0</v>
      </c>
      <c r="AW129" s="156">
        <f t="shared" si="22"/>
        <v>0</v>
      </c>
      <c r="AX129" s="156">
        <f t="shared" si="22"/>
        <v>0</v>
      </c>
      <c r="AY129" s="156">
        <f t="shared" si="22"/>
        <v>0</v>
      </c>
      <c r="AZ129" s="156">
        <f t="shared" si="22"/>
        <v>0</v>
      </c>
      <c r="BA129" s="156">
        <f t="shared" si="22"/>
        <v>0</v>
      </c>
      <c r="BB129" s="156">
        <f t="shared" si="22"/>
        <v>0</v>
      </c>
      <c r="BC129" s="156">
        <f t="shared" si="22"/>
        <v>0</v>
      </c>
      <c r="BD129" s="156">
        <f t="shared" si="22"/>
        <v>0</v>
      </c>
      <c r="BE129" s="156">
        <f t="shared" si="22"/>
        <v>0</v>
      </c>
      <c r="BF129" s="156">
        <f t="shared" si="22"/>
        <v>0</v>
      </c>
      <c r="BG129" s="156">
        <f t="shared" si="22"/>
        <v>0</v>
      </c>
      <c r="BH129" s="156">
        <f t="shared" si="22"/>
        <v>0</v>
      </c>
      <c r="BI129" s="156">
        <f t="shared" si="22"/>
        <v>0</v>
      </c>
      <c r="BJ129" s="156">
        <f t="shared" si="22"/>
        <v>0</v>
      </c>
      <c r="BK129" s="156">
        <f t="shared" si="22"/>
        <v>0</v>
      </c>
      <c r="BL129" s="156">
        <f t="shared" si="22"/>
        <v>0</v>
      </c>
    </row>
    <row r="130" spans="2:64" s="163" customFormat="1" x14ac:dyDescent="0.15">
      <c r="C130" s="89" t="s">
        <v>385</v>
      </c>
      <c r="E130" s="156">
        <f t="shared" si="23"/>
        <v>0</v>
      </c>
      <c r="F130" s="156">
        <f t="shared" si="23"/>
        <v>0</v>
      </c>
      <c r="G130" s="156">
        <f t="shared" si="23"/>
        <v>0</v>
      </c>
      <c r="H130" s="156">
        <f t="shared" si="23"/>
        <v>0</v>
      </c>
      <c r="I130" s="156">
        <f t="shared" si="23"/>
        <v>0</v>
      </c>
      <c r="J130" s="156">
        <f t="shared" si="23"/>
        <v>0</v>
      </c>
      <c r="K130" s="156">
        <f t="shared" si="23"/>
        <v>0</v>
      </c>
      <c r="L130" s="156">
        <f t="shared" si="23"/>
        <v>0</v>
      </c>
      <c r="M130" s="156">
        <f t="shared" si="23"/>
        <v>0</v>
      </c>
      <c r="N130" s="156">
        <f t="shared" si="23"/>
        <v>0</v>
      </c>
      <c r="O130" s="156">
        <f t="shared" si="23"/>
        <v>0</v>
      </c>
      <c r="P130" s="156">
        <f t="shared" si="23"/>
        <v>0</v>
      </c>
      <c r="Q130" s="156">
        <f t="shared" si="23"/>
        <v>0</v>
      </c>
      <c r="R130" s="156">
        <f t="shared" si="23"/>
        <v>0</v>
      </c>
      <c r="S130" s="156">
        <f t="shared" si="23"/>
        <v>0</v>
      </c>
      <c r="T130" s="156">
        <f t="shared" si="23"/>
        <v>0</v>
      </c>
      <c r="U130" s="156">
        <f t="shared" si="23"/>
        <v>0</v>
      </c>
      <c r="V130" s="156">
        <f t="shared" si="23"/>
        <v>0</v>
      </c>
      <c r="W130" s="156">
        <f t="shared" si="23"/>
        <v>0</v>
      </c>
      <c r="X130" s="156">
        <f t="shared" si="23"/>
        <v>0</v>
      </c>
      <c r="Y130" s="156">
        <f t="shared" si="23"/>
        <v>0</v>
      </c>
      <c r="Z130" s="156">
        <f t="shared" si="23"/>
        <v>0</v>
      </c>
      <c r="AA130" s="156">
        <f t="shared" si="23"/>
        <v>0</v>
      </c>
      <c r="AB130" s="156">
        <f t="shared" si="23"/>
        <v>0</v>
      </c>
      <c r="AC130" s="156">
        <f t="shared" si="23"/>
        <v>0</v>
      </c>
      <c r="AD130" s="156">
        <f t="shared" si="23"/>
        <v>0</v>
      </c>
      <c r="AE130" s="156">
        <f t="shared" si="23"/>
        <v>0</v>
      </c>
      <c r="AF130" s="156">
        <f t="shared" si="23"/>
        <v>0</v>
      </c>
      <c r="AG130" s="156">
        <f t="shared" si="23"/>
        <v>0</v>
      </c>
      <c r="AH130" s="156">
        <f t="shared" si="23"/>
        <v>0</v>
      </c>
      <c r="AI130" s="156">
        <f t="shared" si="23"/>
        <v>0</v>
      </c>
      <c r="AJ130" s="156">
        <f t="shared" si="23"/>
        <v>0</v>
      </c>
      <c r="AK130" s="156">
        <f t="shared" si="22"/>
        <v>0</v>
      </c>
      <c r="AL130" s="156">
        <f t="shared" si="22"/>
        <v>0</v>
      </c>
      <c r="AM130" s="156">
        <f t="shared" si="22"/>
        <v>0</v>
      </c>
      <c r="AN130" s="156">
        <f t="shared" si="22"/>
        <v>0</v>
      </c>
      <c r="AO130" s="156">
        <f t="shared" si="22"/>
        <v>0</v>
      </c>
      <c r="AP130" s="156">
        <f t="shared" si="22"/>
        <v>0</v>
      </c>
      <c r="AQ130" s="156">
        <f t="shared" si="22"/>
        <v>0</v>
      </c>
      <c r="AR130" s="156">
        <f t="shared" si="22"/>
        <v>0</v>
      </c>
      <c r="AS130" s="156">
        <f t="shared" si="22"/>
        <v>0</v>
      </c>
      <c r="AT130" s="156">
        <f t="shared" si="22"/>
        <v>0</v>
      </c>
      <c r="AU130" s="156">
        <f t="shared" si="22"/>
        <v>0</v>
      </c>
      <c r="AV130" s="156">
        <f t="shared" si="22"/>
        <v>0</v>
      </c>
      <c r="AW130" s="156">
        <f t="shared" si="22"/>
        <v>0</v>
      </c>
      <c r="AX130" s="156">
        <f t="shared" si="22"/>
        <v>0</v>
      </c>
      <c r="AY130" s="156">
        <f t="shared" si="22"/>
        <v>0</v>
      </c>
      <c r="AZ130" s="156">
        <f t="shared" si="22"/>
        <v>0</v>
      </c>
      <c r="BA130" s="156">
        <f t="shared" si="22"/>
        <v>0</v>
      </c>
      <c r="BB130" s="156">
        <f t="shared" si="22"/>
        <v>0</v>
      </c>
      <c r="BC130" s="156">
        <f t="shared" si="22"/>
        <v>0</v>
      </c>
      <c r="BD130" s="156">
        <f t="shared" si="22"/>
        <v>0</v>
      </c>
      <c r="BE130" s="156">
        <f t="shared" si="22"/>
        <v>0</v>
      </c>
      <c r="BF130" s="156">
        <f t="shared" si="22"/>
        <v>0</v>
      </c>
      <c r="BG130" s="156">
        <f t="shared" si="22"/>
        <v>0</v>
      </c>
      <c r="BH130" s="156">
        <f t="shared" si="22"/>
        <v>0</v>
      </c>
      <c r="BI130" s="156">
        <f t="shared" si="22"/>
        <v>0</v>
      </c>
      <c r="BJ130" s="156">
        <f t="shared" si="22"/>
        <v>0</v>
      </c>
      <c r="BK130" s="156">
        <f t="shared" si="22"/>
        <v>0</v>
      </c>
      <c r="BL130" s="156">
        <f t="shared" si="22"/>
        <v>0</v>
      </c>
    </row>
    <row r="131" spans="2:64" s="163" customFormat="1" x14ac:dyDescent="0.15">
      <c r="C131" s="89" t="s">
        <v>386</v>
      </c>
      <c r="E131" s="156">
        <f t="shared" si="23"/>
        <v>0</v>
      </c>
      <c r="F131" s="156">
        <f t="shared" si="23"/>
        <v>0</v>
      </c>
      <c r="G131" s="156">
        <f t="shared" si="23"/>
        <v>0</v>
      </c>
      <c r="H131" s="156">
        <f t="shared" si="23"/>
        <v>0</v>
      </c>
      <c r="I131" s="156">
        <f t="shared" si="23"/>
        <v>0</v>
      </c>
      <c r="J131" s="156">
        <f t="shared" si="23"/>
        <v>0</v>
      </c>
      <c r="K131" s="156">
        <f t="shared" si="23"/>
        <v>0</v>
      </c>
      <c r="L131" s="156">
        <f t="shared" si="23"/>
        <v>0</v>
      </c>
      <c r="M131" s="156">
        <f t="shared" si="23"/>
        <v>0</v>
      </c>
      <c r="N131" s="156">
        <f t="shared" si="23"/>
        <v>0</v>
      </c>
      <c r="O131" s="156">
        <f t="shared" si="23"/>
        <v>0</v>
      </c>
      <c r="P131" s="156">
        <f t="shared" si="23"/>
        <v>0</v>
      </c>
      <c r="Q131" s="156">
        <f t="shared" si="23"/>
        <v>0</v>
      </c>
      <c r="R131" s="156">
        <f t="shared" si="23"/>
        <v>0</v>
      </c>
      <c r="S131" s="156">
        <f t="shared" si="23"/>
        <v>0</v>
      </c>
      <c r="T131" s="156">
        <f t="shared" si="23"/>
        <v>0</v>
      </c>
      <c r="U131" s="156">
        <f t="shared" si="23"/>
        <v>0</v>
      </c>
      <c r="V131" s="156">
        <f t="shared" si="23"/>
        <v>0</v>
      </c>
      <c r="W131" s="156">
        <f t="shared" si="23"/>
        <v>0</v>
      </c>
      <c r="X131" s="156">
        <f t="shared" si="23"/>
        <v>0</v>
      </c>
      <c r="Y131" s="156">
        <f t="shared" si="23"/>
        <v>0</v>
      </c>
      <c r="Z131" s="156">
        <f t="shared" si="23"/>
        <v>0</v>
      </c>
      <c r="AA131" s="156">
        <f t="shared" si="23"/>
        <v>0</v>
      </c>
      <c r="AB131" s="156">
        <f t="shared" si="23"/>
        <v>0</v>
      </c>
      <c r="AC131" s="156">
        <f t="shared" si="23"/>
        <v>0</v>
      </c>
      <c r="AD131" s="156">
        <f t="shared" si="23"/>
        <v>0</v>
      </c>
      <c r="AE131" s="156">
        <f t="shared" si="23"/>
        <v>0</v>
      </c>
      <c r="AF131" s="156">
        <f t="shared" si="23"/>
        <v>0</v>
      </c>
      <c r="AG131" s="156">
        <f t="shared" si="23"/>
        <v>0</v>
      </c>
      <c r="AH131" s="156">
        <f t="shared" si="23"/>
        <v>0</v>
      </c>
      <c r="AI131" s="156">
        <f t="shared" si="23"/>
        <v>0</v>
      </c>
      <c r="AJ131" s="156">
        <f t="shared" si="23"/>
        <v>0</v>
      </c>
      <c r="AK131" s="156">
        <f t="shared" si="22"/>
        <v>0</v>
      </c>
      <c r="AL131" s="156">
        <f t="shared" si="22"/>
        <v>0</v>
      </c>
      <c r="AM131" s="156">
        <f t="shared" si="22"/>
        <v>0</v>
      </c>
      <c r="AN131" s="156">
        <f t="shared" si="22"/>
        <v>0</v>
      </c>
      <c r="AO131" s="156">
        <f t="shared" si="22"/>
        <v>0</v>
      </c>
      <c r="AP131" s="156">
        <f t="shared" si="22"/>
        <v>0</v>
      </c>
      <c r="AQ131" s="156">
        <f t="shared" si="22"/>
        <v>0</v>
      </c>
      <c r="AR131" s="156">
        <f t="shared" si="22"/>
        <v>0</v>
      </c>
      <c r="AS131" s="156">
        <f t="shared" si="22"/>
        <v>0</v>
      </c>
      <c r="AT131" s="156">
        <f t="shared" si="22"/>
        <v>0</v>
      </c>
      <c r="AU131" s="156">
        <f t="shared" si="22"/>
        <v>0</v>
      </c>
      <c r="AV131" s="156">
        <f t="shared" si="22"/>
        <v>0</v>
      </c>
      <c r="AW131" s="156">
        <f t="shared" si="22"/>
        <v>0</v>
      </c>
      <c r="AX131" s="156">
        <f t="shared" si="22"/>
        <v>0</v>
      </c>
      <c r="AY131" s="156">
        <f t="shared" si="22"/>
        <v>0</v>
      </c>
      <c r="AZ131" s="156">
        <f t="shared" si="22"/>
        <v>0</v>
      </c>
      <c r="BA131" s="156">
        <f t="shared" si="22"/>
        <v>0</v>
      </c>
      <c r="BB131" s="156">
        <f t="shared" si="22"/>
        <v>0</v>
      </c>
      <c r="BC131" s="156">
        <f t="shared" si="22"/>
        <v>0</v>
      </c>
      <c r="BD131" s="156">
        <f t="shared" si="22"/>
        <v>0</v>
      </c>
      <c r="BE131" s="156">
        <f t="shared" si="22"/>
        <v>0</v>
      </c>
      <c r="BF131" s="156">
        <f t="shared" si="22"/>
        <v>0</v>
      </c>
      <c r="BG131" s="156">
        <f t="shared" si="22"/>
        <v>0</v>
      </c>
      <c r="BH131" s="156">
        <f t="shared" si="22"/>
        <v>0</v>
      </c>
      <c r="BI131" s="156">
        <f t="shared" si="22"/>
        <v>0</v>
      </c>
      <c r="BJ131" s="156">
        <f t="shared" si="22"/>
        <v>0</v>
      </c>
      <c r="BK131" s="156">
        <f t="shared" si="22"/>
        <v>0</v>
      </c>
      <c r="BL131" s="156">
        <f t="shared" si="22"/>
        <v>0</v>
      </c>
    </row>
    <row r="132" spans="2:64" x14ac:dyDescent="0.15">
      <c r="C132" s="89" t="s">
        <v>320</v>
      </c>
      <c r="E132" s="156">
        <f t="shared" si="23"/>
        <v>0</v>
      </c>
      <c r="F132" s="156">
        <f t="shared" si="23"/>
        <v>0</v>
      </c>
      <c r="G132" s="156">
        <f t="shared" si="23"/>
        <v>0</v>
      </c>
      <c r="H132" s="156">
        <f t="shared" si="23"/>
        <v>0</v>
      </c>
      <c r="I132" s="156">
        <f t="shared" si="23"/>
        <v>0</v>
      </c>
      <c r="J132" s="156">
        <f t="shared" si="23"/>
        <v>0</v>
      </c>
      <c r="K132" s="156">
        <f t="shared" si="23"/>
        <v>0</v>
      </c>
      <c r="L132" s="156">
        <f t="shared" si="23"/>
        <v>0</v>
      </c>
      <c r="M132" s="156">
        <f t="shared" si="23"/>
        <v>0</v>
      </c>
      <c r="N132" s="156">
        <f t="shared" si="23"/>
        <v>0</v>
      </c>
      <c r="O132" s="156">
        <f t="shared" si="23"/>
        <v>0</v>
      </c>
      <c r="P132" s="156">
        <f t="shared" si="23"/>
        <v>0</v>
      </c>
      <c r="Q132" s="156">
        <f t="shared" si="23"/>
        <v>0</v>
      </c>
      <c r="R132" s="156">
        <f t="shared" si="23"/>
        <v>0</v>
      </c>
      <c r="S132" s="156">
        <f t="shared" si="23"/>
        <v>0</v>
      </c>
      <c r="T132" s="156">
        <f t="shared" si="23"/>
        <v>0</v>
      </c>
      <c r="U132" s="156">
        <f t="shared" si="23"/>
        <v>0</v>
      </c>
      <c r="V132" s="156">
        <f t="shared" si="23"/>
        <v>0</v>
      </c>
      <c r="W132" s="156">
        <f t="shared" si="23"/>
        <v>0</v>
      </c>
      <c r="X132" s="156">
        <f t="shared" si="23"/>
        <v>0</v>
      </c>
      <c r="Y132" s="156">
        <f t="shared" si="23"/>
        <v>0</v>
      </c>
      <c r="Z132" s="156">
        <f t="shared" si="23"/>
        <v>0</v>
      </c>
      <c r="AA132" s="156">
        <f t="shared" si="23"/>
        <v>0</v>
      </c>
      <c r="AB132" s="156">
        <f t="shared" si="23"/>
        <v>0</v>
      </c>
      <c r="AC132" s="156">
        <f t="shared" si="23"/>
        <v>0</v>
      </c>
      <c r="AD132" s="156">
        <f t="shared" si="23"/>
        <v>0</v>
      </c>
      <c r="AE132" s="156">
        <f t="shared" si="23"/>
        <v>0</v>
      </c>
      <c r="AF132" s="156">
        <f t="shared" si="23"/>
        <v>0</v>
      </c>
      <c r="AG132" s="156">
        <f t="shared" si="23"/>
        <v>0</v>
      </c>
      <c r="AH132" s="156">
        <f t="shared" si="23"/>
        <v>0</v>
      </c>
      <c r="AI132" s="156">
        <f t="shared" si="23"/>
        <v>0</v>
      </c>
      <c r="AJ132" s="156">
        <f t="shared" si="23"/>
        <v>0</v>
      </c>
      <c r="AK132" s="156">
        <f t="shared" si="22"/>
        <v>0</v>
      </c>
      <c r="AL132" s="156">
        <f t="shared" si="22"/>
        <v>0</v>
      </c>
      <c r="AM132" s="156">
        <f t="shared" si="22"/>
        <v>0</v>
      </c>
      <c r="AN132" s="156">
        <f t="shared" si="22"/>
        <v>0</v>
      </c>
      <c r="AO132" s="156">
        <f t="shared" si="22"/>
        <v>0</v>
      </c>
      <c r="AP132" s="156">
        <f t="shared" si="22"/>
        <v>0</v>
      </c>
      <c r="AQ132" s="156">
        <f t="shared" si="22"/>
        <v>0</v>
      </c>
      <c r="AR132" s="156">
        <f t="shared" si="22"/>
        <v>0</v>
      </c>
      <c r="AS132" s="156">
        <f t="shared" si="22"/>
        <v>0</v>
      </c>
      <c r="AT132" s="156">
        <f t="shared" si="22"/>
        <v>0</v>
      </c>
      <c r="AU132" s="156">
        <f t="shared" si="22"/>
        <v>0</v>
      </c>
      <c r="AV132" s="156">
        <f t="shared" si="22"/>
        <v>0</v>
      </c>
      <c r="AW132" s="156">
        <f t="shared" si="22"/>
        <v>0</v>
      </c>
      <c r="AX132" s="156">
        <f t="shared" si="22"/>
        <v>0</v>
      </c>
      <c r="AY132" s="156">
        <f t="shared" si="22"/>
        <v>0</v>
      </c>
      <c r="AZ132" s="156">
        <f t="shared" si="22"/>
        <v>0</v>
      </c>
      <c r="BA132" s="156">
        <f t="shared" si="22"/>
        <v>0</v>
      </c>
      <c r="BB132" s="156">
        <f t="shared" si="22"/>
        <v>0</v>
      </c>
      <c r="BC132" s="156">
        <f t="shared" si="22"/>
        <v>0</v>
      </c>
      <c r="BD132" s="156">
        <f t="shared" si="22"/>
        <v>0</v>
      </c>
      <c r="BE132" s="156">
        <f t="shared" si="22"/>
        <v>0</v>
      </c>
      <c r="BF132" s="156">
        <f t="shared" si="22"/>
        <v>0</v>
      </c>
      <c r="BG132" s="156">
        <f t="shared" si="22"/>
        <v>0</v>
      </c>
      <c r="BH132" s="156">
        <f t="shared" si="22"/>
        <v>0</v>
      </c>
      <c r="BI132" s="156">
        <f t="shared" si="22"/>
        <v>0</v>
      </c>
      <c r="BJ132" s="156">
        <f t="shared" si="22"/>
        <v>0</v>
      </c>
      <c r="BK132" s="156">
        <f t="shared" si="22"/>
        <v>0</v>
      </c>
      <c r="BL132" s="156">
        <f t="shared" si="22"/>
        <v>0</v>
      </c>
    </row>
    <row r="133" spans="2:64" x14ac:dyDescent="0.15">
      <c r="C133" s="89" t="s">
        <v>321</v>
      </c>
      <c r="E133" s="156">
        <f t="shared" si="23"/>
        <v>0</v>
      </c>
      <c r="F133" s="156">
        <f t="shared" si="23"/>
        <v>0</v>
      </c>
      <c r="G133" s="156">
        <f t="shared" si="23"/>
        <v>0</v>
      </c>
      <c r="H133" s="156">
        <f t="shared" si="23"/>
        <v>0</v>
      </c>
      <c r="I133" s="156">
        <f t="shared" si="23"/>
        <v>0</v>
      </c>
      <c r="J133" s="156">
        <f t="shared" si="23"/>
        <v>0</v>
      </c>
      <c r="K133" s="156">
        <f t="shared" si="23"/>
        <v>0</v>
      </c>
      <c r="L133" s="156">
        <f t="shared" si="23"/>
        <v>0</v>
      </c>
      <c r="M133" s="156">
        <f t="shared" si="23"/>
        <v>0</v>
      </c>
      <c r="N133" s="156">
        <f t="shared" si="23"/>
        <v>0</v>
      </c>
      <c r="O133" s="156">
        <f t="shared" si="23"/>
        <v>0</v>
      </c>
      <c r="P133" s="156">
        <f t="shared" si="23"/>
        <v>0</v>
      </c>
      <c r="Q133" s="156">
        <f t="shared" si="23"/>
        <v>0</v>
      </c>
      <c r="R133" s="156">
        <f t="shared" si="23"/>
        <v>0</v>
      </c>
      <c r="S133" s="156">
        <f t="shared" si="23"/>
        <v>0</v>
      </c>
      <c r="T133" s="156">
        <f t="shared" si="23"/>
        <v>0</v>
      </c>
      <c r="U133" s="156">
        <f t="shared" si="23"/>
        <v>0</v>
      </c>
      <c r="V133" s="156">
        <f t="shared" si="23"/>
        <v>0</v>
      </c>
      <c r="W133" s="156">
        <f t="shared" si="23"/>
        <v>0</v>
      </c>
      <c r="X133" s="156">
        <f t="shared" si="23"/>
        <v>0</v>
      </c>
      <c r="Y133" s="156">
        <f t="shared" si="23"/>
        <v>0</v>
      </c>
      <c r="Z133" s="156">
        <f t="shared" si="23"/>
        <v>0</v>
      </c>
      <c r="AA133" s="156">
        <f t="shared" si="23"/>
        <v>0</v>
      </c>
      <c r="AB133" s="156">
        <f t="shared" si="23"/>
        <v>0</v>
      </c>
      <c r="AC133" s="156">
        <f t="shared" si="23"/>
        <v>0</v>
      </c>
      <c r="AD133" s="156">
        <f t="shared" si="23"/>
        <v>0</v>
      </c>
      <c r="AE133" s="156">
        <f t="shared" si="23"/>
        <v>0</v>
      </c>
      <c r="AF133" s="156">
        <f t="shared" si="23"/>
        <v>0</v>
      </c>
      <c r="AG133" s="156">
        <f t="shared" si="23"/>
        <v>0</v>
      </c>
      <c r="AH133" s="156">
        <f t="shared" si="23"/>
        <v>0</v>
      </c>
      <c r="AI133" s="156">
        <f t="shared" si="23"/>
        <v>0</v>
      </c>
      <c r="AJ133" s="156">
        <f t="shared" si="23"/>
        <v>0</v>
      </c>
      <c r="AK133" s="156">
        <f t="shared" si="22"/>
        <v>0</v>
      </c>
      <c r="AL133" s="156">
        <f t="shared" si="22"/>
        <v>0</v>
      </c>
      <c r="AM133" s="156">
        <f t="shared" si="22"/>
        <v>0</v>
      </c>
      <c r="AN133" s="156">
        <f t="shared" si="22"/>
        <v>0</v>
      </c>
      <c r="AO133" s="156">
        <f t="shared" si="22"/>
        <v>0</v>
      </c>
      <c r="AP133" s="156">
        <f t="shared" si="22"/>
        <v>0</v>
      </c>
      <c r="AQ133" s="156">
        <f t="shared" si="22"/>
        <v>0</v>
      </c>
      <c r="AR133" s="156">
        <f t="shared" si="22"/>
        <v>0</v>
      </c>
      <c r="AS133" s="156">
        <f t="shared" si="22"/>
        <v>0</v>
      </c>
      <c r="AT133" s="156">
        <f t="shared" si="22"/>
        <v>0</v>
      </c>
      <c r="AU133" s="156">
        <f t="shared" si="22"/>
        <v>0</v>
      </c>
      <c r="AV133" s="156">
        <f t="shared" si="22"/>
        <v>0</v>
      </c>
      <c r="AW133" s="156">
        <f t="shared" si="22"/>
        <v>0</v>
      </c>
      <c r="AX133" s="156">
        <f t="shared" si="22"/>
        <v>0</v>
      </c>
      <c r="AY133" s="156">
        <f t="shared" si="22"/>
        <v>0</v>
      </c>
      <c r="AZ133" s="156">
        <f t="shared" si="22"/>
        <v>0</v>
      </c>
      <c r="BA133" s="156">
        <f t="shared" si="22"/>
        <v>0</v>
      </c>
      <c r="BB133" s="156">
        <f t="shared" si="22"/>
        <v>0</v>
      </c>
      <c r="BC133" s="156">
        <f t="shared" si="22"/>
        <v>0</v>
      </c>
      <c r="BD133" s="156">
        <f t="shared" si="22"/>
        <v>0</v>
      </c>
      <c r="BE133" s="156">
        <f t="shared" si="22"/>
        <v>0</v>
      </c>
      <c r="BF133" s="156">
        <f t="shared" si="22"/>
        <v>0</v>
      </c>
      <c r="BG133" s="156">
        <f t="shared" si="22"/>
        <v>0</v>
      </c>
      <c r="BH133" s="156">
        <f t="shared" si="22"/>
        <v>0</v>
      </c>
      <c r="BI133" s="156">
        <f t="shared" si="22"/>
        <v>0</v>
      </c>
      <c r="BJ133" s="156">
        <f t="shared" si="22"/>
        <v>0</v>
      </c>
      <c r="BK133" s="156">
        <f t="shared" si="22"/>
        <v>0</v>
      </c>
      <c r="BL133" s="156">
        <f t="shared" si="22"/>
        <v>0</v>
      </c>
    </row>
    <row r="134" spans="2:64" x14ac:dyDescent="0.15">
      <c r="C134" s="89" t="s">
        <v>322</v>
      </c>
      <c r="E134" s="156">
        <f t="shared" si="23"/>
        <v>0</v>
      </c>
      <c r="F134" s="156">
        <f t="shared" si="23"/>
        <v>0</v>
      </c>
      <c r="G134" s="156">
        <f t="shared" si="23"/>
        <v>0</v>
      </c>
      <c r="H134" s="156">
        <f t="shared" si="23"/>
        <v>0</v>
      </c>
      <c r="I134" s="156">
        <f t="shared" si="23"/>
        <v>0</v>
      </c>
      <c r="J134" s="156">
        <f t="shared" si="23"/>
        <v>0</v>
      </c>
      <c r="K134" s="156">
        <f t="shared" si="23"/>
        <v>0</v>
      </c>
      <c r="L134" s="156">
        <f t="shared" si="23"/>
        <v>0</v>
      </c>
      <c r="M134" s="156">
        <f t="shared" si="23"/>
        <v>0</v>
      </c>
      <c r="N134" s="156">
        <f t="shared" si="23"/>
        <v>0</v>
      </c>
      <c r="O134" s="156">
        <f t="shared" si="23"/>
        <v>0</v>
      </c>
      <c r="P134" s="156">
        <f t="shared" si="23"/>
        <v>0</v>
      </c>
      <c r="Q134" s="156">
        <f t="shared" si="23"/>
        <v>0</v>
      </c>
      <c r="R134" s="156">
        <f t="shared" si="23"/>
        <v>0</v>
      </c>
      <c r="S134" s="156">
        <f t="shared" si="23"/>
        <v>0</v>
      </c>
      <c r="T134" s="156">
        <f t="shared" si="23"/>
        <v>0</v>
      </c>
      <c r="U134" s="156">
        <f t="shared" si="23"/>
        <v>0</v>
      </c>
      <c r="V134" s="156">
        <f t="shared" si="23"/>
        <v>0</v>
      </c>
      <c r="W134" s="156">
        <f t="shared" si="23"/>
        <v>0</v>
      </c>
      <c r="X134" s="156">
        <f t="shared" si="23"/>
        <v>0</v>
      </c>
      <c r="Y134" s="156">
        <f t="shared" si="23"/>
        <v>0</v>
      </c>
      <c r="Z134" s="156">
        <f t="shared" si="23"/>
        <v>0</v>
      </c>
      <c r="AA134" s="156">
        <f t="shared" si="23"/>
        <v>0</v>
      </c>
      <c r="AB134" s="156">
        <f t="shared" si="23"/>
        <v>0</v>
      </c>
      <c r="AC134" s="156">
        <f t="shared" si="23"/>
        <v>0</v>
      </c>
      <c r="AD134" s="156">
        <f t="shared" si="23"/>
        <v>0</v>
      </c>
      <c r="AE134" s="156">
        <f t="shared" si="23"/>
        <v>0</v>
      </c>
      <c r="AF134" s="156">
        <f t="shared" si="23"/>
        <v>0</v>
      </c>
      <c r="AG134" s="156">
        <f t="shared" si="23"/>
        <v>0</v>
      </c>
      <c r="AH134" s="156">
        <f t="shared" si="23"/>
        <v>0</v>
      </c>
      <c r="AI134" s="156">
        <f t="shared" si="23"/>
        <v>0</v>
      </c>
      <c r="AJ134" s="156">
        <f t="shared" ref="AJ134:BO134" si="24">IF(AJ$5&gt;$D$7,0,AJ37*$E116)</f>
        <v>0</v>
      </c>
      <c r="AK134" s="156">
        <f t="shared" si="22"/>
        <v>0</v>
      </c>
      <c r="AL134" s="156">
        <f t="shared" si="22"/>
        <v>0</v>
      </c>
      <c r="AM134" s="156">
        <f t="shared" si="22"/>
        <v>0</v>
      </c>
      <c r="AN134" s="156">
        <f t="shared" si="22"/>
        <v>0</v>
      </c>
      <c r="AO134" s="156">
        <f t="shared" si="22"/>
        <v>0</v>
      </c>
      <c r="AP134" s="156">
        <f t="shared" si="22"/>
        <v>0</v>
      </c>
      <c r="AQ134" s="156">
        <f t="shared" si="22"/>
        <v>0</v>
      </c>
      <c r="AR134" s="156">
        <f t="shared" si="22"/>
        <v>0</v>
      </c>
      <c r="AS134" s="156">
        <f t="shared" si="22"/>
        <v>0</v>
      </c>
      <c r="AT134" s="156">
        <f t="shared" si="22"/>
        <v>0</v>
      </c>
      <c r="AU134" s="156">
        <f t="shared" si="22"/>
        <v>0</v>
      </c>
      <c r="AV134" s="156">
        <f t="shared" si="22"/>
        <v>0</v>
      </c>
      <c r="AW134" s="156">
        <f t="shared" si="22"/>
        <v>0</v>
      </c>
      <c r="AX134" s="156">
        <f t="shared" si="22"/>
        <v>0</v>
      </c>
      <c r="AY134" s="156">
        <f t="shared" ref="AY134:BZ134" si="25">IF(AY$5&gt;$D$7,0,AY37*$E116)</f>
        <v>0</v>
      </c>
      <c r="AZ134" s="156">
        <f t="shared" si="25"/>
        <v>0</v>
      </c>
      <c r="BA134" s="156">
        <f t="shared" si="25"/>
        <v>0</v>
      </c>
      <c r="BB134" s="156">
        <f t="shared" si="25"/>
        <v>0</v>
      </c>
      <c r="BC134" s="156">
        <f t="shared" si="25"/>
        <v>0</v>
      </c>
      <c r="BD134" s="156">
        <f t="shared" si="25"/>
        <v>0</v>
      </c>
      <c r="BE134" s="156">
        <f t="shared" si="25"/>
        <v>0</v>
      </c>
      <c r="BF134" s="156">
        <f t="shared" si="25"/>
        <v>0</v>
      </c>
      <c r="BG134" s="156">
        <f t="shared" si="25"/>
        <v>0</v>
      </c>
      <c r="BH134" s="156">
        <f t="shared" si="25"/>
        <v>0</v>
      </c>
      <c r="BI134" s="156">
        <f t="shared" si="25"/>
        <v>0</v>
      </c>
      <c r="BJ134" s="156">
        <f t="shared" si="25"/>
        <v>0</v>
      </c>
      <c r="BK134" s="156">
        <f t="shared" si="25"/>
        <v>0</v>
      </c>
      <c r="BL134" s="156">
        <f t="shared" si="25"/>
        <v>0</v>
      </c>
    </row>
    <row r="135" spans="2:64" x14ac:dyDescent="0.15">
      <c r="C135" s="89" t="s">
        <v>323</v>
      </c>
      <c r="E135" s="156">
        <f t="shared" ref="E135:BL136" si="26">IF(E$5&gt;$D$7,0,E38*$E117)</f>
        <v>0</v>
      </c>
      <c r="F135" s="156">
        <f t="shared" si="26"/>
        <v>0</v>
      </c>
      <c r="G135" s="156">
        <f t="shared" si="26"/>
        <v>0</v>
      </c>
      <c r="H135" s="156">
        <f t="shared" si="26"/>
        <v>0</v>
      </c>
      <c r="I135" s="156">
        <f t="shared" si="26"/>
        <v>0</v>
      </c>
      <c r="J135" s="156">
        <f t="shared" si="26"/>
        <v>0</v>
      </c>
      <c r="K135" s="156">
        <f t="shared" si="26"/>
        <v>0</v>
      </c>
      <c r="L135" s="156">
        <f t="shared" si="26"/>
        <v>0</v>
      </c>
      <c r="M135" s="156">
        <f t="shared" si="26"/>
        <v>0</v>
      </c>
      <c r="N135" s="156">
        <f t="shared" si="26"/>
        <v>0</v>
      </c>
      <c r="O135" s="156">
        <f t="shared" si="26"/>
        <v>0</v>
      </c>
      <c r="P135" s="156">
        <f t="shared" si="26"/>
        <v>0</v>
      </c>
      <c r="Q135" s="156">
        <f t="shared" si="26"/>
        <v>0</v>
      </c>
      <c r="R135" s="156">
        <f t="shared" si="26"/>
        <v>0</v>
      </c>
      <c r="S135" s="156">
        <f t="shared" si="26"/>
        <v>0</v>
      </c>
      <c r="T135" s="156">
        <f t="shared" si="26"/>
        <v>0</v>
      </c>
      <c r="U135" s="156">
        <f t="shared" si="26"/>
        <v>0</v>
      </c>
      <c r="V135" s="156">
        <f t="shared" si="26"/>
        <v>0</v>
      </c>
      <c r="W135" s="156">
        <f t="shared" si="26"/>
        <v>0</v>
      </c>
      <c r="X135" s="156">
        <f t="shared" si="26"/>
        <v>0</v>
      </c>
      <c r="Y135" s="156">
        <f t="shared" si="26"/>
        <v>0</v>
      </c>
      <c r="Z135" s="156">
        <f t="shared" si="26"/>
        <v>0</v>
      </c>
      <c r="AA135" s="156">
        <f t="shared" si="26"/>
        <v>0</v>
      </c>
      <c r="AB135" s="156">
        <f t="shared" si="26"/>
        <v>0</v>
      </c>
      <c r="AC135" s="156">
        <f t="shared" si="26"/>
        <v>0</v>
      </c>
      <c r="AD135" s="156">
        <f t="shared" si="26"/>
        <v>0</v>
      </c>
      <c r="AE135" s="156">
        <f t="shared" si="26"/>
        <v>0</v>
      </c>
      <c r="AF135" s="156">
        <f t="shared" si="26"/>
        <v>0</v>
      </c>
      <c r="AG135" s="156">
        <f t="shared" si="26"/>
        <v>0</v>
      </c>
      <c r="AH135" s="156">
        <f t="shared" si="26"/>
        <v>0</v>
      </c>
      <c r="AI135" s="156">
        <f t="shared" si="26"/>
        <v>0</v>
      </c>
      <c r="AJ135" s="156">
        <f t="shared" si="26"/>
        <v>0</v>
      </c>
      <c r="AK135" s="156">
        <f t="shared" si="26"/>
        <v>0</v>
      </c>
      <c r="AL135" s="156">
        <f t="shared" si="26"/>
        <v>0</v>
      </c>
      <c r="AM135" s="156">
        <f t="shared" si="26"/>
        <v>0</v>
      </c>
      <c r="AN135" s="156">
        <f t="shared" si="26"/>
        <v>0</v>
      </c>
      <c r="AO135" s="156">
        <f t="shared" si="26"/>
        <v>0</v>
      </c>
      <c r="AP135" s="156">
        <f t="shared" si="26"/>
        <v>0</v>
      </c>
      <c r="AQ135" s="156">
        <f t="shared" si="26"/>
        <v>0</v>
      </c>
      <c r="AR135" s="156">
        <f t="shared" si="26"/>
        <v>0</v>
      </c>
      <c r="AS135" s="156">
        <f t="shared" si="26"/>
        <v>0</v>
      </c>
      <c r="AT135" s="156">
        <f t="shared" si="26"/>
        <v>0</v>
      </c>
      <c r="AU135" s="156">
        <f t="shared" si="26"/>
        <v>0</v>
      </c>
      <c r="AV135" s="156">
        <f t="shared" si="26"/>
        <v>0</v>
      </c>
      <c r="AW135" s="156">
        <f t="shared" si="26"/>
        <v>0</v>
      </c>
      <c r="AX135" s="156">
        <f t="shared" si="26"/>
        <v>0</v>
      </c>
      <c r="AY135" s="156">
        <f t="shared" si="26"/>
        <v>0</v>
      </c>
      <c r="AZ135" s="156">
        <f t="shared" si="26"/>
        <v>0</v>
      </c>
      <c r="BA135" s="156">
        <f t="shared" si="26"/>
        <v>0</v>
      </c>
      <c r="BB135" s="156">
        <f t="shared" si="26"/>
        <v>0</v>
      </c>
      <c r="BC135" s="156">
        <f t="shared" si="26"/>
        <v>0</v>
      </c>
      <c r="BD135" s="156">
        <f t="shared" si="26"/>
        <v>0</v>
      </c>
      <c r="BE135" s="156">
        <f t="shared" si="26"/>
        <v>0</v>
      </c>
      <c r="BF135" s="156">
        <f t="shared" si="26"/>
        <v>0</v>
      </c>
      <c r="BG135" s="156">
        <f t="shared" si="26"/>
        <v>0</v>
      </c>
      <c r="BH135" s="156">
        <f t="shared" si="26"/>
        <v>0</v>
      </c>
      <c r="BI135" s="156">
        <f t="shared" si="26"/>
        <v>0</v>
      </c>
      <c r="BJ135" s="156">
        <f t="shared" si="26"/>
        <v>0</v>
      </c>
      <c r="BK135" s="156">
        <f t="shared" si="26"/>
        <v>0</v>
      </c>
      <c r="BL135" s="156">
        <f t="shared" si="26"/>
        <v>0</v>
      </c>
    </row>
    <row r="136" spans="2:64" x14ac:dyDescent="0.15">
      <c r="C136" s="89" t="s">
        <v>389</v>
      </c>
      <c r="E136" s="156">
        <f t="shared" si="26"/>
        <v>0</v>
      </c>
      <c r="F136" s="156">
        <f t="shared" si="26"/>
        <v>0</v>
      </c>
      <c r="G136" s="156">
        <f t="shared" si="26"/>
        <v>0</v>
      </c>
      <c r="H136" s="156">
        <f t="shared" si="26"/>
        <v>0</v>
      </c>
      <c r="I136" s="156">
        <f t="shared" si="26"/>
        <v>0</v>
      </c>
      <c r="J136" s="156">
        <f t="shared" si="26"/>
        <v>0</v>
      </c>
      <c r="K136" s="156">
        <f t="shared" si="26"/>
        <v>0</v>
      </c>
      <c r="L136" s="156">
        <f t="shared" si="26"/>
        <v>0</v>
      </c>
      <c r="M136" s="156">
        <f t="shared" si="26"/>
        <v>0</v>
      </c>
      <c r="N136" s="156">
        <f t="shared" si="26"/>
        <v>0</v>
      </c>
      <c r="O136" s="156">
        <f t="shared" si="26"/>
        <v>0</v>
      </c>
      <c r="P136" s="156">
        <f t="shared" si="26"/>
        <v>0</v>
      </c>
      <c r="Q136" s="156">
        <f t="shared" si="26"/>
        <v>0</v>
      </c>
      <c r="R136" s="156">
        <f t="shared" si="26"/>
        <v>0</v>
      </c>
      <c r="S136" s="156">
        <f t="shared" si="26"/>
        <v>0</v>
      </c>
      <c r="T136" s="156">
        <f t="shared" si="26"/>
        <v>0</v>
      </c>
      <c r="U136" s="156">
        <f t="shared" si="26"/>
        <v>0</v>
      </c>
      <c r="V136" s="156">
        <f t="shared" si="26"/>
        <v>0</v>
      </c>
      <c r="W136" s="156">
        <f t="shared" si="26"/>
        <v>0</v>
      </c>
      <c r="X136" s="156">
        <f t="shared" si="26"/>
        <v>0</v>
      </c>
      <c r="Y136" s="156">
        <f t="shared" si="26"/>
        <v>0</v>
      </c>
      <c r="Z136" s="156">
        <f t="shared" si="26"/>
        <v>0</v>
      </c>
      <c r="AA136" s="156">
        <f t="shared" si="26"/>
        <v>0</v>
      </c>
      <c r="AB136" s="156">
        <f t="shared" si="26"/>
        <v>0</v>
      </c>
      <c r="AC136" s="156">
        <f t="shared" si="26"/>
        <v>0</v>
      </c>
      <c r="AD136" s="156">
        <f t="shared" si="26"/>
        <v>0</v>
      </c>
      <c r="AE136" s="156">
        <f t="shared" si="26"/>
        <v>0</v>
      </c>
      <c r="AF136" s="156">
        <f t="shared" si="26"/>
        <v>0</v>
      </c>
      <c r="AG136" s="156">
        <f t="shared" si="26"/>
        <v>0</v>
      </c>
      <c r="AH136" s="156">
        <f t="shared" si="26"/>
        <v>0</v>
      </c>
      <c r="AI136" s="156">
        <f t="shared" si="26"/>
        <v>0</v>
      </c>
      <c r="AJ136" s="156">
        <f t="shared" si="26"/>
        <v>0</v>
      </c>
      <c r="AK136" s="156">
        <f t="shared" si="26"/>
        <v>0</v>
      </c>
      <c r="AL136" s="156">
        <f t="shared" si="26"/>
        <v>0</v>
      </c>
      <c r="AM136" s="156">
        <f t="shared" si="26"/>
        <v>0</v>
      </c>
      <c r="AN136" s="156">
        <f t="shared" si="26"/>
        <v>0</v>
      </c>
      <c r="AO136" s="156">
        <f t="shared" si="26"/>
        <v>0</v>
      </c>
      <c r="AP136" s="156">
        <f t="shared" si="26"/>
        <v>0</v>
      </c>
      <c r="AQ136" s="156">
        <f t="shared" si="26"/>
        <v>0</v>
      </c>
      <c r="AR136" s="156">
        <f t="shared" si="26"/>
        <v>0</v>
      </c>
      <c r="AS136" s="156">
        <f t="shared" si="26"/>
        <v>0</v>
      </c>
      <c r="AT136" s="156">
        <f t="shared" si="26"/>
        <v>0</v>
      </c>
      <c r="AU136" s="156">
        <f t="shared" si="26"/>
        <v>0</v>
      </c>
      <c r="AV136" s="156">
        <f t="shared" si="26"/>
        <v>0</v>
      </c>
      <c r="AW136" s="156">
        <f t="shared" si="26"/>
        <v>0</v>
      </c>
      <c r="AX136" s="156">
        <f t="shared" si="26"/>
        <v>0</v>
      </c>
      <c r="AY136" s="156">
        <f t="shared" si="26"/>
        <v>0</v>
      </c>
      <c r="AZ136" s="156">
        <f t="shared" si="26"/>
        <v>0</v>
      </c>
      <c r="BA136" s="156">
        <f t="shared" si="26"/>
        <v>0</v>
      </c>
      <c r="BB136" s="156">
        <f t="shared" si="26"/>
        <v>0</v>
      </c>
      <c r="BC136" s="156">
        <f t="shared" si="26"/>
        <v>0</v>
      </c>
      <c r="BD136" s="156">
        <f t="shared" si="26"/>
        <v>0</v>
      </c>
      <c r="BE136" s="156">
        <f t="shared" si="26"/>
        <v>0</v>
      </c>
      <c r="BF136" s="156">
        <f t="shared" si="26"/>
        <v>0</v>
      </c>
      <c r="BG136" s="156">
        <f t="shared" si="26"/>
        <v>0</v>
      </c>
      <c r="BH136" s="156">
        <f t="shared" si="26"/>
        <v>0</v>
      </c>
      <c r="BI136" s="156">
        <f t="shared" si="26"/>
        <v>0</v>
      </c>
      <c r="BJ136" s="156">
        <f t="shared" si="26"/>
        <v>0</v>
      </c>
      <c r="BK136" s="156">
        <f t="shared" si="26"/>
        <v>0</v>
      </c>
      <c r="BL136" s="156">
        <f t="shared" si="26"/>
        <v>0</v>
      </c>
    </row>
    <row r="137" spans="2:64" x14ac:dyDescent="0.15">
      <c r="C137" s="89" t="s">
        <v>415</v>
      </c>
      <c r="E137" s="161">
        <f>IF(E$5&gt;$D$7,0,SUM(E122:E136))</f>
        <v>0.16371398412074356</v>
      </c>
      <c r="F137" s="161">
        <f t="shared" ref="F137:AB137" si="27">IF(F$5&gt;$D$7,0,SUM(F122:F136))</f>
        <v>0.16371398412074353</v>
      </c>
      <c r="G137" s="161">
        <f t="shared" si="27"/>
        <v>0.16371398412074351</v>
      </c>
      <c r="H137" s="161">
        <f t="shared" si="27"/>
        <v>0.16371398412074356</v>
      </c>
      <c r="I137" s="161">
        <f t="shared" si="27"/>
        <v>0.16371398412074359</v>
      </c>
      <c r="J137" s="161">
        <f t="shared" si="27"/>
        <v>0.16371398412074356</v>
      </c>
      <c r="K137" s="161">
        <f t="shared" si="27"/>
        <v>0.16371398412074356</v>
      </c>
      <c r="L137" s="161">
        <f t="shared" si="27"/>
        <v>0</v>
      </c>
      <c r="M137" s="161">
        <f t="shared" si="27"/>
        <v>0</v>
      </c>
      <c r="N137" s="161">
        <f t="shared" si="27"/>
        <v>0</v>
      </c>
      <c r="O137" s="161">
        <f t="shared" si="27"/>
        <v>0</v>
      </c>
      <c r="P137" s="161">
        <f t="shared" si="27"/>
        <v>0</v>
      </c>
      <c r="Q137" s="161">
        <f t="shared" si="27"/>
        <v>0</v>
      </c>
      <c r="R137" s="161">
        <f t="shared" si="27"/>
        <v>0</v>
      </c>
      <c r="S137" s="161">
        <f t="shared" si="27"/>
        <v>0</v>
      </c>
      <c r="T137" s="161">
        <f t="shared" si="27"/>
        <v>0</v>
      </c>
      <c r="U137" s="161">
        <f t="shared" si="27"/>
        <v>0</v>
      </c>
      <c r="V137" s="161">
        <f t="shared" si="27"/>
        <v>0</v>
      </c>
      <c r="W137" s="161">
        <f t="shared" si="27"/>
        <v>0</v>
      </c>
      <c r="X137" s="161">
        <f t="shared" si="27"/>
        <v>0</v>
      </c>
      <c r="Y137" s="161">
        <f t="shared" si="27"/>
        <v>0</v>
      </c>
      <c r="Z137" s="161">
        <f t="shared" si="27"/>
        <v>0</v>
      </c>
      <c r="AA137" s="161">
        <f t="shared" si="27"/>
        <v>0</v>
      </c>
      <c r="AB137" s="161">
        <f t="shared" si="27"/>
        <v>0</v>
      </c>
      <c r="AC137" s="161">
        <f t="shared" ref="AC137:BL137" si="28">IF(AC$5&gt;$D$7,0,IF(AC$5=$D$7,AC42,SUM(AC122:AC136)))</f>
        <v>0</v>
      </c>
      <c r="AD137" s="161">
        <f t="shared" si="28"/>
        <v>0</v>
      </c>
      <c r="AE137" s="161">
        <f t="shared" si="28"/>
        <v>0</v>
      </c>
      <c r="AF137" s="161">
        <f t="shared" si="28"/>
        <v>0</v>
      </c>
      <c r="AG137" s="161">
        <f t="shared" si="28"/>
        <v>0</v>
      </c>
      <c r="AH137" s="161">
        <f t="shared" si="28"/>
        <v>0</v>
      </c>
      <c r="AI137" s="161">
        <f t="shared" si="28"/>
        <v>0</v>
      </c>
      <c r="AJ137" s="161">
        <f t="shared" si="28"/>
        <v>0</v>
      </c>
      <c r="AK137" s="161">
        <f t="shared" si="28"/>
        <v>0</v>
      </c>
      <c r="AL137" s="161">
        <f t="shared" si="28"/>
        <v>0</v>
      </c>
      <c r="AM137" s="161">
        <f t="shared" si="28"/>
        <v>0</v>
      </c>
      <c r="AN137" s="161">
        <f t="shared" si="28"/>
        <v>0</v>
      </c>
      <c r="AO137" s="161">
        <f t="shared" si="28"/>
        <v>0</v>
      </c>
      <c r="AP137" s="161">
        <f t="shared" si="28"/>
        <v>0</v>
      </c>
      <c r="AQ137" s="161">
        <f t="shared" si="28"/>
        <v>0</v>
      </c>
      <c r="AR137" s="161">
        <f t="shared" si="28"/>
        <v>0</v>
      </c>
      <c r="AS137" s="161">
        <f t="shared" si="28"/>
        <v>0</v>
      </c>
      <c r="AT137" s="161">
        <f t="shared" si="28"/>
        <v>0</v>
      </c>
      <c r="AU137" s="161">
        <f t="shared" si="28"/>
        <v>0</v>
      </c>
      <c r="AV137" s="161">
        <f t="shared" si="28"/>
        <v>0</v>
      </c>
      <c r="AW137" s="161">
        <f t="shared" si="28"/>
        <v>0</v>
      </c>
      <c r="AX137" s="161">
        <f t="shared" si="28"/>
        <v>0</v>
      </c>
      <c r="AY137" s="161">
        <f t="shared" si="28"/>
        <v>0</v>
      </c>
      <c r="AZ137" s="161">
        <f t="shared" si="28"/>
        <v>0</v>
      </c>
      <c r="BA137" s="161">
        <f t="shared" si="28"/>
        <v>0</v>
      </c>
      <c r="BB137" s="161">
        <f t="shared" si="28"/>
        <v>0</v>
      </c>
      <c r="BC137" s="161">
        <f t="shared" si="28"/>
        <v>0</v>
      </c>
      <c r="BD137" s="161">
        <f t="shared" si="28"/>
        <v>0</v>
      </c>
      <c r="BE137" s="161">
        <f t="shared" si="28"/>
        <v>0</v>
      </c>
      <c r="BF137" s="161">
        <f t="shared" si="28"/>
        <v>0</v>
      </c>
      <c r="BG137" s="161">
        <f t="shared" si="28"/>
        <v>0</v>
      </c>
      <c r="BH137" s="161">
        <f t="shared" si="28"/>
        <v>0</v>
      </c>
      <c r="BI137" s="161">
        <f t="shared" si="28"/>
        <v>0</v>
      </c>
      <c r="BJ137" s="161">
        <f t="shared" si="28"/>
        <v>0</v>
      </c>
      <c r="BK137" s="161">
        <f t="shared" si="28"/>
        <v>0</v>
      </c>
      <c r="BL137" s="161">
        <f t="shared" si="28"/>
        <v>0</v>
      </c>
    </row>
    <row r="138" spans="2:64" s="163" customFormat="1" x14ac:dyDescent="0.15">
      <c r="C138" s="163" t="s">
        <v>414</v>
      </c>
      <c r="E138" s="276">
        <f t="shared" ref="E138:BL138" si="29">-IF(E5&gt;$D$7,0,E137-D137)</f>
        <v>-0.16371398412074356</v>
      </c>
      <c r="F138" s="276">
        <f t="shared" si="29"/>
        <v>2.7755575615628914E-17</v>
      </c>
      <c r="G138" s="276">
        <f t="shared" si="29"/>
        <v>2.7755575615628914E-17</v>
      </c>
      <c r="H138" s="276">
        <f t="shared" si="29"/>
        <v>-5.5511151231257827E-17</v>
      </c>
      <c r="I138" s="276">
        <f t="shared" si="29"/>
        <v>-2.7755575615628914E-17</v>
      </c>
      <c r="J138" s="276">
        <f t="shared" si="29"/>
        <v>2.7755575615628914E-17</v>
      </c>
      <c r="K138" s="276">
        <f t="shared" si="29"/>
        <v>0</v>
      </c>
      <c r="L138" s="276">
        <f t="shared" si="29"/>
        <v>0</v>
      </c>
      <c r="M138" s="276">
        <f t="shared" si="29"/>
        <v>0</v>
      </c>
      <c r="N138" s="276">
        <f t="shared" si="29"/>
        <v>0</v>
      </c>
      <c r="O138" s="276">
        <f t="shared" si="29"/>
        <v>0</v>
      </c>
      <c r="P138" s="276">
        <f t="shared" si="29"/>
        <v>0</v>
      </c>
      <c r="Q138" s="276">
        <f t="shared" si="29"/>
        <v>0</v>
      </c>
      <c r="R138" s="276">
        <f t="shared" si="29"/>
        <v>0</v>
      </c>
      <c r="S138" s="276">
        <f t="shared" si="29"/>
        <v>0</v>
      </c>
      <c r="T138" s="276">
        <f t="shared" si="29"/>
        <v>0</v>
      </c>
      <c r="U138" s="276">
        <f t="shared" si="29"/>
        <v>0</v>
      </c>
      <c r="V138" s="276">
        <f t="shared" si="29"/>
        <v>0</v>
      </c>
      <c r="W138" s="276">
        <f t="shared" si="29"/>
        <v>0</v>
      </c>
      <c r="X138" s="276">
        <f t="shared" si="29"/>
        <v>0</v>
      </c>
      <c r="Y138" s="276">
        <f t="shared" si="29"/>
        <v>0</v>
      </c>
      <c r="Z138" s="276">
        <f t="shared" si="29"/>
        <v>0</v>
      </c>
      <c r="AA138" s="276">
        <f t="shared" si="29"/>
        <v>0</v>
      </c>
      <c r="AB138" s="276">
        <f t="shared" si="29"/>
        <v>0</v>
      </c>
      <c r="AC138" s="276">
        <f t="shared" si="29"/>
        <v>0</v>
      </c>
      <c r="AD138" s="276">
        <f t="shared" si="29"/>
        <v>0</v>
      </c>
      <c r="AE138" s="276">
        <f t="shared" si="29"/>
        <v>0</v>
      </c>
      <c r="AF138" s="276">
        <f t="shared" si="29"/>
        <v>0</v>
      </c>
      <c r="AG138" s="276">
        <f t="shared" si="29"/>
        <v>0</v>
      </c>
      <c r="AH138" s="276">
        <f t="shared" si="29"/>
        <v>0</v>
      </c>
      <c r="AI138" s="276">
        <f t="shared" si="29"/>
        <v>0</v>
      </c>
      <c r="AJ138" s="276">
        <f t="shared" si="29"/>
        <v>0</v>
      </c>
      <c r="AK138" s="276">
        <f t="shared" si="29"/>
        <v>0</v>
      </c>
      <c r="AL138" s="276">
        <f t="shared" si="29"/>
        <v>0</v>
      </c>
      <c r="AM138" s="276">
        <f t="shared" si="29"/>
        <v>0</v>
      </c>
      <c r="AN138" s="276">
        <f t="shared" si="29"/>
        <v>0</v>
      </c>
      <c r="AO138" s="276">
        <f t="shared" si="29"/>
        <v>0</v>
      </c>
      <c r="AP138" s="276">
        <f t="shared" si="29"/>
        <v>0</v>
      </c>
      <c r="AQ138" s="276">
        <f t="shared" si="29"/>
        <v>0</v>
      </c>
      <c r="AR138" s="276">
        <f t="shared" si="29"/>
        <v>0</v>
      </c>
      <c r="AS138" s="276">
        <f t="shared" si="29"/>
        <v>0</v>
      </c>
      <c r="AT138" s="276">
        <f t="shared" si="29"/>
        <v>0</v>
      </c>
      <c r="AU138" s="276">
        <f t="shared" si="29"/>
        <v>0</v>
      </c>
      <c r="AV138" s="276">
        <f t="shared" si="29"/>
        <v>0</v>
      </c>
      <c r="AW138" s="276">
        <f t="shared" si="29"/>
        <v>0</v>
      </c>
      <c r="AX138" s="276">
        <f t="shared" si="29"/>
        <v>0</v>
      </c>
      <c r="AY138" s="276">
        <f t="shared" si="29"/>
        <v>0</v>
      </c>
      <c r="AZ138" s="276">
        <f t="shared" si="29"/>
        <v>0</v>
      </c>
      <c r="BA138" s="276">
        <f t="shared" si="29"/>
        <v>0</v>
      </c>
      <c r="BB138" s="276">
        <f t="shared" si="29"/>
        <v>0</v>
      </c>
      <c r="BC138" s="276">
        <f t="shared" si="29"/>
        <v>0</v>
      </c>
      <c r="BD138" s="276">
        <f t="shared" si="29"/>
        <v>0</v>
      </c>
      <c r="BE138" s="276">
        <f t="shared" si="29"/>
        <v>0</v>
      </c>
      <c r="BF138" s="276">
        <f t="shared" si="29"/>
        <v>0</v>
      </c>
      <c r="BG138" s="276">
        <f t="shared" si="29"/>
        <v>0</v>
      </c>
      <c r="BH138" s="276">
        <f t="shared" si="29"/>
        <v>0</v>
      </c>
      <c r="BI138" s="276">
        <f t="shared" si="29"/>
        <v>0</v>
      </c>
      <c r="BJ138" s="276">
        <f t="shared" si="29"/>
        <v>0</v>
      </c>
      <c r="BK138" s="276">
        <f t="shared" si="29"/>
        <v>0</v>
      </c>
      <c r="BL138" s="276">
        <f t="shared" si="29"/>
        <v>0</v>
      </c>
    </row>
    <row r="140" spans="2:64" x14ac:dyDescent="0.15">
      <c r="B140" s="163" t="s">
        <v>416</v>
      </c>
      <c r="Y140" s="89" t="s">
        <v>417</v>
      </c>
    </row>
    <row r="141" spans="2:64" s="163" customFormat="1" x14ac:dyDescent="0.15">
      <c r="C141" s="163" t="s">
        <v>414</v>
      </c>
    </row>
    <row r="142" spans="2:64" s="163" customFormat="1" x14ac:dyDescent="0.15">
      <c r="C142" s="89" t="s">
        <v>374</v>
      </c>
      <c r="E142" s="156">
        <f t="shared" ref="E142:BL146" si="30">IF(E$5&gt;$D$7,0,E25*$F104)</f>
        <v>0</v>
      </c>
      <c r="F142" s="156">
        <f t="shared" si="30"/>
        <v>0</v>
      </c>
      <c r="G142" s="156">
        <f t="shared" si="30"/>
        <v>0</v>
      </c>
      <c r="H142" s="156">
        <f t="shared" si="30"/>
        <v>0</v>
      </c>
      <c r="I142" s="156">
        <f t="shared" si="30"/>
        <v>0</v>
      </c>
      <c r="J142" s="156">
        <f t="shared" si="30"/>
        <v>0</v>
      </c>
      <c r="K142" s="156">
        <f t="shared" si="30"/>
        <v>0</v>
      </c>
      <c r="L142" s="156">
        <f t="shared" si="30"/>
        <v>0</v>
      </c>
      <c r="M142" s="156">
        <f t="shared" si="30"/>
        <v>0</v>
      </c>
      <c r="N142" s="156">
        <f t="shared" si="30"/>
        <v>0</v>
      </c>
      <c r="O142" s="156">
        <f t="shared" si="30"/>
        <v>0</v>
      </c>
      <c r="P142" s="156">
        <f t="shared" si="30"/>
        <v>0</v>
      </c>
      <c r="Q142" s="156">
        <f t="shared" si="30"/>
        <v>0</v>
      </c>
      <c r="R142" s="156">
        <f t="shared" si="30"/>
        <v>0</v>
      </c>
      <c r="S142" s="156">
        <f t="shared" si="30"/>
        <v>0</v>
      </c>
      <c r="T142" s="156">
        <f t="shared" si="30"/>
        <v>0</v>
      </c>
      <c r="U142" s="156">
        <f t="shared" si="30"/>
        <v>0</v>
      </c>
      <c r="V142" s="156">
        <f t="shared" si="30"/>
        <v>0</v>
      </c>
      <c r="W142" s="156">
        <f t="shared" si="30"/>
        <v>0</v>
      </c>
      <c r="X142" s="156">
        <f t="shared" si="30"/>
        <v>0</v>
      </c>
      <c r="Y142" s="156">
        <f t="shared" si="30"/>
        <v>0</v>
      </c>
      <c r="Z142" s="156">
        <f t="shared" si="30"/>
        <v>0</v>
      </c>
      <c r="AA142" s="156">
        <f t="shared" si="30"/>
        <v>0</v>
      </c>
      <c r="AB142" s="156">
        <f t="shared" si="30"/>
        <v>0</v>
      </c>
      <c r="AC142" s="156">
        <f t="shared" si="30"/>
        <v>0</v>
      </c>
      <c r="AD142" s="156">
        <f t="shared" si="30"/>
        <v>0</v>
      </c>
      <c r="AE142" s="156">
        <f t="shared" si="30"/>
        <v>0</v>
      </c>
      <c r="AF142" s="156">
        <f t="shared" si="30"/>
        <v>0</v>
      </c>
      <c r="AG142" s="156">
        <f t="shared" si="30"/>
        <v>0</v>
      </c>
      <c r="AH142" s="156">
        <f t="shared" si="30"/>
        <v>0</v>
      </c>
      <c r="AI142" s="156">
        <f t="shared" si="30"/>
        <v>0</v>
      </c>
      <c r="AJ142" s="156">
        <f t="shared" si="30"/>
        <v>0</v>
      </c>
      <c r="AK142" s="156">
        <f t="shared" si="30"/>
        <v>0</v>
      </c>
      <c r="AL142" s="156">
        <f t="shared" si="30"/>
        <v>0</v>
      </c>
      <c r="AM142" s="156">
        <f t="shared" si="30"/>
        <v>0</v>
      </c>
      <c r="AN142" s="156">
        <f t="shared" si="30"/>
        <v>0</v>
      </c>
      <c r="AO142" s="156">
        <f t="shared" si="30"/>
        <v>0</v>
      </c>
      <c r="AP142" s="156">
        <f t="shared" si="30"/>
        <v>0</v>
      </c>
      <c r="AQ142" s="156">
        <f t="shared" si="30"/>
        <v>0</v>
      </c>
      <c r="AR142" s="156">
        <f t="shared" si="30"/>
        <v>0</v>
      </c>
      <c r="AS142" s="156">
        <f t="shared" si="30"/>
        <v>0</v>
      </c>
      <c r="AT142" s="156">
        <f t="shared" si="30"/>
        <v>0</v>
      </c>
      <c r="AU142" s="156">
        <f t="shared" si="30"/>
        <v>0</v>
      </c>
      <c r="AV142" s="156">
        <f t="shared" si="30"/>
        <v>0</v>
      </c>
      <c r="AW142" s="156">
        <f t="shared" si="30"/>
        <v>0</v>
      </c>
      <c r="AX142" s="156">
        <f t="shared" si="30"/>
        <v>0</v>
      </c>
      <c r="AY142" s="156">
        <f t="shared" si="30"/>
        <v>0</v>
      </c>
      <c r="AZ142" s="156">
        <f t="shared" si="30"/>
        <v>0</v>
      </c>
      <c r="BA142" s="156">
        <f t="shared" si="30"/>
        <v>0</v>
      </c>
      <c r="BB142" s="156">
        <f t="shared" si="30"/>
        <v>0</v>
      </c>
      <c r="BC142" s="156">
        <f t="shared" si="30"/>
        <v>0</v>
      </c>
      <c r="BD142" s="156">
        <f t="shared" si="30"/>
        <v>0</v>
      </c>
      <c r="BE142" s="156">
        <f t="shared" si="30"/>
        <v>0</v>
      </c>
      <c r="BF142" s="156">
        <f t="shared" si="30"/>
        <v>0</v>
      </c>
      <c r="BG142" s="156">
        <f t="shared" si="30"/>
        <v>0</v>
      </c>
      <c r="BH142" s="156">
        <f t="shared" si="30"/>
        <v>0</v>
      </c>
      <c r="BI142" s="156">
        <f t="shared" si="30"/>
        <v>0</v>
      </c>
      <c r="BJ142" s="156">
        <f t="shared" si="30"/>
        <v>0</v>
      </c>
      <c r="BK142" s="156">
        <f t="shared" si="30"/>
        <v>0</v>
      </c>
      <c r="BL142" s="156">
        <f t="shared" si="30"/>
        <v>0</v>
      </c>
    </row>
    <row r="143" spans="2:64" s="163" customFormat="1" x14ac:dyDescent="0.15">
      <c r="C143" s="89" t="s">
        <v>376</v>
      </c>
      <c r="E143" s="156">
        <f t="shared" si="30"/>
        <v>1.5181162406515373E-2</v>
      </c>
      <c r="F143" s="156">
        <f t="shared" si="30"/>
        <v>0</v>
      </c>
      <c r="G143" s="156">
        <f t="shared" si="30"/>
        <v>0</v>
      </c>
      <c r="H143" s="156">
        <f t="shared" si="30"/>
        <v>0</v>
      </c>
      <c r="I143" s="156">
        <f t="shared" si="30"/>
        <v>0</v>
      </c>
      <c r="J143" s="156">
        <f t="shared" si="30"/>
        <v>0</v>
      </c>
      <c r="K143" s="156">
        <f t="shared" si="30"/>
        <v>0</v>
      </c>
      <c r="L143" s="156">
        <f t="shared" si="30"/>
        <v>0</v>
      </c>
      <c r="M143" s="156">
        <f t="shared" si="30"/>
        <v>0</v>
      </c>
      <c r="N143" s="156">
        <f t="shared" si="30"/>
        <v>0</v>
      </c>
      <c r="O143" s="156">
        <f t="shared" si="30"/>
        <v>0</v>
      </c>
      <c r="P143" s="156">
        <f t="shared" si="30"/>
        <v>0</v>
      </c>
      <c r="Q143" s="156">
        <f t="shared" si="30"/>
        <v>0</v>
      </c>
      <c r="R143" s="156">
        <f t="shared" si="30"/>
        <v>0</v>
      </c>
      <c r="S143" s="156">
        <f t="shared" si="30"/>
        <v>0</v>
      </c>
      <c r="T143" s="156">
        <f t="shared" si="30"/>
        <v>0</v>
      </c>
      <c r="U143" s="156">
        <f t="shared" si="30"/>
        <v>0</v>
      </c>
      <c r="V143" s="156">
        <f t="shared" si="30"/>
        <v>0</v>
      </c>
      <c r="W143" s="156">
        <f t="shared" si="30"/>
        <v>0</v>
      </c>
      <c r="X143" s="156">
        <f t="shared" si="30"/>
        <v>0</v>
      </c>
      <c r="Y143" s="156">
        <f t="shared" si="30"/>
        <v>0</v>
      </c>
      <c r="Z143" s="156">
        <f t="shared" si="30"/>
        <v>0</v>
      </c>
      <c r="AA143" s="156">
        <f t="shared" si="30"/>
        <v>0</v>
      </c>
      <c r="AB143" s="156">
        <f t="shared" si="30"/>
        <v>0</v>
      </c>
      <c r="AC143" s="156">
        <f t="shared" si="30"/>
        <v>0</v>
      </c>
      <c r="AD143" s="156">
        <f t="shared" si="30"/>
        <v>0</v>
      </c>
      <c r="AE143" s="156">
        <f t="shared" si="30"/>
        <v>0</v>
      </c>
      <c r="AF143" s="156">
        <f t="shared" si="30"/>
        <v>0</v>
      </c>
      <c r="AG143" s="156">
        <f t="shared" si="30"/>
        <v>0</v>
      </c>
      <c r="AH143" s="156">
        <f t="shared" si="30"/>
        <v>0</v>
      </c>
      <c r="AI143" s="156">
        <f t="shared" si="30"/>
        <v>0</v>
      </c>
      <c r="AJ143" s="156">
        <f t="shared" si="30"/>
        <v>0</v>
      </c>
      <c r="AK143" s="156">
        <f t="shared" si="30"/>
        <v>0</v>
      </c>
      <c r="AL143" s="156">
        <f t="shared" si="30"/>
        <v>0</v>
      </c>
      <c r="AM143" s="156">
        <f t="shared" si="30"/>
        <v>0</v>
      </c>
      <c r="AN143" s="156">
        <f t="shared" si="30"/>
        <v>0</v>
      </c>
      <c r="AO143" s="156">
        <f t="shared" si="30"/>
        <v>0</v>
      </c>
      <c r="AP143" s="156">
        <f t="shared" si="30"/>
        <v>0</v>
      </c>
      <c r="AQ143" s="156">
        <f t="shared" si="30"/>
        <v>0</v>
      </c>
      <c r="AR143" s="156">
        <f t="shared" si="30"/>
        <v>0</v>
      </c>
      <c r="AS143" s="156">
        <f t="shared" si="30"/>
        <v>0</v>
      </c>
      <c r="AT143" s="156">
        <f t="shared" si="30"/>
        <v>0</v>
      </c>
      <c r="AU143" s="156">
        <f t="shared" si="30"/>
        <v>0</v>
      </c>
      <c r="AV143" s="156">
        <f t="shared" si="30"/>
        <v>0</v>
      </c>
      <c r="AW143" s="156">
        <f t="shared" si="30"/>
        <v>0</v>
      </c>
      <c r="AX143" s="156">
        <f t="shared" si="30"/>
        <v>0</v>
      </c>
      <c r="AY143" s="156">
        <f t="shared" si="30"/>
        <v>0</v>
      </c>
      <c r="AZ143" s="156">
        <f t="shared" si="30"/>
        <v>0</v>
      </c>
      <c r="BA143" s="156">
        <f t="shared" si="30"/>
        <v>0</v>
      </c>
      <c r="BB143" s="156">
        <f t="shared" si="30"/>
        <v>0</v>
      </c>
      <c r="BC143" s="156">
        <f t="shared" si="30"/>
        <v>0</v>
      </c>
      <c r="BD143" s="156">
        <f t="shared" si="30"/>
        <v>0</v>
      </c>
      <c r="BE143" s="156">
        <f t="shared" si="30"/>
        <v>0</v>
      </c>
      <c r="BF143" s="156">
        <f t="shared" si="30"/>
        <v>0</v>
      </c>
      <c r="BG143" s="156">
        <f t="shared" si="30"/>
        <v>0</v>
      </c>
      <c r="BH143" s="156">
        <f t="shared" si="30"/>
        <v>0</v>
      </c>
      <c r="BI143" s="156">
        <f t="shared" si="30"/>
        <v>0</v>
      </c>
      <c r="BJ143" s="156">
        <f t="shared" si="30"/>
        <v>0</v>
      </c>
      <c r="BK143" s="156">
        <f t="shared" si="30"/>
        <v>0</v>
      </c>
      <c r="BL143" s="156">
        <f t="shared" si="30"/>
        <v>0</v>
      </c>
    </row>
    <row r="144" spans="2:64" s="163" customFormat="1" x14ac:dyDescent="0.15">
      <c r="C144" s="89" t="s">
        <v>377</v>
      </c>
      <c r="E144" s="156">
        <f t="shared" si="30"/>
        <v>0</v>
      </c>
      <c r="F144" s="156">
        <f t="shared" si="30"/>
        <v>1.1689495053016839E-2</v>
      </c>
      <c r="G144" s="156">
        <f t="shared" si="30"/>
        <v>0</v>
      </c>
      <c r="H144" s="156">
        <f t="shared" si="30"/>
        <v>0</v>
      </c>
      <c r="I144" s="156">
        <f t="shared" si="30"/>
        <v>0</v>
      </c>
      <c r="J144" s="156">
        <f t="shared" si="30"/>
        <v>0</v>
      </c>
      <c r="K144" s="156">
        <f t="shared" si="30"/>
        <v>0</v>
      </c>
      <c r="L144" s="156">
        <f t="shared" si="30"/>
        <v>0</v>
      </c>
      <c r="M144" s="156">
        <f t="shared" si="30"/>
        <v>0</v>
      </c>
      <c r="N144" s="156">
        <f t="shared" si="30"/>
        <v>0</v>
      </c>
      <c r="O144" s="156">
        <f t="shared" si="30"/>
        <v>0</v>
      </c>
      <c r="P144" s="156">
        <f t="shared" si="30"/>
        <v>0</v>
      </c>
      <c r="Q144" s="156">
        <f t="shared" si="30"/>
        <v>0</v>
      </c>
      <c r="R144" s="156">
        <f t="shared" si="30"/>
        <v>0</v>
      </c>
      <c r="S144" s="156">
        <f t="shared" si="30"/>
        <v>0</v>
      </c>
      <c r="T144" s="156">
        <f t="shared" si="30"/>
        <v>0</v>
      </c>
      <c r="U144" s="156">
        <f t="shared" si="30"/>
        <v>0</v>
      </c>
      <c r="V144" s="156">
        <f t="shared" si="30"/>
        <v>0</v>
      </c>
      <c r="W144" s="156">
        <f t="shared" si="30"/>
        <v>0</v>
      </c>
      <c r="X144" s="156">
        <f t="shared" si="30"/>
        <v>0</v>
      </c>
      <c r="Y144" s="156">
        <f t="shared" si="30"/>
        <v>0</v>
      </c>
      <c r="Z144" s="156">
        <f t="shared" si="30"/>
        <v>0</v>
      </c>
      <c r="AA144" s="156">
        <f t="shared" si="30"/>
        <v>0</v>
      </c>
      <c r="AB144" s="156">
        <f t="shared" si="30"/>
        <v>0</v>
      </c>
      <c r="AC144" s="156">
        <f t="shared" si="30"/>
        <v>0</v>
      </c>
      <c r="AD144" s="156">
        <f t="shared" si="30"/>
        <v>0</v>
      </c>
      <c r="AE144" s="156">
        <f t="shared" si="30"/>
        <v>0</v>
      </c>
      <c r="AF144" s="156">
        <f t="shared" si="30"/>
        <v>0</v>
      </c>
      <c r="AG144" s="156">
        <f t="shared" si="30"/>
        <v>0</v>
      </c>
      <c r="AH144" s="156">
        <f t="shared" si="30"/>
        <v>0</v>
      </c>
      <c r="AI144" s="156">
        <f t="shared" si="30"/>
        <v>0</v>
      </c>
      <c r="AJ144" s="156">
        <f t="shared" si="30"/>
        <v>0</v>
      </c>
      <c r="AK144" s="156">
        <f t="shared" si="30"/>
        <v>0</v>
      </c>
      <c r="AL144" s="156">
        <f t="shared" si="30"/>
        <v>0</v>
      </c>
      <c r="AM144" s="156">
        <f t="shared" si="30"/>
        <v>0</v>
      </c>
      <c r="AN144" s="156">
        <f t="shared" si="30"/>
        <v>0</v>
      </c>
      <c r="AO144" s="156">
        <f t="shared" si="30"/>
        <v>0</v>
      </c>
      <c r="AP144" s="156">
        <f t="shared" si="30"/>
        <v>0</v>
      </c>
      <c r="AQ144" s="156">
        <f t="shared" si="30"/>
        <v>0</v>
      </c>
      <c r="AR144" s="156">
        <f t="shared" si="30"/>
        <v>0</v>
      </c>
      <c r="AS144" s="156">
        <f t="shared" si="30"/>
        <v>0</v>
      </c>
      <c r="AT144" s="156">
        <f t="shared" si="30"/>
        <v>0</v>
      </c>
      <c r="AU144" s="156">
        <f t="shared" si="30"/>
        <v>0</v>
      </c>
      <c r="AV144" s="156">
        <f t="shared" si="30"/>
        <v>0</v>
      </c>
      <c r="AW144" s="156">
        <f t="shared" si="30"/>
        <v>0</v>
      </c>
      <c r="AX144" s="156">
        <f t="shared" si="30"/>
        <v>0</v>
      </c>
      <c r="AY144" s="156">
        <f t="shared" si="30"/>
        <v>0</v>
      </c>
      <c r="AZ144" s="156">
        <f t="shared" si="30"/>
        <v>0</v>
      </c>
      <c r="BA144" s="156">
        <f t="shared" si="30"/>
        <v>0</v>
      </c>
      <c r="BB144" s="156">
        <f t="shared" si="30"/>
        <v>0</v>
      </c>
      <c r="BC144" s="156">
        <f t="shared" si="30"/>
        <v>0</v>
      </c>
      <c r="BD144" s="156">
        <f t="shared" si="30"/>
        <v>0</v>
      </c>
      <c r="BE144" s="156">
        <f t="shared" si="30"/>
        <v>0</v>
      </c>
      <c r="BF144" s="156">
        <f t="shared" si="30"/>
        <v>0</v>
      </c>
      <c r="BG144" s="156">
        <f t="shared" si="30"/>
        <v>0</v>
      </c>
      <c r="BH144" s="156">
        <f t="shared" si="30"/>
        <v>0</v>
      </c>
      <c r="BI144" s="156">
        <f t="shared" si="30"/>
        <v>0</v>
      </c>
      <c r="BJ144" s="156">
        <f t="shared" si="30"/>
        <v>0</v>
      </c>
      <c r="BK144" s="156">
        <f t="shared" si="30"/>
        <v>0</v>
      </c>
      <c r="BL144" s="156">
        <f t="shared" si="30"/>
        <v>0</v>
      </c>
    </row>
    <row r="145" spans="2:64" s="163" customFormat="1" x14ac:dyDescent="0.15">
      <c r="C145" s="89" t="s">
        <v>378</v>
      </c>
      <c r="E145" s="156">
        <f t="shared" si="30"/>
        <v>0</v>
      </c>
      <c r="F145" s="156">
        <f t="shared" si="30"/>
        <v>0</v>
      </c>
      <c r="G145" s="156">
        <f t="shared" si="30"/>
        <v>1.0680092063424695E-2</v>
      </c>
      <c r="H145" s="156">
        <f t="shared" si="30"/>
        <v>0</v>
      </c>
      <c r="I145" s="156">
        <f t="shared" si="30"/>
        <v>0</v>
      </c>
      <c r="J145" s="156">
        <f t="shared" si="30"/>
        <v>0</v>
      </c>
      <c r="K145" s="156">
        <f t="shared" si="30"/>
        <v>0</v>
      </c>
      <c r="L145" s="156">
        <f t="shared" si="30"/>
        <v>0</v>
      </c>
      <c r="M145" s="156">
        <f t="shared" si="30"/>
        <v>0</v>
      </c>
      <c r="N145" s="156">
        <f t="shared" si="30"/>
        <v>0</v>
      </c>
      <c r="O145" s="156">
        <f t="shared" si="30"/>
        <v>0</v>
      </c>
      <c r="P145" s="156">
        <f t="shared" si="30"/>
        <v>0</v>
      </c>
      <c r="Q145" s="156">
        <f t="shared" si="30"/>
        <v>0</v>
      </c>
      <c r="R145" s="156">
        <f t="shared" si="30"/>
        <v>0</v>
      </c>
      <c r="S145" s="156">
        <f t="shared" si="30"/>
        <v>0</v>
      </c>
      <c r="T145" s="156">
        <f t="shared" si="30"/>
        <v>0</v>
      </c>
      <c r="U145" s="156">
        <f t="shared" si="30"/>
        <v>0</v>
      </c>
      <c r="V145" s="156">
        <f t="shared" si="30"/>
        <v>0</v>
      </c>
      <c r="W145" s="156">
        <f t="shared" si="30"/>
        <v>0</v>
      </c>
      <c r="X145" s="156">
        <f t="shared" si="30"/>
        <v>0</v>
      </c>
      <c r="Y145" s="156">
        <f t="shared" si="30"/>
        <v>0</v>
      </c>
      <c r="Z145" s="156">
        <f t="shared" si="30"/>
        <v>0</v>
      </c>
      <c r="AA145" s="156">
        <f t="shared" si="30"/>
        <v>0</v>
      </c>
      <c r="AB145" s="156">
        <f t="shared" si="30"/>
        <v>0</v>
      </c>
      <c r="AC145" s="156">
        <f t="shared" si="30"/>
        <v>0</v>
      </c>
      <c r="AD145" s="156">
        <f t="shared" si="30"/>
        <v>0</v>
      </c>
      <c r="AE145" s="156">
        <f t="shared" si="30"/>
        <v>0</v>
      </c>
      <c r="AF145" s="156">
        <f t="shared" si="30"/>
        <v>0</v>
      </c>
      <c r="AG145" s="156">
        <f t="shared" si="30"/>
        <v>0</v>
      </c>
      <c r="AH145" s="156">
        <f t="shared" si="30"/>
        <v>0</v>
      </c>
      <c r="AI145" s="156">
        <f t="shared" si="30"/>
        <v>0</v>
      </c>
      <c r="AJ145" s="156">
        <f t="shared" si="30"/>
        <v>0</v>
      </c>
      <c r="AK145" s="156">
        <f t="shared" si="30"/>
        <v>0</v>
      </c>
      <c r="AL145" s="156">
        <f t="shared" si="30"/>
        <v>0</v>
      </c>
      <c r="AM145" s="156">
        <f t="shared" si="30"/>
        <v>0</v>
      </c>
      <c r="AN145" s="156">
        <f t="shared" si="30"/>
        <v>0</v>
      </c>
      <c r="AO145" s="156">
        <f t="shared" si="30"/>
        <v>0</v>
      </c>
      <c r="AP145" s="156">
        <f t="shared" si="30"/>
        <v>0</v>
      </c>
      <c r="AQ145" s="156">
        <f t="shared" si="30"/>
        <v>0</v>
      </c>
      <c r="AR145" s="156">
        <f t="shared" si="30"/>
        <v>0</v>
      </c>
      <c r="AS145" s="156">
        <f t="shared" si="30"/>
        <v>0</v>
      </c>
      <c r="AT145" s="156">
        <f t="shared" si="30"/>
        <v>0</v>
      </c>
      <c r="AU145" s="156">
        <f t="shared" si="30"/>
        <v>0</v>
      </c>
      <c r="AV145" s="156">
        <f t="shared" si="30"/>
        <v>0</v>
      </c>
      <c r="AW145" s="156">
        <f t="shared" si="30"/>
        <v>0</v>
      </c>
      <c r="AX145" s="156">
        <f t="shared" si="30"/>
        <v>0</v>
      </c>
      <c r="AY145" s="156">
        <f t="shared" si="30"/>
        <v>0</v>
      </c>
      <c r="AZ145" s="156">
        <f t="shared" si="30"/>
        <v>0</v>
      </c>
      <c r="BA145" s="156">
        <f t="shared" si="30"/>
        <v>0</v>
      </c>
      <c r="BB145" s="156">
        <f t="shared" si="30"/>
        <v>0</v>
      </c>
      <c r="BC145" s="156">
        <f t="shared" si="30"/>
        <v>0</v>
      </c>
      <c r="BD145" s="156">
        <f t="shared" si="30"/>
        <v>0</v>
      </c>
      <c r="BE145" s="156">
        <f t="shared" si="30"/>
        <v>0</v>
      </c>
      <c r="BF145" s="156">
        <f t="shared" si="30"/>
        <v>0</v>
      </c>
      <c r="BG145" s="156">
        <f t="shared" si="30"/>
        <v>0</v>
      </c>
      <c r="BH145" s="156">
        <f t="shared" si="30"/>
        <v>0</v>
      </c>
      <c r="BI145" s="156">
        <f t="shared" si="30"/>
        <v>0</v>
      </c>
      <c r="BJ145" s="156">
        <f t="shared" si="30"/>
        <v>0</v>
      </c>
      <c r="BK145" s="156">
        <f t="shared" si="30"/>
        <v>0</v>
      </c>
      <c r="BL145" s="156">
        <f t="shared" si="30"/>
        <v>0</v>
      </c>
    </row>
    <row r="146" spans="2:64" s="163" customFormat="1" x14ac:dyDescent="0.15">
      <c r="C146" s="89" t="s">
        <v>380</v>
      </c>
      <c r="E146" s="156">
        <f t="shared" si="30"/>
        <v>0</v>
      </c>
      <c r="F146" s="156">
        <f t="shared" si="30"/>
        <v>0</v>
      </c>
      <c r="G146" s="156">
        <f t="shared" si="30"/>
        <v>0</v>
      </c>
      <c r="H146" s="156">
        <f t="shared" si="30"/>
        <v>3.7384965740274875E-2</v>
      </c>
      <c r="I146" s="156">
        <f t="shared" si="30"/>
        <v>0</v>
      </c>
      <c r="J146" s="156">
        <f t="shared" si="30"/>
        <v>0</v>
      </c>
      <c r="K146" s="156">
        <f t="shared" si="30"/>
        <v>0</v>
      </c>
      <c r="L146" s="156">
        <f t="shared" si="30"/>
        <v>0</v>
      </c>
      <c r="M146" s="156">
        <f t="shared" si="30"/>
        <v>0</v>
      </c>
      <c r="N146" s="156">
        <f t="shared" si="30"/>
        <v>0</v>
      </c>
      <c r="O146" s="156">
        <f t="shared" si="30"/>
        <v>0</v>
      </c>
      <c r="P146" s="156">
        <f t="shared" si="30"/>
        <v>0</v>
      </c>
      <c r="Q146" s="156">
        <f t="shared" si="30"/>
        <v>0</v>
      </c>
      <c r="R146" s="156">
        <f t="shared" si="30"/>
        <v>0</v>
      </c>
      <c r="S146" s="156">
        <f t="shared" si="30"/>
        <v>0</v>
      </c>
      <c r="T146" s="156">
        <f t="shared" ref="T146:BL154" si="31">IF(T$5&gt;$D$7,0,T29*$F108)</f>
        <v>0</v>
      </c>
      <c r="U146" s="156">
        <f t="shared" si="31"/>
        <v>0</v>
      </c>
      <c r="V146" s="156">
        <f t="shared" si="31"/>
        <v>0</v>
      </c>
      <c r="W146" s="156">
        <f t="shared" si="31"/>
        <v>0</v>
      </c>
      <c r="X146" s="156">
        <f t="shared" si="31"/>
        <v>0</v>
      </c>
      <c r="Y146" s="156">
        <f t="shared" si="31"/>
        <v>0</v>
      </c>
      <c r="Z146" s="156">
        <f t="shared" si="31"/>
        <v>0</v>
      </c>
      <c r="AA146" s="156">
        <f t="shared" si="31"/>
        <v>0</v>
      </c>
      <c r="AB146" s="156">
        <f t="shared" si="31"/>
        <v>0</v>
      </c>
      <c r="AC146" s="156">
        <f t="shared" si="31"/>
        <v>0</v>
      </c>
      <c r="AD146" s="156">
        <f t="shared" si="31"/>
        <v>0</v>
      </c>
      <c r="AE146" s="156">
        <f t="shared" si="31"/>
        <v>0</v>
      </c>
      <c r="AF146" s="156">
        <f t="shared" si="31"/>
        <v>0</v>
      </c>
      <c r="AG146" s="156">
        <f t="shared" si="31"/>
        <v>0</v>
      </c>
      <c r="AH146" s="156">
        <f t="shared" si="31"/>
        <v>0</v>
      </c>
      <c r="AI146" s="156">
        <f t="shared" si="31"/>
        <v>0</v>
      </c>
      <c r="AJ146" s="156">
        <f t="shared" si="31"/>
        <v>0</v>
      </c>
      <c r="AK146" s="156">
        <f t="shared" si="31"/>
        <v>0</v>
      </c>
      <c r="AL146" s="156">
        <f t="shared" si="31"/>
        <v>0</v>
      </c>
      <c r="AM146" s="156">
        <f t="shared" si="31"/>
        <v>0</v>
      </c>
      <c r="AN146" s="156">
        <f t="shared" si="31"/>
        <v>0</v>
      </c>
      <c r="AO146" s="156">
        <f t="shared" si="31"/>
        <v>0</v>
      </c>
      <c r="AP146" s="156">
        <f t="shared" si="31"/>
        <v>0</v>
      </c>
      <c r="AQ146" s="156">
        <f t="shared" si="31"/>
        <v>0</v>
      </c>
      <c r="AR146" s="156">
        <f t="shared" si="31"/>
        <v>0</v>
      </c>
      <c r="AS146" s="156">
        <f t="shared" si="31"/>
        <v>0</v>
      </c>
      <c r="AT146" s="156">
        <f t="shared" si="31"/>
        <v>0</v>
      </c>
      <c r="AU146" s="156">
        <f t="shared" si="31"/>
        <v>0</v>
      </c>
      <c r="AV146" s="156">
        <f t="shared" si="31"/>
        <v>0</v>
      </c>
      <c r="AW146" s="156">
        <f t="shared" si="31"/>
        <v>0</v>
      </c>
      <c r="AX146" s="156">
        <f t="shared" si="31"/>
        <v>0</v>
      </c>
      <c r="AY146" s="156">
        <f t="shared" si="31"/>
        <v>0</v>
      </c>
      <c r="AZ146" s="156">
        <f t="shared" si="31"/>
        <v>0</v>
      </c>
      <c r="BA146" s="156">
        <f t="shared" si="31"/>
        <v>0</v>
      </c>
      <c r="BB146" s="156">
        <f t="shared" si="31"/>
        <v>0</v>
      </c>
      <c r="BC146" s="156">
        <f t="shared" si="31"/>
        <v>0</v>
      </c>
      <c r="BD146" s="156">
        <f t="shared" si="31"/>
        <v>0</v>
      </c>
      <c r="BE146" s="156">
        <f t="shared" si="31"/>
        <v>0</v>
      </c>
      <c r="BF146" s="156">
        <f t="shared" si="31"/>
        <v>0</v>
      </c>
      <c r="BG146" s="156">
        <f t="shared" si="31"/>
        <v>0</v>
      </c>
      <c r="BH146" s="156">
        <f t="shared" si="31"/>
        <v>0</v>
      </c>
      <c r="BI146" s="156">
        <f t="shared" si="31"/>
        <v>0</v>
      </c>
      <c r="BJ146" s="156">
        <f t="shared" si="31"/>
        <v>0</v>
      </c>
      <c r="BK146" s="156">
        <f t="shared" si="31"/>
        <v>0</v>
      </c>
      <c r="BL146" s="156">
        <f t="shared" si="31"/>
        <v>0</v>
      </c>
    </row>
    <row r="147" spans="2:64" s="163" customFormat="1" x14ac:dyDescent="0.15">
      <c r="C147" s="89" t="s">
        <v>381</v>
      </c>
      <c r="E147" s="156">
        <f t="shared" ref="E147:AJ154" si="32">IF(E$5&gt;$D$7,0,E30*$F109)</f>
        <v>0</v>
      </c>
      <c r="F147" s="156">
        <f t="shared" si="32"/>
        <v>0</v>
      </c>
      <c r="G147" s="156">
        <f t="shared" si="32"/>
        <v>0</v>
      </c>
      <c r="H147" s="156">
        <f t="shared" si="32"/>
        <v>0</v>
      </c>
      <c r="I147" s="156">
        <f t="shared" si="32"/>
        <v>3.7011116082872129E-2</v>
      </c>
      <c r="J147" s="156">
        <f t="shared" si="32"/>
        <v>0</v>
      </c>
      <c r="K147" s="156">
        <f t="shared" si="32"/>
        <v>0</v>
      </c>
      <c r="L147" s="156">
        <f t="shared" si="32"/>
        <v>0</v>
      </c>
      <c r="M147" s="156">
        <f t="shared" si="32"/>
        <v>0</v>
      </c>
      <c r="N147" s="156">
        <f t="shared" si="32"/>
        <v>0</v>
      </c>
      <c r="O147" s="156">
        <f t="shared" si="32"/>
        <v>0</v>
      </c>
      <c r="P147" s="156">
        <f t="shared" si="32"/>
        <v>0</v>
      </c>
      <c r="Q147" s="156">
        <f t="shared" si="32"/>
        <v>0</v>
      </c>
      <c r="R147" s="156">
        <f t="shared" si="32"/>
        <v>0</v>
      </c>
      <c r="S147" s="156">
        <f t="shared" si="32"/>
        <v>0</v>
      </c>
      <c r="T147" s="156">
        <f t="shared" si="32"/>
        <v>0</v>
      </c>
      <c r="U147" s="156">
        <f t="shared" si="32"/>
        <v>0</v>
      </c>
      <c r="V147" s="156">
        <f t="shared" si="32"/>
        <v>0</v>
      </c>
      <c r="W147" s="156">
        <f t="shared" si="32"/>
        <v>0</v>
      </c>
      <c r="X147" s="156">
        <f t="shared" si="32"/>
        <v>0</v>
      </c>
      <c r="Y147" s="156">
        <f t="shared" si="32"/>
        <v>0</v>
      </c>
      <c r="Z147" s="156">
        <f t="shared" si="32"/>
        <v>0</v>
      </c>
      <c r="AA147" s="156">
        <f t="shared" si="32"/>
        <v>0</v>
      </c>
      <c r="AB147" s="156">
        <f t="shared" si="32"/>
        <v>0</v>
      </c>
      <c r="AC147" s="156">
        <f t="shared" si="32"/>
        <v>0</v>
      </c>
      <c r="AD147" s="156">
        <f t="shared" si="32"/>
        <v>0</v>
      </c>
      <c r="AE147" s="156">
        <f t="shared" si="32"/>
        <v>0</v>
      </c>
      <c r="AF147" s="156">
        <f t="shared" si="32"/>
        <v>0</v>
      </c>
      <c r="AG147" s="156">
        <f t="shared" si="32"/>
        <v>0</v>
      </c>
      <c r="AH147" s="156">
        <f t="shared" si="32"/>
        <v>0</v>
      </c>
      <c r="AI147" s="156">
        <f t="shared" si="32"/>
        <v>0</v>
      </c>
      <c r="AJ147" s="156">
        <f t="shared" si="32"/>
        <v>0</v>
      </c>
      <c r="AK147" s="156">
        <f t="shared" si="31"/>
        <v>0</v>
      </c>
      <c r="AL147" s="156">
        <f t="shared" si="31"/>
        <v>0</v>
      </c>
      <c r="AM147" s="156">
        <f t="shared" si="31"/>
        <v>0</v>
      </c>
      <c r="AN147" s="156">
        <f t="shared" si="31"/>
        <v>0</v>
      </c>
      <c r="AO147" s="156">
        <f t="shared" si="31"/>
        <v>0</v>
      </c>
      <c r="AP147" s="156">
        <f t="shared" si="31"/>
        <v>0</v>
      </c>
      <c r="AQ147" s="156">
        <f t="shared" si="31"/>
        <v>0</v>
      </c>
      <c r="AR147" s="156">
        <f t="shared" si="31"/>
        <v>0</v>
      </c>
      <c r="AS147" s="156">
        <f t="shared" si="31"/>
        <v>0</v>
      </c>
      <c r="AT147" s="156">
        <f t="shared" si="31"/>
        <v>0</v>
      </c>
      <c r="AU147" s="156">
        <f t="shared" si="31"/>
        <v>0</v>
      </c>
      <c r="AV147" s="156">
        <f t="shared" si="31"/>
        <v>0</v>
      </c>
      <c r="AW147" s="156">
        <f t="shared" si="31"/>
        <v>0</v>
      </c>
      <c r="AX147" s="156">
        <f t="shared" si="31"/>
        <v>0</v>
      </c>
      <c r="AY147" s="156">
        <f t="shared" si="31"/>
        <v>0</v>
      </c>
      <c r="AZ147" s="156">
        <f t="shared" si="31"/>
        <v>0</v>
      </c>
      <c r="BA147" s="156">
        <f t="shared" si="31"/>
        <v>0</v>
      </c>
      <c r="BB147" s="156">
        <f t="shared" si="31"/>
        <v>0</v>
      </c>
      <c r="BC147" s="156">
        <f t="shared" si="31"/>
        <v>0</v>
      </c>
      <c r="BD147" s="156">
        <f t="shared" si="31"/>
        <v>0</v>
      </c>
      <c r="BE147" s="156">
        <f t="shared" si="31"/>
        <v>0</v>
      </c>
      <c r="BF147" s="156">
        <f t="shared" si="31"/>
        <v>0</v>
      </c>
      <c r="BG147" s="156">
        <f t="shared" si="31"/>
        <v>0</v>
      </c>
      <c r="BH147" s="156">
        <f t="shared" si="31"/>
        <v>0</v>
      </c>
      <c r="BI147" s="156">
        <f t="shared" si="31"/>
        <v>0</v>
      </c>
      <c r="BJ147" s="156">
        <f t="shared" si="31"/>
        <v>0</v>
      </c>
      <c r="BK147" s="156">
        <f t="shared" si="31"/>
        <v>0</v>
      </c>
      <c r="BL147" s="156">
        <f t="shared" si="31"/>
        <v>0</v>
      </c>
    </row>
    <row r="148" spans="2:64" s="163" customFormat="1" x14ac:dyDescent="0.15">
      <c r="C148" s="89" t="s">
        <v>382</v>
      </c>
      <c r="E148" s="156">
        <f t="shared" si="32"/>
        <v>0</v>
      </c>
      <c r="F148" s="156">
        <f t="shared" si="32"/>
        <v>0</v>
      </c>
      <c r="G148" s="156">
        <f t="shared" si="32"/>
        <v>0</v>
      </c>
      <c r="H148" s="156">
        <f t="shared" si="32"/>
        <v>0</v>
      </c>
      <c r="I148" s="156">
        <f t="shared" si="32"/>
        <v>0</v>
      </c>
      <c r="J148" s="156">
        <f t="shared" si="32"/>
        <v>3.6641004922043405E-2</v>
      </c>
      <c r="K148" s="156">
        <f t="shared" si="32"/>
        <v>0</v>
      </c>
      <c r="L148" s="156">
        <f t="shared" si="32"/>
        <v>0</v>
      </c>
      <c r="M148" s="156">
        <f t="shared" si="32"/>
        <v>0</v>
      </c>
      <c r="N148" s="156">
        <f t="shared" si="32"/>
        <v>0</v>
      </c>
      <c r="O148" s="156">
        <f t="shared" si="32"/>
        <v>0</v>
      </c>
      <c r="P148" s="156">
        <f t="shared" si="32"/>
        <v>0</v>
      </c>
      <c r="Q148" s="156">
        <f t="shared" si="32"/>
        <v>0</v>
      </c>
      <c r="R148" s="156">
        <f t="shared" si="32"/>
        <v>0</v>
      </c>
      <c r="S148" s="156">
        <f t="shared" si="32"/>
        <v>0</v>
      </c>
      <c r="T148" s="156">
        <f t="shared" si="32"/>
        <v>0</v>
      </c>
      <c r="U148" s="156">
        <f t="shared" si="32"/>
        <v>0</v>
      </c>
      <c r="V148" s="156">
        <f t="shared" si="32"/>
        <v>0</v>
      </c>
      <c r="W148" s="156">
        <f t="shared" si="32"/>
        <v>0</v>
      </c>
      <c r="X148" s="156">
        <f t="shared" si="32"/>
        <v>0</v>
      </c>
      <c r="Y148" s="156">
        <f t="shared" si="32"/>
        <v>0</v>
      </c>
      <c r="Z148" s="156">
        <f t="shared" si="32"/>
        <v>0</v>
      </c>
      <c r="AA148" s="156">
        <f t="shared" si="32"/>
        <v>0</v>
      </c>
      <c r="AB148" s="156">
        <f t="shared" si="32"/>
        <v>0</v>
      </c>
      <c r="AC148" s="156">
        <f t="shared" si="32"/>
        <v>0</v>
      </c>
      <c r="AD148" s="156">
        <f t="shared" si="32"/>
        <v>0</v>
      </c>
      <c r="AE148" s="156">
        <f t="shared" si="32"/>
        <v>0</v>
      </c>
      <c r="AF148" s="156">
        <f t="shared" si="32"/>
        <v>0</v>
      </c>
      <c r="AG148" s="156">
        <f t="shared" si="32"/>
        <v>0</v>
      </c>
      <c r="AH148" s="156">
        <f t="shared" si="32"/>
        <v>0</v>
      </c>
      <c r="AI148" s="156">
        <f t="shared" si="32"/>
        <v>0</v>
      </c>
      <c r="AJ148" s="156">
        <f t="shared" si="32"/>
        <v>0</v>
      </c>
      <c r="AK148" s="156">
        <f t="shared" si="31"/>
        <v>0</v>
      </c>
      <c r="AL148" s="156">
        <f t="shared" si="31"/>
        <v>0</v>
      </c>
      <c r="AM148" s="156">
        <f t="shared" si="31"/>
        <v>0</v>
      </c>
      <c r="AN148" s="156">
        <f t="shared" si="31"/>
        <v>0</v>
      </c>
      <c r="AO148" s="156">
        <f t="shared" si="31"/>
        <v>0</v>
      </c>
      <c r="AP148" s="156">
        <f t="shared" si="31"/>
        <v>0</v>
      </c>
      <c r="AQ148" s="156">
        <f t="shared" si="31"/>
        <v>0</v>
      </c>
      <c r="AR148" s="156">
        <f t="shared" si="31"/>
        <v>0</v>
      </c>
      <c r="AS148" s="156">
        <f t="shared" si="31"/>
        <v>0</v>
      </c>
      <c r="AT148" s="156">
        <f t="shared" si="31"/>
        <v>0</v>
      </c>
      <c r="AU148" s="156">
        <f t="shared" si="31"/>
        <v>0</v>
      </c>
      <c r="AV148" s="156">
        <f t="shared" si="31"/>
        <v>0</v>
      </c>
      <c r="AW148" s="156">
        <f t="shared" si="31"/>
        <v>0</v>
      </c>
      <c r="AX148" s="156">
        <f t="shared" si="31"/>
        <v>0</v>
      </c>
      <c r="AY148" s="156">
        <f t="shared" si="31"/>
        <v>0</v>
      </c>
      <c r="AZ148" s="156">
        <f t="shared" si="31"/>
        <v>0</v>
      </c>
      <c r="BA148" s="156">
        <f t="shared" si="31"/>
        <v>0</v>
      </c>
      <c r="BB148" s="156">
        <f t="shared" si="31"/>
        <v>0</v>
      </c>
      <c r="BC148" s="156">
        <f t="shared" si="31"/>
        <v>0</v>
      </c>
      <c r="BD148" s="156">
        <f t="shared" si="31"/>
        <v>0</v>
      </c>
      <c r="BE148" s="156">
        <f t="shared" si="31"/>
        <v>0</v>
      </c>
      <c r="BF148" s="156">
        <f t="shared" si="31"/>
        <v>0</v>
      </c>
      <c r="BG148" s="156">
        <f t="shared" si="31"/>
        <v>0</v>
      </c>
      <c r="BH148" s="156">
        <f t="shared" si="31"/>
        <v>0</v>
      </c>
      <c r="BI148" s="156">
        <f t="shared" si="31"/>
        <v>0</v>
      </c>
      <c r="BJ148" s="156">
        <f t="shared" si="31"/>
        <v>0</v>
      </c>
      <c r="BK148" s="156">
        <f t="shared" si="31"/>
        <v>0</v>
      </c>
      <c r="BL148" s="156">
        <f t="shared" si="31"/>
        <v>0</v>
      </c>
    </row>
    <row r="149" spans="2:64" s="163" customFormat="1" x14ac:dyDescent="0.15">
      <c r="C149" s="89" t="s">
        <v>384</v>
      </c>
      <c r="E149" s="156">
        <f t="shared" si="32"/>
        <v>0</v>
      </c>
      <c r="F149" s="156">
        <f t="shared" si="32"/>
        <v>0</v>
      </c>
      <c r="G149" s="156">
        <f t="shared" si="32"/>
        <v>0</v>
      </c>
      <c r="H149" s="156">
        <f t="shared" si="32"/>
        <v>0</v>
      </c>
      <c r="I149" s="156">
        <f t="shared" si="32"/>
        <v>0</v>
      </c>
      <c r="J149" s="156">
        <f t="shared" si="32"/>
        <v>0</v>
      </c>
      <c r="K149" s="156">
        <f t="shared" si="32"/>
        <v>8.9167872038300455E-2</v>
      </c>
      <c r="L149" s="156">
        <f t="shared" si="32"/>
        <v>0</v>
      </c>
      <c r="M149" s="156">
        <f t="shared" si="32"/>
        <v>0</v>
      </c>
      <c r="N149" s="156">
        <f t="shared" si="32"/>
        <v>0</v>
      </c>
      <c r="O149" s="156">
        <f t="shared" si="32"/>
        <v>0</v>
      </c>
      <c r="P149" s="156">
        <f t="shared" si="32"/>
        <v>0</v>
      </c>
      <c r="Q149" s="156">
        <f t="shared" si="32"/>
        <v>0</v>
      </c>
      <c r="R149" s="156">
        <f t="shared" si="32"/>
        <v>0</v>
      </c>
      <c r="S149" s="156">
        <f t="shared" si="32"/>
        <v>0</v>
      </c>
      <c r="T149" s="156">
        <f t="shared" si="32"/>
        <v>0</v>
      </c>
      <c r="U149" s="156">
        <f t="shared" si="32"/>
        <v>0</v>
      </c>
      <c r="V149" s="156">
        <f t="shared" si="32"/>
        <v>0</v>
      </c>
      <c r="W149" s="156">
        <f t="shared" si="32"/>
        <v>0</v>
      </c>
      <c r="X149" s="156">
        <f t="shared" si="32"/>
        <v>0</v>
      </c>
      <c r="Y149" s="156">
        <f t="shared" si="32"/>
        <v>0</v>
      </c>
      <c r="Z149" s="156">
        <f t="shared" si="32"/>
        <v>0</v>
      </c>
      <c r="AA149" s="156">
        <f t="shared" si="32"/>
        <v>0</v>
      </c>
      <c r="AB149" s="156">
        <f t="shared" si="32"/>
        <v>0</v>
      </c>
      <c r="AC149" s="156">
        <f t="shared" si="32"/>
        <v>0</v>
      </c>
      <c r="AD149" s="156">
        <f t="shared" si="32"/>
        <v>0</v>
      </c>
      <c r="AE149" s="156">
        <f t="shared" si="32"/>
        <v>0</v>
      </c>
      <c r="AF149" s="156">
        <f t="shared" si="32"/>
        <v>0</v>
      </c>
      <c r="AG149" s="156">
        <f t="shared" si="32"/>
        <v>0</v>
      </c>
      <c r="AH149" s="156">
        <f t="shared" si="32"/>
        <v>0</v>
      </c>
      <c r="AI149" s="156">
        <f t="shared" si="32"/>
        <v>0</v>
      </c>
      <c r="AJ149" s="156">
        <f t="shared" si="32"/>
        <v>0</v>
      </c>
      <c r="AK149" s="156">
        <f t="shared" si="31"/>
        <v>0</v>
      </c>
      <c r="AL149" s="156">
        <f t="shared" si="31"/>
        <v>0</v>
      </c>
      <c r="AM149" s="156">
        <f t="shared" si="31"/>
        <v>0</v>
      </c>
      <c r="AN149" s="156">
        <f t="shared" si="31"/>
        <v>0</v>
      </c>
      <c r="AO149" s="156">
        <f t="shared" si="31"/>
        <v>0</v>
      </c>
      <c r="AP149" s="156">
        <f t="shared" si="31"/>
        <v>0</v>
      </c>
      <c r="AQ149" s="156">
        <f t="shared" si="31"/>
        <v>0</v>
      </c>
      <c r="AR149" s="156">
        <f t="shared" si="31"/>
        <v>0</v>
      </c>
      <c r="AS149" s="156">
        <f t="shared" si="31"/>
        <v>0</v>
      </c>
      <c r="AT149" s="156">
        <f t="shared" si="31"/>
        <v>0</v>
      </c>
      <c r="AU149" s="156">
        <f t="shared" si="31"/>
        <v>0</v>
      </c>
      <c r="AV149" s="156">
        <f t="shared" si="31"/>
        <v>0</v>
      </c>
      <c r="AW149" s="156">
        <f t="shared" si="31"/>
        <v>0</v>
      </c>
      <c r="AX149" s="156">
        <f t="shared" si="31"/>
        <v>0</v>
      </c>
      <c r="AY149" s="156">
        <f t="shared" si="31"/>
        <v>0</v>
      </c>
      <c r="AZ149" s="156">
        <f t="shared" si="31"/>
        <v>0</v>
      </c>
      <c r="BA149" s="156">
        <f t="shared" si="31"/>
        <v>0</v>
      </c>
      <c r="BB149" s="156">
        <f t="shared" si="31"/>
        <v>0</v>
      </c>
      <c r="BC149" s="156">
        <f t="shared" si="31"/>
        <v>0</v>
      </c>
      <c r="BD149" s="156">
        <f t="shared" si="31"/>
        <v>0</v>
      </c>
      <c r="BE149" s="156">
        <f t="shared" si="31"/>
        <v>0</v>
      </c>
      <c r="BF149" s="156">
        <f t="shared" si="31"/>
        <v>0</v>
      </c>
      <c r="BG149" s="156">
        <f t="shared" si="31"/>
        <v>0</v>
      </c>
      <c r="BH149" s="156">
        <f t="shared" si="31"/>
        <v>0</v>
      </c>
      <c r="BI149" s="156">
        <f t="shared" si="31"/>
        <v>0</v>
      </c>
      <c r="BJ149" s="156">
        <f t="shared" si="31"/>
        <v>0</v>
      </c>
      <c r="BK149" s="156">
        <f t="shared" si="31"/>
        <v>0</v>
      </c>
      <c r="BL149" s="156">
        <f t="shared" si="31"/>
        <v>0</v>
      </c>
    </row>
    <row r="150" spans="2:64" s="163" customFormat="1" x14ac:dyDescent="0.15">
      <c r="C150" s="89" t="s">
        <v>385</v>
      </c>
      <c r="E150" s="156">
        <f t="shared" si="32"/>
        <v>0</v>
      </c>
      <c r="F150" s="156">
        <f t="shared" si="32"/>
        <v>0</v>
      </c>
      <c r="G150" s="156">
        <f t="shared" si="32"/>
        <v>0</v>
      </c>
      <c r="H150" s="156">
        <f t="shared" si="32"/>
        <v>0</v>
      </c>
      <c r="I150" s="156">
        <f t="shared" si="32"/>
        <v>0</v>
      </c>
      <c r="J150" s="156">
        <f t="shared" si="32"/>
        <v>0</v>
      </c>
      <c r="K150" s="156">
        <f t="shared" si="32"/>
        <v>0</v>
      </c>
      <c r="L150" s="156">
        <f t="shared" si="32"/>
        <v>0</v>
      </c>
      <c r="M150" s="156">
        <f t="shared" si="32"/>
        <v>0</v>
      </c>
      <c r="N150" s="156">
        <f t="shared" si="32"/>
        <v>0</v>
      </c>
      <c r="O150" s="156">
        <f t="shared" si="32"/>
        <v>0</v>
      </c>
      <c r="P150" s="156">
        <f t="shared" si="32"/>
        <v>0</v>
      </c>
      <c r="Q150" s="156">
        <f t="shared" si="32"/>
        <v>0</v>
      </c>
      <c r="R150" s="156">
        <f t="shared" si="32"/>
        <v>0</v>
      </c>
      <c r="S150" s="156">
        <f t="shared" si="32"/>
        <v>0</v>
      </c>
      <c r="T150" s="156">
        <f t="shared" si="32"/>
        <v>0</v>
      </c>
      <c r="U150" s="156">
        <f t="shared" si="32"/>
        <v>0</v>
      </c>
      <c r="V150" s="156">
        <f t="shared" si="32"/>
        <v>0</v>
      </c>
      <c r="W150" s="156">
        <f t="shared" si="32"/>
        <v>0</v>
      </c>
      <c r="X150" s="156">
        <f t="shared" si="32"/>
        <v>0</v>
      </c>
      <c r="Y150" s="156">
        <f t="shared" si="32"/>
        <v>0</v>
      </c>
      <c r="Z150" s="156">
        <f t="shared" si="32"/>
        <v>0</v>
      </c>
      <c r="AA150" s="156">
        <f t="shared" si="32"/>
        <v>0</v>
      </c>
      <c r="AB150" s="156">
        <f t="shared" si="32"/>
        <v>0</v>
      </c>
      <c r="AC150" s="156">
        <f t="shared" si="32"/>
        <v>0</v>
      </c>
      <c r="AD150" s="156">
        <f t="shared" si="32"/>
        <v>0</v>
      </c>
      <c r="AE150" s="156">
        <f t="shared" si="32"/>
        <v>0</v>
      </c>
      <c r="AF150" s="156">
        <f t="shared" si="32"/>
        <v>0</v>
      </c>
      <c r="AG150" s="156">
        <f t="shared" si="32"/>
        <v>0</v>
      </c>
      <c r="AH150" s="156">
        <f t="shared" si="32"/>
        <v>0</v>
      </c>
      <c r="AI150" s="156">
        <f t="shared" si="32"/>
        <v>0</v>
      </c>
      <c r="AJ150" s="156">
        <f t="shared" si="32"/>
        <v>0</v>
      </c>
      <c r="AK150" s="156">
        <f t="shared" si="31"/>
        <v>0</v>
      </c>
      <c r="AL150" s="156">
        <f t="shared" si="31"/>
        <v>0</v>
      </c>
      <c r="AM150" s="156">
        <f t="shared" si="31"/>
        <v>0</v>
      </c>
      <c r="AN150" s="156">
        <f t="shared" si="31"/>
        <v>0</v>
      </c>
      <c r="AO150" s="156">
        <f t="shared" si="31"/>
        <v>0</v>
      </c>
      <c r="AP150" s="156">
        <f t="shared" si="31"/>
        <v>0</v>
      </c>
      <c r="AQ150" s="156">
        <f t="shared" si="31"/>
        <v>0</v>
      </c>
      <c r="AR150" s="156">
        <f t="shared" si="31"/>
        <v>0</v>
      </c>
      <c r="AS150" s="156">
        <f t="shared" si="31"/>
        <v>0</v>
      </c>
      <c r="AT150" s="156">
        <f t="shared" si="31"/>
        <v>0</v>
      </c>
      <c r="AU150" s="156">
        <f t="shared" si="31"/>
        <v>0</v>
      </c>
      <c r="AV150" s="156">
        <f t="shared" si="31"/>
        <v>0</v>
      </c>
      <c r="AW150" s="156">
        <f t="shared" si="31"/>
        <v>0</v>
      </c>
      <c r="AX150" s="156">
        <f t="shared" si="31"/>
        <v>0</v>
      </c>
      <c r="AY150" s="156">
        <f t="shared" si="31"/>
        <v>0</v>
      </c>
      <c r="AZ150" s="156">
        <f t="shared" si="31"/>
        <v>0</v>
      </c>
      <c r="BA150" s="156">
        <f t="shared" si="31"/>
        <v>0</v>
      </c>
      <c r="BB150" s="156">
        <f t="shared" si="31"/>
        <v>0</v>
      </c>
      <c r="BC150" s="156">
        <f t="shared" si="31"/>
        <v>0</v>
      </c>
      <c r="BD150" s="156">
        <f t="shared" si="31"/>
        <v>0</v>
      </c>
      <c r="BE150" s="156">
        <f t="shared" si="31"/>
        <v>0</v>
      </c>
      <c r="BF150" s="156">
        <f t="shared" si="31"/>
        <v>0</v>
      </c>
      <c r="BG150" s="156">
        <f t="shared" si="31"/>
        <v>0</v>
      </c>
      <c r="BH150" s="156">
        <f t="shared" si="31"/>
        <v>0</v>
      </c>
      <c r="BI150" s="156">
        <f t="shared" si="31"/>
        <v>0</v>
      </c>
      <c r="BJ150" s="156">
        <f t="shared" si="31"/>
        <v>0</v>
      </c>
      <c r="BK150" s="156">
        <f t="shared" si="31"/>
        <v>0</v>
      </c>
      <c r="BL150" s="156">
        <f t="shared" si="31"/>
        <v>0</v>
      </c>
    </row>
    <row r="151" spans="2:64" s="163" customFormat="1" x14ac:dyDescent="0.15">
      <c r="C151" s="89" t="s">
        <v>386</v>
      </c>
      <c r="E151" s="156">
        <f t="shared" si="32"/>
        <v>0</v>
      </c>
      <c r="F151" s="156">
        <f t="shared" si="32"/>
        <v>0</v>
      </c>
      <c r="G151" s="156">
        <f t="shared" si="32"/>
        <v>0</v>
      </c>
      <c r="H151" s="156">
        <f t="shared" si="32"/>
        <v>0</v>
      </c>
      <c r="I151" s="156">
        <f t="shared" si="32"/>
        <v>0</v>
      </c>
      <c r="J151" s="156">
        <f t="shared" si="32"/>
        <v>0</v>
      </c>
      <c r="K151" s="156">
        <f t="shared" si="32"/>
        <v>0</v>
      </c>
      <c r="L151" s="156">
        <f t="shared" si="32"/>
        <v>0</v>
      </c>
      <c r="M151" s="156">
        <f t="shared" si="32"/>
        <v>0</v>
      </c>
      <c r="N151" s="156">
        <f t="shared" si="32"/>
        <v>0</v>
      </c>
      <c r="O151" s="156">
        <f t="shared" si="32"/>
        <v>0</v>
      </c>
      <c r="P151" s="156">
        <f t="shared" si="32"/>
        <v>0</v>
      </c>
      <c r="Q151" s="156">
        <f t="shared" si="32"/>
        <v>0</v>
      </c>
      <c r="R151" s="156">
        <f t="shared" si="32"/>
        <v>0</v>
      </c>
      <c r="S151" s="156">
        <f t="shared" si="32"/>
        <v>0</v>
      </c>
      <c r="T151" s="156">
        <f t="shared" si="32"/>
        <v>0</v>
      </c>
      <c r="U151" s="156">
        <f t="shared" si="32"/>
        <v>0</v>
      </c>
      <c r="V151" s="156">
        <f t="shared" si="32"/>
        <v>0</v>
      </c>
      <c r="W151" s="156">
        <f t="shared" si="32"/>
        <v>0</v>
      </c>
      <c r="X151" s="156">
        <f t="shared" si="32"/>
        <v>0</v>
      </c>
      <c r="Y151" s="156">
        <f t="shared" si="32"/>
        <v>0</v>
      </c>
      <c r="Z151" s="156">
        <f t="shared" si="32"/>
        <v>0</v>
      </c>
      <c r="AA151" s="156">
        <f t="shared" si="32"/>
        <v>0</v>
      </c>
      <c r="AB151" s="156">
        <f t="shared" si="32"/>
        <v>0</v>
      </c>
      <c r="AC151" s="156">
        <f t="shared" si="32"/>
        <v>0</v>
      </c>
      <c r="AD151" s="156">
        <f t="shared" si="32"/>
        <v>0</v>
      </c>
      <c r="AE151" s="156">
        <f t="shared" si="32"/>
        <v>0</v>
      </c>
      <c r="AF151" s="156">
        <f t="shared" si="32"/>
        <v>0</v>
      </c>
      <c r="AG151" s="156">
        <f t="shared" si="32"/>
        <v>0</v>
      </c>
      <c r="AH151" s="156">
        <f t="shared" si="32"/>
        <v>0</v>
      </c>
      <c r="AI151" s="156">
        <f t="shared" si="32"/>
        <v>0</v>
      </c>
      <c r="AJ151" s="156">
        <f t="shared" si="32"/>
        <v>0</v>
      </c>
      <c r="AK151" s="156">
        <f t="shared" si="31"/>
        <v>0</v>
      </c>
      <c r="AL151" s="156">
        <f t="shared" si="31"/>
        <v>0</v>
      </c>
      <c r="AM151" s="156">
        <f t="shared" si="31"/>
        <v>0</v>
      </c>
      <c r="AN151" s="156">
        <f t="shared" si="31"/>
        <v>0</v>
      </c>
      <c r="AO151" s="156">
        <f t="shared" si="31"/>
        <v>0</v>
      </c>
      <c r="AP151" s="156">
        <f t="shared" si="31"/>
        <v>0</v>
      </c>
      <c r="AQ151" s="156">
        <f t="shared" si="31"/>
        <v>0</v>
      </c>
      <c r="AR151" s="156">
        <f t="shared" si="31"/>
        <v>0</v>
      </c>
      <c r="AS151" s="156">
        <f t="shared" si="31"/>
        <v>0</v>
      </c>
      <c r="AT151" s="156">
        <f t="shared" si="31"/>
        <v>0</v>
      </c>
      <c r="AU151" s="156">
        <f t="shared" si="31"/>
        <v>0</v>
      </c>
      <c r="AV151" s="156">
        <f t="shared" si="31"/>
        <v>0</v>
      </c>
      <c r="AW151" s="156">
        <f t="shared" si="31"/>
        <v>0</v>
      </c>
      <c r="AX151" s="156">
        <f t="shared" si="31"/>
        <v>0</v>
      </c>
      <c r="AY151" s="156">
        <f t="shared" si="31"/>
        <v>0</v>
      </c>
      <c r="AZ151" s="156">
        <f t="shared" si="31"/>
        <v>0</v>
      </c>
      <c r="BA151" s="156">
        <f t="shared" si="31"/>
        <v>0</v>
      </c>
      <c r="BB151" s="156">
        <f t="shared" si="31"/>
        <v>0</v>
      </c>
      <c r="BC151" s="156">
        <f t="shared" si="31"/>
        <v>0</v>
      </c>
      <c r="BD151" s="156">
        <f t="shared" si="31"/>
        <v>0</v>
      </c>
      <c r="BE151" s="156">
        <f t="shared" si="31"/>
        <v>0</v>
      </c>
      <c r="BF151" s="156">
        <f t="shared" si="31"/>
        <v>0</v>
      </c>
      <c r="BG151" s="156">
        <f t="shared" si="31"/>
        <v>0</v>
      </c>
      <c r="BH151" s="156">
        <f t="shared" si="31"/>
        <v>0</v>
      </c>
      <c r="BI151" s="156">
        <f t="shared" si="31"/>
        <v>0</v>
      </c>
      <c r="BJ151" s="156">
        <f t="shared" si="31"/>
        <v>0</v>
      </c>
      <c r="BK151" s="156">
        <f t="shared" si="31"/>
        <v>0</v>
      </c>
      <c r="BL151" s="156">
        <f t="shared" si="31"/>
        <v>0</v>
      </c>
    </row>
    <row r="152" spans="2:64" x14ac:dyDescent="0.15">
      <c r="C152" s="89" t="s">
        <v>320</v>
      </c>
      <c r="E152" s="156">
        <f t="shared" si="32"/>
        <v>0</v>
      </c>
      <c r="F152" s="156">
        <f t="shared" si="32"/>
        <v>0</v>
      </c>
      <c r="G152" s="156">
        <f t="shared" si="32"/>
        <v>0</v>
      </c>
      <c r="H152" s="156">
        <f t="shared" si="32"/>
        <v>0</v>
      </c>
      <c r="I152" s="156">
        <f t="shared" si="32"/>
        <v>0</v>
      </c>
      <c r="J152" s="156">
        <f t="shared" si="32"/>
        <v>0</v>
      </c>
      <c r="K152" s="156">
        <f t="shared" si="32"/>
        <v>0</v>
      </c>
      <c r="L152" s="156">
        <f t="shared" si="32"/>
        <v>0</v>
      </c>
      <c r="M152" s="156">
        <f t="shared" si="32"/>
        <v>0</v>
      </c>
      <c r="N152" s="156">
        <f t="shared" si="32"/>
        <v>0</v>
      </c>
      <c r="O152" s="156">
        <f t="shared" si="32"/>
        <v>0</v>
      </c>
      <c r="P152" s="156">
        <f t="shared" si="32"/>
        <v>0</v>
      </c>
      <c r="Q152" s="156">
        <f t="shared" si="32"/>
        <v>0</v>
      </c>
      <c r="R152" s="156">
        <f t="shared" si="32"/>
        <v>0</v>
      </c>
      <c r="S152" s="156">
        <f t="shared" si="32"/>
        <v>0</v>
      </c>
      <c r="T152" s="156">
        <f t="shared" si="32"/>
        <v>0</v>
      </c>
      <c r="U152" s="156">
        <f t="shared" si="32"/>
        <v>0</v>
      </c>
      <c r="V152" s="156">
        <f t="shared" si="32"/>
        <v>0</v>
      </c>
      <c r="W152" s="156">
        <f t="shared" si="32"/>
        <v>0</v>
      </c>
      <c r="X152" s="156">
        <f t="shared" si="32"/>
        <v>0</v>
      </c>
      <c r="Y152" s="156">
        <f t="shared" si="32"/>
        <v>0</v>
      </c>
      <c r="Z152" s="156">
        <f t="shared" si="32"/>
        <v>0</v>
      </c>
      <c r="AA152" s="156">
        <f t="shared" si="32"/>
        <v>0</v>
      </c>
      <c r="AB152" s="156">
        <f t="shared" si="32"/>
        <v>0</v>
      </c>
      <c r="AC152" s="156">
        <f t="shared" si="32"/>
        <v>0</v>
      </c>
      <c r="AD152" s="156">
        <f t="shared" si="32"/>
        <v>0</v>
      </c>
      <c r="AE152" s="156">
        <f t="shared" si="32"/>
        <v>0</v>
      </c>
      <c r="AF152" s="156">
        <f t="shared" si="32"/>
        <v>0</v>
      </c>
      <c r="AG152" s="156">
        <f t="shared" si="32"/>
        <v>0</v>
      </c>
      <c r="AH152" s="156">
        <f t="shared" si="32"/>
        <v>0</v>
      </c>
      <c r="AI152" s="156">
        <f t="shared" si="32"/>
        <v>0</v>
      </c>
      <c r="AJ152" s="156">
        <f t="shared" si="32"/>
        <v>0</v>
      </c>
      <c r="AK152" s="156">
        <f t="shared" si="31"/>
        <v>0</v>
      </c>
      <c r="AL152" s="156">
        <f t="shared" si="31"/>
        <v>0</v>
      </c>
      <c r="AM152" s="156">
        <f t="shared" si="31"/>
        <v>0</v>
      </c>
      <c r="AN152" s="156">
        <f t="shared" si="31"/>
        <v>0</v>
      </c>
      <c r="AO152" s="156">
        <f t="shared" si="31"/>
        <v>0</v>
      </c>
      <c r="AP152" s="156">
        <f t="shared" si="31"/>
        <v>0</v>
      </c>
      <c r="AQ152" s="156">
        <f t="shared" si="31"/>
        <v>0</v>
      </c>
      <c r="AR152" s="156">
        <f t="shared" si="31"/>
        <v>0</v>
      </c>
      <c r="AS152" s="156">
        <f t="shared" si="31"/>
        <v>0</v>
      </c>
      <c r="AT152" s="156">
        <f t="shared" si="31"/>
        <v>0</v>
      </c>
      <c r="AU152" s="156">
        <f t="shared" si="31"/>
        <v>0</v>
      </c>
      <c r="AV152" s="156">
        <f t="shared" si="31"/>
        <v>0</v>
      </c>
      <c r="AW152" s="156">
        <f t="shared" si="31"/>
        <v>0</v>
      </c>
      <c r="AX152" s="156">
        <f t="shared" si="31"/>
        <v>0</v>
      </c>
      <c r="AY152" s="156">
        <f t="shared" si="31"/>
        <v>0</v>
      </c>
      <c r="AZ152" s="156">
        <f t="shared" si="31"/>
        <v>0</v>
      </c>
      <c r="BA152" s="156">
        <f t="shared" si="31"/>
        <v>0</v>
      </c>
      <c r="BB152" s="156">
        <f t="shared" si="31"/>
        <v>0</v>
      </c>
      <c r="BC152" s="156">
        <f t="shared" si="31"/>
        <v>0</v>
      </c>
      <c r="BD152" s="156">
        <f t="shared" si="31"/>
        <v>0</v>
      </c>
      <c r="BE152" s="156">
        <f t="shared" si="31"/>
        <v>0</v>
      </c>
      <c r="BF152" s="156">
        <f t="shared" si="31"/>
        <v>0</v>
      </c>
      <c r="BG152" s="156">
        <f t="shared" si="31"/>
        <v>0</v>
      </c>
      <c r="BH152" s="156">
        <f t="shared" si="31"/>
        <v>0</v>
      </c>
      <c r="BI152" s="156">
        <f t="shared" si="31"/>
        <v>0</v>
      </c>
      <c r="BJ152" s="156">
        <f t="shared" si="31"/>
        <v>0</v>
      </c>
      <c r="BK152" s="156">
        <f t="shared" si="31"/>
        <v>0</v>
      </c>
      <c r="BL152" s="156">
        <f t="shared" si="31"/>
        <v>0</v>
      </c>
    </row>
    <row r="153" spans="2:64" x14ac:dyDescent="0.15">
      <c r="C153" s="89" t="s">
        <v>321</v>
      </c>
      <c r="E153" s="156">
        <f t="shared" si="32"/>
        <v>0</v>
      </c>
      <c r="F153" s="156">
        <f t="shared" si="32"/>
        <v>0</v>
      </c>
      <c r="G153" s="156">
        <f t="shared" si="32"/>
        <v>0</v>
      </c>
      <c r="H153" s="156">
        <f t="shared" si="32"/>
        <v>0</v>
      </c>
      <c r="I153" s="156">
        <f t="shared" si="32"/>
        <v>0</v>
      </c>
      <c r="J153" s="156">
        <f t="shared" si="32"/>
        <v>0</v>
      </c>
      <c r="K153" s="156">
        <f t="shared" si="32"/>
        <v>0</v>
      </c>
      <c r="L153" s="156">
        <f t="shared" si="32"/>
        <v>0</v>
      </c>
      <c r="M153" s="156">
        <f t="shared" si="32"/>
        <v>0</v>
      </c>
      <c r="N153" s="156">
        <f t="shared" si="32"/>
        <v>0</v>
      </c>
      <c r="O153" s="156">
        <f t="shared" si="32"/>
        <v>0</v>
      </c>
      <c r="P153" s="156">
        <f t="shared" si="32"/>
        <v>0</v>
      </c>
      <c r="Q153" s="156">
        <f t="shared" si="32"/>
        <v>0</v>
      </c>
      <c r="R153" s="156">
        <f t="shared" si="32"/>
        <v>0</v>
      </c>
      <c r="S153" s="156">
        <f t="shared" si="32"/>
        <v>0</v>
      </c>
      <c r="T153" s="156">
        <f t="shared" si="32"/>
        <v>0</v>
      </c>
      <c r="U153" s="156">
        <f t="shared" si="32"/>
        <v>0</v>
      </c>
      <c r="V153" s="156">
        <f t="shared" si="32"/>
        <v>0</v>
      </c>
      <c r="W153" s="156">
        <f t="shared" si="32"/>
        <v>0</v>
      </c>
      <c r="X153" s="156">
        <f t="shared" si="32"/>
        <v>0</v>
      </c>
      <c r="Y153" s="156">
        <f t="shared" si="32"/>
        <v>0</v>
      </c>
      <c r="Z153" s="156">
        <f t="shared" si="32"/>
        <v>0</v>
      </c>
      <c r="AA153" s="156">
        <f t="shared" si="32"/>
        <v>0</v>
      </c>
      <c r="AB153" s="156">
        <f t="shared" si="32"/>
        <v>0</v>
      </c>
      <c r="AC153" s="156">
        <f t="shared" si="32"/>
        <v>0</v>
      </c>
      <c r="AD153" s="156">
        <f t="shared" si="32"/>
        <v>0</v>
      </c>
      <c r="AE153" s="156">
        <f t="shared" si="32"/>
        <v>0</v>
      </c>
      <c r="AF153" s="156">
        <f t="shared" si="32"/>
        <v>0</v>
      </c>
      <c r="AG153" s="156">
        <f t="shared" si="32"/>
        <v>0</v>
      </c>
      <c r="AH153" s="156">
        <f t="shared" si="32"/>
        <v>0</v>
      </c>
      <c r="AI153" s="156">
        <f t="shared" si="32"/>
        <v>0</v>
      </c>
      <c r="AJ153" s="156">
        <f t="shared" si="32"/>
        <v>0</v>
      </c>
      <c r="AK153" s="156">
        <f t="shared" si="31"/>
        <v>0</v>
      </c>
      <c r="AL153" s="156">
        <f t="shared" si="31"/>
        <v>0</v>
      </c>
      <c r="AM153" s="156">
        <f t="shared" si="31"/>
        <v>0</v>
      </c>
      <c r="AN153" s="156">
        <f t="shared" si="31"/>
        <v>0</v>
      </c>
      <c r="AO153" s="156">
        <f t="shared" si="31"/>
        <v>0</v>
      </c>
      <c r="AP153" s="156">
        <f t="shared" si="31"/>
        <v>0</v>
      </c>
      <c r="AQ153" s="156">
        <f t="shared" si="31"/>
        <v>0</v>
      </c>
      <c r="AR153" s="156">
        <f t="shared" si="31"/>
        <v>0</v>
      </c>
      <c r="AS153" s="156">
        <f t="shared" si="31"/>
        <v>0</v>
      </c>
      <c r="AT153" s="156">
        <f t="shared" si="31"/>
        <v>0</v>
      </c>
      <c r="AU153" s="156">
        <f t="shared" si="31"/>
        <v>0</v>
      </c>
      <c r="AV153" s="156">
        <f t="shared" si="31"/>
        <v>0</v>
      </c>
      <c r="AW153" s="156">
        <f t="shared" si="31"/>
        <v>0</v>
      </c>
      <c r="AX153" s="156">
        <f t="shared" si="31"/>
        <v>0</v>
      </c>
      <c r="AY153" s="156">
        <f t="shared" si="31"/>
        <v>0</v>
      </c>
      <c r="AZ153" s="156">
        <f t="shared" si="31"/>
        <v>0</v>
      </c>
      <c r="BA153" s="156">
        <f t="shared" si="31"/>
        <v>0</v>
      </c>
      <c r="BB153" s="156">
        <f t="shared" si="31"/>
        <v>0</v>
      </c>
      <c r="BC153" s="156">
        <f t="shared" si="31"/>
        <v>0</v>
      </c>
      <c r="BD153" s="156">
        <f t="shared" si="31"/>
        <v>0</v>
      </c>
      <c r="BE153" s="156">
        <f t="shared" si="31"/>
        <v>0</v>
      </c>
      <c r="BF153" s="156">
        <f t="shared" si="31"/>
        <v>0</v>
      </c>
      <c r="BG153" s="156">
        <f t="shared" si="31"/>
        <v>0</v>
      </c>
      <c r="BH153" s="156">
        <f t="shared" si="31"/>
        <v>0</v>
      </c>
      <c r="BI153" s="156">
        <f t="shared" si="31"/>
        <v>0</v>
      </c>
      <c r="BJ153" s="156">
        <f t="shared" si="31"/>
        <v>0</v>
      </c>
      <c r="BK153" s="156">
        <f t="shared" si="31"/>
        <v>0</v>
      </c>
      <c r="BL153" s="156">
        <f t="shared" si="31"/>
        <v>0</v>
      </c>
    </row>
    <row r="154" spans="2:64" x14ac:dyDescent="0.15">
      <c r="C154" s="89" t="s">
        <v>322</v>
      </c>
      <c r="E154" s="156">
        <f t="shared" si="32"/>
        <v>0</v>
      </c>
      <c r="F154" s="156">
        <f t="shared" si="32"/>
        <v>0</v>
      </c>
      <c r="G154" s="156">
        <f t="shared" si="32"/>
        <v>0</v>
      </c>
      <c r="H154" s="156">
        <f t="shared" si="32"/>
        <v>0</v>
      </c>
      <c r="I154" s="156">
        <f t="shared" si="32"/>
        <v>0</v>
      </c>
      <c r="J154" s="156">
        <f t="shared" si="32"/>
        <v>0</v>
      </c>
      <c r="K154" s="156">
        <f t="shared" si="32"/>
        <v>0</v>
      </c>
      <c r="L154" s="156">
        <f t="shared" si="32"/>
        <v>0</v>
      </c>
      <c r="M154" s="156">
        <f t="shared" si="32"/>
        <v>0</v>
      </c>
      <c r="N154" s="156">
        <f t="shared" si="32"/>
        <v>0</v>
      </c>
      <c r="O154" s="156">
        <f t="shared" si="32"/>
        <v>0</v>
      </c>
      <c r="P154" s="156">
        <f t="shared" si="32"/>
        <v>0</v>
      </c>
      <c r="Q154" s="156">
        <f t="shared" si="32"/>
        <v>0</v>
      </c>
      <c r="R154" s="156">
        <f t="shared" si="32"/>
        <v>0</v>
      </c>
      <c r="S154" s="156">
        <f t="shared" si="32"/>
        <v>0</v>
      </c>
      <c r="T154" s="156">
        <f t="shared" si="32"/>
        <v>0</v>
      </c>
      <c r="U154" s="156">
        <f t="shared" si="32"/>
        <v>0</v>
      </c>
      <c r="V154" s="156">
        <f t="shared" si="32"/>
        <v>0</v>
      </c>
      <c r="W154" s="156">
        <f t="shared" si="32"/>
        <v>0</v>
      </c>
      <c r="X154" s="156">
        <f t="shared" si="32"/>
        <v>0</v>
      </c>
      <c r="Y154" s="156">
        <f t="shared" si="32"/>
        <v>0</v>
      </c>
      <c r="Z154" s="156">
        <f t="shared" si="32"/>
        <v>0</v>
      </c>
      <c r="AA154" s="156">
        <f t="shared" si="32"/>
        <v>0</v>
      </c>
      <c r="AB154" s="156">
        <f t="shared" si="32"/>
        <v>0</v>
      </c>
      <c r="AC154" s="156">
        <f t="shared" si="32"/>
        <v>0</v>
      </c>
      <c r="AD154" s="156">
        <f t="shared" si="32"/>
        <v>0</v>
      </c>
      <c r="AE154" s="156">
        <f t="shared" si="32"/>
        <v>0</v>
      </c>
      <c r="AF154" s="156">
        <f t="shared" si="32"/>
        <v>0</v>
      </c>
      <c r="AG154" s="156">
        <f t="shared" si="32"/>
        <v>0</v>
      </c>
      <c r="AH154" s="156">
        <f t="shared" si="32"/>
        <v>0</v>
      </c>
      <c r="AI154" s="156">
        <f t="shared" si="32"/>
        <v>0</v>
      </c>
      <c r="AJ154" s="156">
        <f t="shared" ref="AJ154:BO154" si="33">IF(AJ$5&gt;$D$7,0,AJ37*$F116)</f>
        <v>0</v>
      </c>
      <c r="AK154" s="156">
        <f t="shared" si="31"/>
        <v>0</v>
      </c>
      <c r="AL154" s="156">
        <f t="shared" si="31"/>
        <v>0</v>
      </c>
      <c r="AM154" s="156">
        <f t="shared" si="31"/>
        <v>0</v>
      </c>
      <c r="AN154" s="156">
        <f t="shared" si="31"/>
        <v>0</v>
      </c>
      <c r="AO154" s="156">
        <f t="shared" si="31"/>
        <v>0</v>
      </c>
      <c r="AP154" s="156">
        <f t="shared" si="31"/>
        <v>0</v>
      </c>
      <c r="AQ154" s="156">
        <f t="shared" si="31"/>
        <v>0</v>
      </c>
      <c r="AR154" s="156">
        <f t="shared" si="31"/>
        <v>0</v>
      </c>
      <c r="AS154" s="156">
        <f t="shared" si="31"/>
        <v>0</v>
      </c>
      <c r="AT154" s="156">
        <f t="shared" si="31"/>
        <v>0</v>
      </c>
      <c r="AU154" s="156">
        <f t="shared" si="31"/>
        <v>0</v>
      </c>
      <c r="AV154" s="156">
        <f t="shared" si="31"/>
        <v>0</v>
      </c>
      <c r="AW154" s="156">
        <f t="shared" si="31"/>
        <v>0</v>
      </c>
      <c r="AX154" s="156">
        <f t="shared" si="31"/>
        <v>0</v>
      </c>
      <c r="AY154" s="156">
        <f t="shared" ref="AY154:BZ154" si="34">IF(AY$5&gt;$D$7,0,AY37*$F116)</f>
        <v>0</v>
      </c>
      <c r="AZ154" s="156">
        <f t="shared" si="34"/>
        <v>0</v>
      </c>
      <c r="BA154" s="156">
        <f t="shared" si="34"/>
        <v>0</v>
      </c>
      <c r="BB154" s="156">
        <f t="shared" si="34"/>
        <v>0</v>
      </c>
      <c r="BC154" s="156">
        <f t="shared" si="34"/>
        <v>0</v>
      </c>
      <c r="BD154" s="156">
        <f t="shared" si="34"/>
        <v>0</v>
      </c>
      <c r="BE154" s="156">
        <f t="shared" si="34"/>
        <v>0</v>
      </c>
      <c r="BF154" s="156">
        <f t="shared" si="34"/>
        <v>0</v>
      </c>
      <c r="BG154" s="156">
        <f t="shared" si="34"/>
        <v>0</v>
      </c>
      <c r="BH154" s="156">
        <f t="shared" si="34"/>
        <v>0</v>
      </c>
      <c r="BI154" s="156">
        <f t="shared" si="34"/>
        <v>0</v>
      </c>
      <c r="BJ154" s="156">
        <f t="shared" si="34"/>
        <v>0</v>
      </c>
      <c r="BK154" s="156">
        <f t="shared" si="34"/>
        <v>0</v>
      </c>
      <c r="BL154" s="156">
        <f t="shared" si="34"/>
        <v>0</v>
      </c>
    </row>
    <row r="155" spans="2:64" x14ac:dyDescent="0.15">
      <c r="C155" s="89" t="s">
        <v>323</v>
      </c>
      <c r="E155" s="156">
        <f t="shared" ref="E155:BL156" si="35">IF(E$5&gt;$D$7,0,E38*$F117)</f>
        <v>0</v>
      </c>
      <c r="F155" s="156">
        <f t="shared" si="35"/>
        <v>0</v>
      </c>
      <c r="G155" s="156">
        <f t="shared" si="35"/>
        <v>0</v>
      </c>
      <c r="H155" s="156">
        <f t="shared" si="35"/>
        <v>0</v>
      </c>
      <c r="I155" s="156">
        <f t="shared" si="35"/>
        <v>0</v>
      </c>
      <c r="J155" s="156">
        <f t="shared" si="35"/>
        <v>0</v>
      </c>
      <c r="K155" s="156">
        <f t="shared" si="35"/>
        <v>0</v>
      </c>
      <c r="L155" s="156">
        <f t="shared" si="35"/>
        <v>0</v>
      </c>
      <c r="M155" s="156">
        <f t="shared" si="35"/>
        <v>0</v>
      </c>
      <c r="N155" s="156">
        <f t="shared" si="35"/>
        <v>0</v>
      </c>
      <c r="O155" s="156">
        <f t="shared" si="35"/>
        <v>0</v>
      </c>
      <c r="P155" s="156">
        <f t="shared" si="35"/>
        <v>0</v>
      </c>
      <c r="Q155" s="156">
        <f t="shared" si="35"/>
        <v>0</v>
      </c>
      <c r="R155" s="156">
        <f t="shared" si="35"/>
        <v>0</v>
      </c>
      <c r="S155" s="156">
        <f t="shared" si="35"/>
        <v>0</v>
      </c>
      <c r="T155" s="156">
        <f t="shared" si="35"/>
        <v>0</v>
      </c>
      <c r="U155" s="156">
        <f t="shared" si="35"/>
        <v>0</v>
      </c>
      <c r="V155" s="156">
        <f t="shared" si="35"/>
        <v>0</v>
      </c>
      <c r="W155" s="156">
        <f t="shared" si="35"/>
        <v>0</v>
      </c>
      <c r="X155" s="156">
        <f t="shared" si="35"/>
        <v>0</v>
      </c>
      <c r="Y155" s="156">
        <f t="shared" si="35"/>
        <v>0</v>
      </c>
      <c r="Z155" s="156">
        <f t="shared" si="35"/>
        <v>0</v>
      </c>
      <c r="AA155" s="156">
        <f t="shared" si="35"/>
        <v>0</v>
      </c>
      <c r="AB155" s="156">
        <f t="shared" si="35"/>
        <v>0</v>
      </c>
      <c r="AC155" s="156">
        <f t="shared" si="35"/>
        <v>0</v>
      </c>
      <c r="AD155" s="156">
        <f t="shared" si="35"/>
        <v>0</v>
      </c>
      <c r="AE155" s="156">
        <f t="shared" si="35"/>
        <v>0</v>
      </c>
      <c r="AF155" s="156">
        <f t="shared" si="35"/>
        <v>0</v>
      </c>
      <c r="AG155" s="156">
        <f t="shared" si="35"/>
        <v>0</v>
      </c>
      <c r="AH155" s="156">
        <f t="shared" si="35"/>
        <v>0</v>
      </c>
      <c r="AI155" s="156">
        <f t="shared" si="35"/>
        <v>0</v>
      </c>
      <c r="AJ155" s="156">
        <f t="shared" si="35"/>
        <v>0</v>
      </c>
      <c r="AK155" s="156">
        <f t="shared" si="35"/>
        <v>0</v>
      </c>
      <c r="AL155" s="156">
        <f t="shared" si="35"/>
        <v>0</v>
      </c>
      <c r="AM155" s="156">
        <f t="shared" si="35"/>
        <v>0</v>
      </c>
      <c r="AN155" s="156">
        <f t="shared" si="35"/>
        <v>0</v>
      </c>
      <c r="AO155" s="156">
        <f t="shared" si="35"/>
        <v>0</v>
      </c>
      <c r="AP155" s="156">
        <f t="shared" si="35"/>
        <v>0</v>
      </c>
      <c r="AQ155" s="156">
        <f t="shared" si="35"/>
        <v>0</v>
      </c>
      <c r="AR155" s="156">
        <f t="shared" si="35"/>
        <v>0</v>
      </c>
      <c r="AS155" s="156">
        <f t="shared" si="35"/>
        <v>0</v>
      </c>
      <c r="AT155" s="156">
        <f t="shared" si="35"/>
        <v>0</v>
      </c>
      <c r="AU155" s="156">
        <f t="shared" si="35"/>
        <v>0</v>
      </c>
      <c r="AV155" s="156">
        <f t="shared" si="35"/>
        <v>0</v>
      </c>
      <c r="AW155" s="156">
        <f t="shared" si="35"/>
        <v>0</v>
      </c>
      <c r="AX155" s="156">
        <f t="shared" si="35"/>
        <v>0</v>
      </c>
      <c r="AY155" s="156">
        <f t="shared" si="35"/>
        <v>0</v>
      </c>
      <c r="AZ155" s="156">
        <f t="shared" si="35"/>
        <v>0</v>
      </c>
      <c r="BA155" s="156">
        <f t="shared" si="35"/>
        <v>0</v>
      </c>
      <c r="BB155" s="156">
        <f t="shared" si="35"/>
        <v>0</v>
      </c>
      <c r="BC155" s="156">
        <f t="shared" si="35"/>
        <v>0</v>
      </c>
      <c r="BD155" s="156">
        <f t="shared" si="35"/>
        <v>0</v>
      </c>
      <c r="BE155" s="156">
        <f t="shared" si="35"/>
        <v>0</v>
      </c>
      <c r="BF155" s="156">
        <f t="shared" si="35"/>
        <v>0</v>
      </c>
      <c r="BG155" s="156">
        <f t="shared" si="35"/>
        <v>0</v>
      </c>
      <c r="BH155" s="156">
        <f t="shared" si="35"/>
        <v>0</v>
      </c>
      <c r="BI155" s="156">
        <f t="shared" si="35"/>
        <v>0</v>
      </c>
      <c r="BJ155" s="156">
        <f t="shared" si="35"/>
        <v>0</v>
      </c>
      <c r="BK155" s="156">
        <f t="shared" si="35"/>
        <v>0</v>
      </c>
      <c r="BL155" s="156">
        <f t="shared" si="35"/>
        <v>0</v>
      </c>
    </row>
    <row r="156" spans="2:64" x14ac:dyDescent="0.15">
      <c r="C156" s="89" t="s">
        <v>389</v>
      </c>
      <c r="E156" s="156">
        <f t="shared" si="35"/>
        <v>0</v>
      </c>
      <c r="F156" s="156">
        <f t="shared" si="35"/>
        <v>0</v>
      </c>
      <c r="G156" s="156">
        <f t="shared" si="35"/>
        <v>0</v>
      </c>
      <c r="H156" s="156">
        <f t="shared" si="35"/>
        <v>0</v>
      </c>
      <c r="I156" s="156">
        <f t="shared" si="35"/>
        <v>0</v>
      </c>
      <c r="J156" s="156">
        <f t="shared" si="35"/>
        <v>0</v>
      </c>
      <c r="K156" s="156">
        <f t="shared" si="35"/>
        <v>0</v>
      </c>
      <c r="L156" s="156">
        <f t="shared" si="35"/>
        <v>0</v>
      </c>
      <c r="M156" s="156">
        <f t="shared" si="35"/>
        <v>0</v>
      </c>
      <c r="N156" s="156">
        <f t="shared" si="35"/>
        <v>0</v>
      </c>
      <c r="O156" s="156">
        <f t="shared" si="35"/>
        <v>0</v>
      </c>
      <c r="P156" s="156">
        <f t="shared" si="35"/>
        <v>0</v>
      </c>
      <c r="Q156" s="156">
        <f t="shared" si="35"/>
        <v>0</v>
      </c>
      <c r="R156" s="156">
        <f t="shared" si="35"/>
        <v>0</v>
      </c>
      <c r="S156" s="156">
        <f t="shared" si="35"/>
        <v>0</v>
      </c>
      <c r="T156" s="156">
        <f t="shared" si="35"/>
        <v>0</v>
      </c>
      <c r="U156" s="156">
        <f t="shared" si="35"/>
        <v>0</v>
      </c>
      <c r="V156" s="156">
        <f t="shared" si="35"/>
        <v>0</v>
      </c>
      <c r="W156" s="156">
        <f t="shared" si="35"/>
        <v>0</v>
      </c>
      <c r="X156" s="156">
        <f t="shared" si="35"/>
        <v>0</v>
      </c>
      <c r="Y156" s="156">
        <f t="shared" si="35"/>
        <v>0</v>
      </c>
      <c r="Z156" s="156">
        <f t="shared" si="35"/>
        <v>0</v>
      </c>
      <c r="AA156" s="156">
        <f t="shared" si="35"/>
        <v>0</v>
      </c>
      <c r="AB156" s="156">
        <f t="shared" si="35"/>
        <v>0</v>
      </c>
      <c r="AC156" s="156">
        <f t="shared" si="35"/>
        <v>0</v>
      </c>
      <c r="AD156" s="156">
        <f t="shared" si="35"/>
        <v>0</v>
      </c>
      <c r="AE156" s="156">
        <f t="shared" si="35"/>
        <v>0</v>
      </c>
      <c r="AF156" s="156">
        <f t="shared" si="35"/>
        <v>0</v>
      </c>
      <c r="AG156" s="156">
        <f t="shared" si="35"/>
        <v>0</v>
      </c>
      <c r="AH156" s="156">
        <f t="shared" si="35"/>
        <v>0</v>
      </c>
      <c r="AI156" s="156">
        <f t="shared" si="35"/>
        <v>0</v>
      </c>
      <c r="AJ156" s="156">
        <f t="shared" si="35"/>
        <v>0</v>
      </c>
      <c r="AK156" s="156">
        <f t="shared" si="35"/>
        <v>0</v>
      </c>
      <c r="AL156" s="156">
        <f t="shared" si="35"/>
        <v>0</v>
      </c>
      <c r="AM156" s="156">
        <f t="shared" si="35"/>
        <v>0</v>
      </c>
      <c r="AN156" s="156">
        <f t="shared" si="35"/>
        <v>0</v>
      </c>
      <c r="AO156" s="156">
        <f t="shared" si="35"/>
        <v>0</v>
      </c>
      <c r="AP156" s="156">
        <f t="shared" si="35"/>
        <v>0</v>
      </c>
      <c r="AQ156" s="156">
        <f t="shared" si="35"/>
        <v>0</v>
      </c>
      <c r="AR156" s="156">
        <f t="shared" si="35"/>
        <v>0</v>
      </c>
      <c r="AS156" s="156">
        <f t="shared" si="35"/>
        <v>0</v>
      </c>
      <c r="AT156" s="156">
        <f t="shared" si="35"/>
        <v>0</v>
      </c>
      <c r="AU156" s="156">
        <f t="shared" si="35"/>
        <v>0</v>
      </c>
      <c r="AV156" s="156">
        <f t="shared" si="35"/>
        <v>0</v>
      </c>
      <c r="AW156" s="156">
        <f t="shared" si="35"/>
        <v>0</v>
      </c>
      <c r="AX156" s="156">
        <f t="shared" si="35"/>
        <v>0</v>
      </c>
      <c r="AY156" s="156">
        <f t="shared" si="35"/>
        <v>0</v>
      </c>
      <c r="AZ156" s="156">
        <f t="shared" si="35"/>
        <v>0</v>
      </c>
      <c r="BA156" s="156">
        <f t="shared" si="35"/>
        <v>0</v>
      </c>
      <c r="BB156" s="156">
        <f t="shared" si="35"/>
        <v>0</v>
      </c>
      <c r="BC156" s="156">
        <f t="shared" si="35"/>
        <v>0</v>
      </c>
      <c r="BD156" s="156">
        <f t="shared" si="35"/>
        <v>0</v>
      </c>
      <c r="BE156" s="156">
        <f t="shared" si="35"/>
        <v>0</v>
      </c>
      <c r="BF156" s="156">
        <f t="shared" si="35"/>
        <v>0</v>
      </c>
      <c r="BG156" s="156">
        <f t="shared" si="35"/>
        <v>0</v>
      </c>
      <c r="BH156" s="156">
        <f t="shared" si="35"/>
        <v>0</v>
      </c>
      <c r="BI156" s="156">
        <f t="shared" si="35"/>
        <v>0</v>
      </c>
      <c r="BJ156" s="156">
        <f t="shared" si="35"/>
        <v>0</v>
      </c>
      <c r="BK156" s="156">
        <f t="shared" si="35"/>
        <v>0</v>
      </c>
      <c r="BL156" s="156">
        <f t="shared" si="35"/>
        <v>0</v>
      </c>
    </row>
    <row r="157" spans="2:64" x14ac:dyDescent="0.15">
      <c r="C157" s="89" t="s">
        <v>415</v>
      </c>
      <c r="E157" s="161">
        <f t="shared" ref="E157:BL157" si="36">IF(E$5&gt;$D$7,0,IF(E$5=$D$7,E42,SUM(E142:E156)))</f>
        <v>1.5181162406515373E-2</v>
      </c>
      <c r="F157" s="161">
        <f t="shared" si="36"/>
        <v>1.1689495053016839E-2</v>
      </c>
      <c r="G157" s="161">
        <f t="shared" si="36"/>
        <v>1.0680092063424695E-2</v>
      </c>
      <c r="H157" s="161">
        <f t="shared" si="36"/>
        <v>3.7384965740274875E-2</v>
      </c>
      <c r="I157" s="161">
        <f t="shared" si="36"/>
        <v>3.7011116082872129E-2</v>
      </c>
      <c r="J157" s="161">
        <f t="shared" si="36"/>
        <v>3.6641004922043405E-2</v>
      </c>
      <c r="K157" s="161">
        <f t="shared" si="36"/>
        <v>0.17570024046955757</v>
      </c>
      <c r="L157" s="161">
        <f t="shared" si="36"/>
        <v>0</v>
      </c>
      <c r="M157" s="161">
        <f t="shared" si="36"/>
        <v>0</v>
      </c>
      <c r="N157" s="161">
        <f t="shared" si="36"/>
        <v>0</v>
      </c>
      <c r="O157" s="161">
        <f t="shared" si="36"/>
        <v>0</v>
      </c>
      <c r="P157" s="161">
        <f t="shared" si="36"/>
        <v>0</v>
      </c>
      <c r="Q157" s="161">
        <f t="shared" si="36"/>
        <v>0</v>
      </c>
      <c r="R157" s="161">
        <f t="shared" si="36"/>
        <v>0</v>
      </c>
      <c r="S157" s="161">
        <f t="shared" si="36"/>
        <v>0</v>
      </c>
      <c r="T157" s="161">
        <f t="shared" si="36"/>
        <v>0</v>
      </c>
      <c r="U157" s="161">
        <f t="shared" si="36"/>
        <v>0</v>
      </c>
      <c r="V157" s="161">
        <f t="shared" si="36"/>
        <v>0</v>
      </c>
      <c r="W157" s="161">
        <f t="shared" si="36"/>
        <v>0</v>
      </c>
      <c r="X157" s="161">
        <f t="shared" si="36"/>
        <v>0</v>
      </c>
      <c r="Y157" s="161">
        <f t="shared" si="36"/>
        <v>0</v>
      </c>
      <c r="Z157" s="161">
        <f t="shared" si="36"/>
        <v>0</v>
      </c>
      <c r="AA157" s="161">
        <f t="shared" si="36"/>
        <v>0</v>
      </c>
      <c r="AB157" s="161">
        <f t="shared" si="36"/>
        <v>0</v>
      </c>
      <c r="AC157" s="161">
        <f t="shared" si="36"/>
        <v>0</v>
      </c>
      <c r="AD157" s="161">
        <f t="shared" si="36"/>
        <v>0</v>
      </c>
      <c r="AE157" s="161">
        <f t="shared" si="36"/>
        <v>0</v>
      </c>
      <c r="AF157" s="161">
        <f t="shared" si="36"/>
        <v>0</v>
      </c>
      <c r="AG157" s="161">
        <f t="shared" si="36"/>
        <v>0</v>
      </c>
      <c r="AH157" s="161">
        <f t="shared" si="36"/>
        <v>0</v>
      </c>
      <c r="AI157" s="161">
        <f t="shared" si="36"/>
        <v>0</v>
      </c>
      <c r="AJ157" s="161">
        <f t="shared" si="36"/>
        <v>0</v>
      </c>
      <c r="AK157" s="161">
        <f t="shared" si="36"/>
        <v>0</v>
      </c>
      <c r="AL157" s="161">
        <f t="shared" si="36"/>
        <v>0</v>
      </c>
      <c r="AM157" s="161">
        <f t="shared" si="36"/>
        <v>0</v>
      </c>
      <c r="AN157" s="161">
        <f t="shared" si="36"/>
        <v>0</v>
      </c>
      <c r="AO157" s="161">
        <f t="shared" si="36"/>
        <v>0</v>
      </c>
      <c r="AP157" s="161">
        <f t="shared" si="36"/>
        <v>0</v>
      </c>
      <c r="AQ157" s="161">
        <f t="shared" si="36"/>
        <v>0</v>
      </c>
      <c r="AR157" s="161">
        <f t="shared" si="36"/>
        <v>0</v>
      </c>
      <c r="AS157" s="161">
        <f t="shared" si="36"/>
        <v>0</v>
      </c>
      <c r="AT157" s="161">
        <f t="shared" si="36"/>
        <v>0</v>
      </c>
      <c r="AU157" s="161">
        <f t="shared" si="36"/>
        <v>0</v>
      </c>
      <c r="AV157" s="161">
        <f t="shared" si="36"/>
        <v>0</v>
      </c>
      <c r="AW157" s="161">
        <f t="shared" si="36"/>
        <v>0</v>
      </c>
      <c r="AX157" s="161">
        <f t="shared" si="36"/>
        <v>0</v>
      </c>
      <c r="AY157" s="161">
        <f t="shared" si="36"/>
        <v>0</v>
      </c>
      <c r="AZ157" s="161">
        <f t="shared" si="36"/>
        <v>0</v>
      </c>
      <c r="BA157" s="161">
        <f t="shared" si="36"/>
        <v>0</v>
      </c>
      <c r="BB157" s="161">
        <f t="shared" si="36"/>
        <v>0</v>
      </c>
      <c r="BC157" s="161">
        <f t="shared" si="36"/>
        <v>0</v>
      </c>
      <c r="BD157" s="161">
        <f t="shared" si="36"/>
        <v>0</v>
      </c>
      <c r="BE157" s="161">
        <f t="shared" si="36"/>
        <v>0</v>
      </c>
      <c r="BF157" s="161">
        <f t="shared" si="36"/>
        <v>0</v>
      </c>
      <c r="BG157" s="161">
        <f t="shared" si="36"/>
        <v>0</v>
      </c>
      <c r="BH157" s="161">
        <f t="shared" si="36"/>
        <v>0</v>
      </c>
      <c r="BI157" s="161">
        <f t="shared" si="36"/>
        <v>0</v>
      </c>
      <c r="BJ157" s="161">
        <f t="shared" si="36"/>
        <v>0</v>
      </c>
      <c r="BK157" s="161">
        <f t="shared" si="36"/>
        <v>0</v>
      </c>
      <c r="BL157" s="161">
        <f t="shared" si="36"/>
        <v>0</v>
      </c>
    </row>
    <row r="158" spans="2:64" x14ac:dyDescent="0.15">
      <c r="C158" s="163" t="s">
        <v>414</v>
      </c>
      <c r="D158" s="276"/>
      <c r="E158" s="276">
        <f t="shared" ref="E158:BL158" si="37">-IF(E$5&gt;$D$7,0,E157-D157)</f>
        <v>-1.5181162406515373E-2</v>
      </c>
      <c r="F158" s="276">
        <f t="shared" si="37"/>
        <v>3.4916673534985346E-3</v>
      </c>
      <c r="G158" s="276">
        <f t="shared" si="37"/>
        <v>1.0094029895921439E-3</v>
      </c>
      <c r="H158" s="276">
        <f t="shared" si="37"/>
        <v>-2.6704873676850181E-2</v>
      </c>
      <c r="I158" s="276">
        <f t="shared" si="37"/>
        <v>3.7384965740274584E-4</v>
      </c>
      <c r="J158" s="276">
        <f t="shared" si="37"/>
        <v>3.7011116082872469E-4</v>
      </c>
      <c r="K158" s="276">
        <f t="shared" si="37"/>
        <v>-0.13905923554751415</v>
      </c>
      <c r="L158" s="276">
        <f t="shared" si="37"/>
        <v>0</v>
      </c>
      <c r="M158" s="276">
        <f t="shared" si="37"/>
        <v>0</v>
      </c>
      <c r="N158" s="276">
        <f t="shared" si="37"/>
        <v>0</v>
      </c>
      <c r="O158" s="276">
        <f t="shared" si="37"/>
        <v>0</v>
      </c>
      <c r="P158" s="276">
        <f t="shared" si="37"/>
        <v>0</v>
      </c>
      <c r="Q158" s="276">
        <f t="shared" si="37"/>
        <v>0</v>
      </c>
      <c r="R158" s="276">
        <f t="shared" si="37"/>
        <v>0</v>
      </c>
      <c r="S158" s="276">
        <f t="shared" si="37"/>
        <v>0</v>
      </c>
      <c r="T158" s="276">
        <f t="shared" si="37"/>
        <v>0</v>
      </c>
      <c r="U158" s="276">
        <f t="shared" si="37"/>
        <v>0</v>
      </c>
      <c r="V158" s="276">
        <f t="shared" si="37"/>
        <v>0</v>
      </c>
      <c r="W158" s="276">
        <f t="shared" si="37"/>
        <v>0</v>
      </c>
      <c r="X158" s="276">
        <f t="shared" si="37"/>
        <v>0</v>
      </c>
      <c r="Y158" s="276">
        <f t="shared" si="37"/>
        <v>0</v>
      </c>
      <c r="Z158" s="276">
        <f t="shared" si="37"/>
        <v>0</v>
      </c>
      <c r="AA158" s="276">
        <f t="shared" si="37"/>
        <v>0</v>
      </c>
      <c r="AB158" s="276">
        <f t="shared" si="37"/>
        <v>0</v>
      </c>
      <c r="AC158" s="276">
        <f t="shared" si="37"/>
        <v>0</v>
      </c>
      <c r="AD158" s="276">
        <f t="shared" si="37"/>
        <v>0</v>
      </c>
      <c r="AE158" s="276">
        <f t="shared" si="37"/>
        <v>0</v>
      </c>
      <c r="AF158" s="276">
        <f t="shared" si="37"/>
        <v>0</v>
      </c>
      <c r="AG158" s="276">
        <f t="shared" si="37"/>
        <v>0</v>
      </c>
      <c r="AH158" s="276">
        <f t="shared" si="37"/>
        <v>0</v>
      </c>
      <c r="AI158" s="276">
        <f t="shared" si="37"/>
        <v>0</v>
      </c>
      <c r="AJ158" s="276">
        <f t="shared" si="37"/>
        <v>0</v>
      </c>
      <c r="AK158" s="276">
        <f t="shared" si="37"/>
        <v>0</v>
      </c>
      <c r="AL158" s="276">
        <f t="shared" si="37"/>
        <v>0</v>
      </c>
      <c r="AM158" s="276">
        <f t="shared" si="37"/>
        <v>0</v>
      </c>
      <c r="AN158" s="276">
        <f t="shared" si="37"/>
        <v>0</v>
      </c>
      <c r="AO158" s="276">
        <f t="shared" si="37"/>
        <v>0</v>
      </c>
      <c r="AP158" s="276">
        <f t="shared" si="37"/>
        <v>0</v>
      </c>
      <c r="AQ158" s="276">
        <f t="shared" si="37"/>
        <v>0</v>
      </c>
      <c r="AR158" s="276">
        <f t="shared" si="37"/>
        <v>0</v>
      </c>
      <c r="AS158" s="276">
        <f t="shared" si="37"/>
        <v>0</v>
      </c>
      <c r="AT158" s="276">
        <f t="shared" si="37"/>
        <v>0</v>
      </c>
      <c r="AU158" s="276">
        <f t="shared" si="37"/>
        <v>0</v>
      </c>
      <c r="AV158" s="276">
        <f t="shared" si="37"/>
        <v>0</v>
      </c>
      <c r="AW158" s="276">
        <f t="shared" si="37"/>
        <v>0</v>
      </c>
      <c r="AX158" s="276">
        <f t="shared" si="37"/>
        <v>0</v>
      </c>
      <c r="AY158" s="276">
        <f t="shared" si="37"/>
        <v>0</v>
      </c>
      <c r="AZ158" s="276">
        <f t="shared" si="37"/>
        <v>0</v>
      </c>
      <c r="BA158" s="276">
        <f t="shared" si="37"/>
        <v>0</v>
      </c>
      <c r="BB158" s="276">
        <f t="shared" si="37"/>
        <v>0</v>
      </c>
      <c r="BC158" s="276">
        <f t="shared" si="37"/>
        <v>0</v>
      </c>
      <c r="BD158" s="276">
        <f t="shared" si="37"/>
        <v>0</v>
      </c>
      <c r="BE158" s="276">
        <f t="shared" si="37"/>
        <v>0</v>
      </c>
      <c r="BF158" s="276">
        <f t="shared" si="37"/>
        <v>0</v>
      </c>
      <c r="BG158" s="276">
        <f t="shared" si="37"/>
        <v>0</v>
      </c>
      <c r="BH158" s="276">
        <f t="shared" si="37"/>
        <v>0</v>
      </c>
      <c r="BI158" s="276">
        <f t="shared" si="37"/>
        <v>0</v>
      </c>
      <c r="BJ158" s="276">
        <f t="shared" si="37"/>
        <v>0</v>
      </c>
      <c r="BK158" s="276">
        <f t="shared" si="37"/>
        <v>0</v>
      </c>
      <c r="BL158" s="276">
        <f t="shared" si="37"/>
        <v>0</v>
      </c>
    </row>
    <row r="160" spans="2:64" x14ac:dyDescent="0.15">
      <c r="B160" s="163" t="s">
        <v>418</v>
      </c>
      <c r="Y160" s="89" t="s">
        <v>417</v>
      </c>
    </row>
    <row r="161" spans="2:64" s="163" customFormat="1" x14ac:dyDescent="0.15">
      <c r="C161" s="163" t="s">
        <v>414</v>
      </c>
    </row>
    <row r="162" spans="2:64" s="163" customFormat="1" x14ac:dyDescent="0.15">
      <c r="C162" s="89" t="s">
        <v>374</v>
      </c>
      <c r="E162" s="156">
        <f t="shared" ref="E162:BL166" si="38">IF(E$5&gt;$D$7,0,E25*$G104)</f>
        <v>0</v>
      </c>
      <c r="F162" s="156">
        <f t="shared" si="38"/>
        <v>0</v>
      </c>
      <c r="G162" s="156">
        <f t="shared" si="38"/>
        <v>0</v>
      </c>
      <c r="H162" s="156">
        <f t="shared" si="38"/>
        <v>0</v>
      </c>
      <c r="I162" s="156">
        <f t="shared" si="38"/>
        <v>0</v>
      </c>
      <c r="J162" s="156">
        <f t="shared" si="38"/>
        <v>0</v>
      </c>
      <c r="K162" s="156">
        <f t="shared" si="38"/>
        <v>0</v>
      </c>
      <c r="L162" s="156">
        <f t="shared" si="38"/>
        <v>0</v>
      </c>
      <c r="M162" s="156">
        <f t="shared" si="38"/>
        <v>0</v>
      </c>
      <c r="N162" s="156">
        <f t="shared" si="38"/>
        <v>0</v>
      </c>
      <c r="O162" s="156">
        <f t="shared" si="38"/>
        <v>0</v>
      </c>
      <c r="P162" s="156">
        <f t="shared" si="38"/>
        <v>0</v>
      </c>
      <c r="Q162" s="156">
        <f t="shared" si="38"/>
        <v>0</v>
      </c>
      <c r="R162" s="156">
        <f t="shared" si="38"/>
        <v>0</v>
      </c>
      <c r="S162" s="156">
        <f t="shared" si="38"/>
        <v>0</v>
      </c>
      <c r="T162" s="156">
        <f t="shared" si="38"/>
        <v>0</v>
      </c>
      <c r="U162" s="156">
        <f t="shared" si="38"/>
        <v>0</v>
      </c>
      <c r="V162" s="156">
        <f t="shared" si="38"/>
        <v>0</v>
      </c>
      <c r="W162" s="156">
        <f t="shared" si="38"/>
        <v>0</v>
      </c>
      <c r="X162" s="156">
        <f t="shared" si="38"/>
        <v>0</v>
      </c>
      <c r="Y162" s="156">
        <f t="shared" si="38"/>
        <v>0</v>
      </c>
      <c r="Z162" s="156">
        <f t="shared" si="38"/>
        <v>0</v>
      </c>
      <c r="AA162" s="156">
        <f t="shared" si="38"/>
        <v>0</v>
      </c>
      <c r="AB162" s="156">
        <f t="shared" si="38"/>
        <v>0</v>
      </c>
      <c r="AC162" s="156">
        <f t="shared" si="38"/>
        <v>0</v>
      </c>
      <c r="AD162" s="156">
        <f t="shared" si="38"/>
        <v>0</v>
      </c>
      <c r="AE162" s="156">
        <f t="shared" si="38"/>
        <v>0</v>
      </c>
      <c r="AF162" s="156">
        <f t="shared" si="38"/>
        <v>0</v>
      </c>
      <c r="AG162" s="156">
        <f t="shared" si="38"/>
        <v>0</v>
      </c>
      <c r="AH162" s="156">
        <f t="shared" si="38"/>
        <v>0</v>
      </c>
      <c r="AI162" s="156">
        <f t="shared" si="38"/>
        <v>0</v>
      </c>
      <c r="AJ162" s="156">
        <f t="shared" si="38"/>
        <v>0</v>
      </c>
      <c r="AK162" s="156">
        <f t="shared" si="38"/>
        <v>0</v>
      </c>
      <c r="AL162" s="156">
        <f t="shared" si="38"/>
        <v>0</v>
      </c>
      <c r="AM162" s="156">
        <f t="shared" si="38"/>
        <v>0</v>
      </c>
      <c r="AN162" s="156">
        <f t="shared" si="38"/>
        <v>0</v>
      </c>
      <c r="AO162" s="156">
        <f t="shared" si="38"/>
        <v>0</v>
      </c>
      <c r="AP162" s="156">
        <f t="shared" si="38"/>
        <v>0</v>
      </c>
      <c r="AQ162" s="156">
        <f t="shared" si="38"/>
        <v>0</v>
      </c>
      <c r="AR162" s="156">
        <f t="shared" si="38"/>
        <v>0</v>
      </c>
      <c r="AS162" s="156">
        <f t="shared" si="38"/>
        <v>0</v>
      </c>
      <c r="AT162" s="156">
        <f t="shared" si="38"/>
        <v>0</v>
      </c>
      <c r="AU162" s="156">
        <f t="shared" si="38"/>
        <v>0</v>
      </c>
      <c r="AV162" s="156">
        <f t="shared" si="38"/>
        <v>0</v>
      </c>
      <c r="AW162" s="156">
        <f t="shared" si="38"/>
        <v>0</v>
      </c>
      <c r="AX162" s="156">
        <f t="shared" si="38"/>
        <v>0</v>
      </c>
      <c r="AY162" s="156">
        <f t="shared" si="38"/>
        <v>0</v>
      </c>
      <c r="AZ162" s="156">
        <f t="shared" si="38"/>
        <v>0</v>
      </c>
      <c r="BA162" s="156">
        <f t="shared" si="38"/>
        <v>0</v>
      </c>
      <c r="BB162" s="156">
        <f t="shared" si="38"/>
        <v>0</v>
      </c>
      <c r="BC162" s="156">
        <f t="shared" si="38"/>
        <v>0</v>
      </c>
      <c r="BD162" s="156">
        <f t="shared" si="38"/>
        <v>0</v>
      </c>
      <c r="BE162" s="156">
        <f t="shared" si="38"/>
        <v>0</v>
      </c>
      <c r="BF162" s="156">
        <f t="shared" si="38"/>
        <v>0</v>
      </c>
      <c r="BG162" s="156">
        <f t="shared" si="38"/>
        <v>0</v>
      </c>
      <c r="BH162" s="156">
        <f t="shared" si="38"/>
        <v>0</v>
      </c>
      <c r="BI162" s="156">
        <f t="shared" si="38"/>
        <v>0</v>
      </c>
      <c r="BJ162" s="156">
        <f t="shared" si="38"/>
        <v>0</v>
      </c>
      <c r="BK162" s="156">
        <f t="shared" si="38"/>
        <v>0</v>
      </c>
      <c r="BL162" s="156">
        <f t="shared" si="38"/>
        <v>0</v>
      </c>
    </row>
    <row r="163" spans="2:64" s="163" customFormat="1" x14ac:dyDescent="0.15">
      <c r="C163" s="89" t="s">
        <v>376</v>
      </c>
      <c r="E163" s="156">
        <f t="shared" si="38"/>
        <v>1.5181162406515373E-2</v>
      </c>
      <c r="F163" s="156">
        <f t="shared" si="38"/>
        <v>0</v>
      </c>
      <c r="G163" s="156">
        <f t="shared" si="38"/>
        <v>0</v>
      </c>
      <c r="H163" s="156">
        <f t="shared" si="38"/>
        <v>0</v>
      </c>
      <c r="I163" s="156">
        <f t="shared" si="38"/>
        <v>0</v>
      </c>
      <c r="J163" s="156">
        <f t="shared" si="38"/>
        <v>0</v>
      </c>
      <c r="K163" s="156">
        <f t="shared" si="38"/>
        <v>0</v>
      </c>
      <c r="L163" s="156">
        <f t="shared" si="38"/>
        <v>0</v>
      </c>
      <c r="M163" s="156">
        <f t="shared" si="38"/>
        <v>0</v>
      </c>
      <c r="N163" s="156">
        <f t="shared" si="38"/>
        <v>0</v>
      </c>
      <c r="O163" s="156">
        <f t="shared" si="38"/>
        <v>0</v>
      </c>
      <c r="P163" s="156">
        <f t="shared" si="38"/>
        <v>0</v>
      </c>
      <c r="Q163" s="156">
        <f t="shared" si="38"/>
        <v>0</v>
      </c>
      <c r="R163" s="156">
        <f t="shared" si="38"/>
        <v>0</v>
      </c>
      <c r="S163" s="156">
        <f t="shared" si="38"/>
        <v>0</v>
      </c>
      <c r="T163" s="156">
        <f t="shared" si="38"/>
        <v>0</v>
      </c>
      <c r="U163" s="156">
        <f t="shared" si="38"/>
        <v>0</v>
      </c>
      <c r="V163" s="156">
        <f t="shared" si="38"/>
        <v>0</v>
      </c>
      <c r="W163" s="156">
        <f t="shared" si="38"/>
        <v>0</v>
      </c>
      <c r="X163" s="156">
        <f t="shared" si="38"/>
        <v>0</v>
      </c>
      <c r="Y163" s="156">
        <f t="shared" si="38"/>
        <v>0</v>
      </c>
      <c r="Z163" s="156">
        <f t="shared" si="38"/>
        <v>0</v>
      </c>
      <c r="AA163" s="156">
        <f t="shared" si="38"/>
        <v>0</v>
      </c>
      <c r="AB163" s="156">
        <f t="shared" si="38"/>
        <v>0</v>
      </c>
      <c r="AC163" s="156">
        <f t="shared" si="38"/>
        <v>0</v>
      </c>
      <c r="AD163" s="156">
        <f t="shared" si="38"/>
        <v>0</v>
      </c>
      <c r="AE163" s="156">
        <f t="shared" si="38"/>
        <v>0</v>
      </c>
      <c r="AF163" s="156">
        <f t="shared" si="38"/>
        <v>0</v>
      </c>
      <c r="AG163" s="156">
        <f t="shared" si="38"/>
        <v>0</v>
      </c>
      <c r="AH163" s="156">
        <f t="shared" si="38"/>
        <v>0</v>
      </c>
      <c r="AI163" s="156">
        <f t="shared" si="38"/>
        <v>0</v>
      </c>
      <c r="AJ163" s="156">
        <f t="shared" si="38"/>
        <v>0</v>
      </c>
      <c r="AK163" s="156">
        <f t="shared" si="38"/>
        <v>0</v>
      </c>
      <c r="AL163" s="156">
        <f t="shared" si="38"/>
        <v>0</v>
      </c>
      <c r="AM163" s="156">
        <f t="shared" si="38"/>
        <v>0</v>
      </c>
      <c r="AN163" s="156">
        <f t="shared" si="38"/>
        <v>0</v>
      </c>
      <c r="AO163" s="156">
        <f t="shared" si="38"/>
        <v>0</v>
      </c>
      <c r="AP163" s="156">
        <f t="shared" si="38"/>
        <v>0</v>
      </c>
      <c r="AQ163" s="156">
        <f t="shared" si="38"/>
        <v>0</v>
      </c>
      <c r="AR163" s="156">
        <f t="shared" si="38"/>
        <v>0</v>
      </c>
      <c r="AS163" s="156">
        <f t="shared" si="38"/>
        <v>0</v>
      </c>
      <c r="AT163" s="156">
        <f t="shared" si="38"/>
        <v>0</v>
      </c>
      <c r="AU163" s="156">
        <f t="shared" si="38"/>
        <v>0</v>
      </c>
      <c r="AV163" s="156">
        <f t="shared" si="38"/>
        <v>0</v>
      </c>
      <c r="AW163" s="156">
        <f t="shared" si="38"/>
        <v>0</v>
      </c>
      <c r="AX163" s="156">
        <f t="shared" si="38"/>
        <v>0</v>
      </c>
      <c r="AY163" s="156">
        <f t="shared" si="38"/>
        <v>0</v>
      </c>
      <c r="AZ163" s="156">
        <f t="shared" si="38"/>
        <v>0</v>
      </c>
      <c r="BA163" s="156">
        <f t="shared" si="38"/>
        <v>0</v>
      </c>
      <c r="BB163" s="156">
        <f t="shared" si="38"/>
        <v>0</v>
      </c>
      <c r="BC163" s="156">
        <f t="shared" si="38"/>
        <v>0</v>
      </c>
      <c r="BD163" s="156">
        <f t="shared" si="38"/>
        <v>0</v>
      </c>
      <c r="BE163" s="156">
        <f t="shared" si="38"/>
        <v>0</v>
      </c>
      <c r="BF163" s="156">
        <f t="shared" si="38"/>
        <v>0</v>
      </c>
      <c r="BG163" s="156">
        <f t="shared" si="38"/>
        <v>0</v>
      </c>
      <c r="BH163" s="156">
        <f t="shared" si="38"/>
        <v>0</v>
      </c>
      <c r="BI163" s="156">
        <f t="shared" si="38"/>
        <v>0</v>
      </c>
      <c r="BJ163" s="156">
        <f t="shared" si="38"/>
        <v>0</v>
      </c>
      <c r="BK163" s="156">
        <f t="shared" si="38"/>
        <v>0</v>
      </c>
      <c r="BL163" s="156">
        <f t="shared" si="38"/>
        <v>0</v>
      </c>
    </row>
    <row r="164" spans="2:64" s="163" customFormat="1" x14ac:dyDescent="0.15">
      <c r="C164" s="89" t="s">
        <v>377</v>
      </c>
      <c r="E164" s="156">
        <f t="shared" si="38"/>
        <v>0</v>
      </c>
      <c r="F164" s="156">
        <f t="shared" si="38"/>
        <v>1.1689495053016839E-2</v>
      </c>
      <c r="G164" s="156">
        <f t="shared" si="38"/>
        <v>0</v>
      </c>
      <c r="H164" s="156">
        <f t="shared" si="38"/>
        <v>0</v>
      </c>
      <c r="I164" s="156">
        <f t="shared" si="38"/>
        <v>0</v>
      </c>
      <c r="J164" s="156">
        <f t="shared" si="38"/>
        <v>0</v>
      </c>
      <c r="K164" s="156">
        <f t="shared" si="38"/>
        <v>0</v>
      </c>
      <c r="L164" s="156">
        <f t="shared" si="38"/>
        <v>0</v>
      </c>
      <c r="M164" s="156">
        <f t="shared" si="38"/>
        <v>0</v>
      </c>
      <c r="N164" s="156">
        <f t="shared" si="38"/>
        <v>0</v>
      </c>
      <c r="O164" s="156">
        <f t="shared" si="38"/>
        <v>0</v>
      </c>
      <c r="P164" s="156">
        <f t="shared" si="38"/>
        <v>0</v>
      </c>
      <c r="Q164" s="156">
        <f t="shared" si="38"/>
        <v>0</v>
      </c>
      <c r="R164" s="156">
        <f t="shared" si="38"/>
        <v>0</v>
      </c>
      <c r="S164" s="156">
        <f t="shared" si="38"/>
        <v>0</v>
      </c>
      <c r="T164" s="156">
        <f t="shared" si="38"/>
        <v>0</v>
      </c>
      <c r="U164" s="156">
        <f t="shared" si="38"/>
        <v>0</v>
      </c>
      <c r="V164" s="156">
        <f t="shared" si="38"/>
        <v>0</v>
      </c>
      <c r="W164" s="156">
        <f t="shared" si="38"/>
        <v>0</v>
      </c>
      <c r="X164" s="156">
        <f t="shared" si="38"/>
        <v>0</v>
      </c>
      <c r="Y164" s="156">
        <f t="shared" si="38"/>
        <v>0</v>
      </c>
      <c r="Z164" s="156">
        <f t="shared" si="38"/>
        <v>0</v>
      </c>
      <c r="AA164" s="156">
        <f t="shared" si="38"/>
        <v>0</v>
      </c>
      <c r="AB164" s="156">
        <f t="shared" si="38"/>
        <v>0</v>
      </c>
      <c r="AC164" s="156">
        <f t="shared" si="38"/>
        <v>0</v>
      </c>
      <c r="AD164" s="156">
        <f t="shared" si="38"/>
        <v>0</v>
      </c>
      <c r="AE164" s="156">
        <f t="shared" si="38"/>
        <v>0</v>
      </c>
      <c r="AF164" s="156">
        <f t="shared" si="38"/>
        <v>0</v>
      </c>
      <c r="AG164" s="156">
        <f t="shared" si="38"/>
        <v>0</v>
      </c>
      <c r="AH164" s="156">
        <f t="shared" si="38"/>
        <v>0</v>
      </c>
      <c r="AI164" s="156">
        <f t="shared" si="38"/>
        <v>0</v>
      </c>
      <c r="AJ164" s="156">
        <f t="shared" si="38"/>
        <v>0</v>
      </c>
      <c r="AK164" s="156">
        <f t="shared" si="38"/>
        <v>0</v>
      </c>
      <c r="AL164" s="156">
        <f t="shared" si="38"/>
        <v>0</v>
      </c>
      <c r="AM164" s="156">
        <f t="shared" si="38"/>
        <v>0</v>
      </c>
      <c r="AN164" s="156">
        <f t="shared" si="38"/>
        <v>0</v>
      </c>
      <c r="AO164" s="156">
        <f t="shared" si="38"/>
        <v>0</v>
      </c>
      <c r="AP164" s="156">
        <f t="shared" si="38"/>
        <v>0</v>
      </c>
      <c r="AQ164" s="156">
        <f t="shared" si="38"/>
        <v>0</v>
      </c>
      <c r="AR164" s="156">
        <f t="shared" si="38"/>
        <v>0</v>
      </c>
      <c r="AS164" s="156">
        <f t="shared" si="38"/>
        <v>0</v>
      </c>
      <c r="AT164" s="156">
        <f t="shared" si="38"/>
        <v>0</v>
      </c>
      <c r="AU164" s="156">
        <f t="shared" si="38"/>
        <v>0</v>
      </c>
      <c r="AV164" s="156">
        <f t="shared" si="38"/>
        <v>0</v>
      </c>
      <c r="AW164" s="156">
        <f t="shared" si="38"/>
        <v>0</v>
      </c>
      <c r="AX164" s="156">
        <f t="shared" si="38"/>
        <v>0</v>
      </c>
      <c r="AY164" s="156">
        <f t="shared" si="38"/>
        <v>0</v>
      </c>
      <c r="AZ164" s="156">
        <f t="shared" si="38"/>
        <v>0</v>
      </c>
      <c r="BA164" s="156">
        <f t="shared" si="38"/>
        <v>0</v>
      </c>
      <c r="BB164" s="156">
        <f t="shared" si="38"/>
        <v>0</v>
      </c>
      <c r="BC164" s="156">
        <f t="shared" si="38"/>
        <v>0</v>
      </c>
      <c r="BD164" s="156">
        <f t="shared" si="38"/>
        <v>0</v>
      </c>
      <c r="BE164" s="156">
        <f t="shared" si="38"/>
        <v>0</v>
      </c>
      <c r="BF164" s="156">
        <f t="shared" si="38"/>
        <v>0</v>
      </c>
      <c r="BG164" s="156">
        <f t="shared" si="38"/>
        <v>0</v>
      </c>
      <c r="BH164" s="156">
        <f t="shared" si="38"/>
        <v>0</v>
      </c>
      <c r="BI164" s="156">
        <f t="shared" si="38"/>
        <v>0</v>
      </c>
      <c r="BJ164" s="156">
        <f t="shared" si="38"/>
        <v>0</v>
      </c>
      <c r="BK164" s="156">
        <f t="shared" si="38"/>
        <v>0</v>
      </c>
      <c r="BL164" s="156">
        <f t="shared" si="38"/>
        <v>0</v>
      </c>
    </row>
    <row r="165" spans="2:64" s="163" customFormat="1" x14ac:dyDescent="0.15">
      <c r="C165" s="89" t="s">
        <v>378</v>
      </c>
      <c r="E165" s="156">
        <f t="shared" si="38"/>
        <v>0</v>
      </c>
      <c r="F165" s="156">
        <f t="shared" si="38"/>
        <v>0</v>
      </c>
      <c r="G165" s="156">
        <f t="shared" si="38"/>
        <v>1.0680092063424695E-2</v>
      </c>
      <c r="H165" s="156">
        <f t="shared" si="38"/>
        <v>0</v>
      </c>
      <c r="I165" s="156">
        <f t="shared" si="38"/>
        <v>0</v>
      </c>
      <c r="J165" s="156">
        <f t="shared" si="38"/>
        <v>0</v>
      </c>
      <c r="K165" s="156">
        <f t="shared" si="38"/>
        <v>0</v>
      </c>
      <c r="L165" s="156">
        <f t="shared" si="38"/>
        <v>0</v>
      </c>
      <c r="M165" s="156">
        <f t="shared" si="38"/>
        <v>0</v>
      </c>
      <c r="N165" s="156">
        <f t="shared" si="38"/>
        <v>0</v>
      </c>
      <c r="O165" s="156">
        <f t="shared" si="38"/>
        <v>0</v>
      </c>
      <c r="P165" s="156">
        <f t="shared" si="38"/>
        <v>0</v>
      </c>
      <c r="Q165" s="156">
        <f t="shared" si="38"/>
        <v>0</v>
      </c>
      <c r="R165" s="156">
        <f t="shared" si="38"/>
        <v>0</v>
      </c>
      <c r="S165" s="156">
        <f t="shared" si="38"/>
        <v>0</v>
      </c>
      <c r="T165" s="156">
        <f t="shared" si="38"/>
        <v>0</v>
      </c>
      <c r="U165" s="156">
        <f t="shared" si="38"/>
        <v>0</v>
      </c>
      <c r="V165" s="156">
        <f t="shared" si="38"/>
        <v>0</v>
      </c>
      <c r="W165" s="156">
        <f t="shared" si="38"/>
        <v>0</v>
      </c>
      <c r="X165" s="156">
        <f t="shared" si="38"/>
        <v>0</v>
      </c>
      <c r="Y165" s="156">
        <f t="shared" si="38"/>
        <v>0</v>
      </c>
      <c r="Z165" s="156">
        <f t="shared" si="38"/>
        <v>0</v>
      </c>
      <c r="AA165" s="156">
        <f t="shared" si="38"/>
        <v>0</v>
      </c>
      <c r="AB165" s="156">
        <f t="shared" si="38"/>
        <v>0</v>
      </c>
      <c r="AC165" s="156">
        <f t="shared" si="38"/>
        <v>0</v>
      </c>
      <c r="AD165" s="156">
        <f t="shared" si="38"/>
        <v>0</v>
      </c>
      <c r="AE165" s="156">
        <f t="shared" si="38"/>
        <v>0</v>
      </c>
      <c r="AF165" s="156">
        <f t="shared" si="38"/>
        <v>0</v>
      </c>
      <c r="AG165" s="156">
        <f t="shared" si="38"/>
        <v>0</v>
      </c>
      <c r="AH165" s="156">
        <f t="shared" si="38"/>
        <v>0</v>
      </c>
      <c r="AI165" s="156">
        <f t="shared" si="38"/>
        <v>0</v>
      </c>
      <c r="AJ165" s="156">
        <f t="shared" si="38"/>
        <v>0</v>
      </c>
      <c r="AK165" s="156">
        <f t="shared" si="38"/>
        <v>0</v>
      </c>
      <c r="AL165" s="156">
        <f t="shared" si="38"/>
        <v>0</v>
      </c>
      <c r="AM165" s="156">
        <f t="shared" si="38"/>
        <v>0</v>
      </c>
      <c r="AN165" s="156">
        <f t="shared" si="38"/>
        <v>0</v>
      </c>
      <c r="AO165" s="156">
        <f t="shared" si="38"/>
        <v>0</v>
      </c>
      <c r="AP165" s="156">
        <f t="shared" si="38"/>
        <v>0</v>
      </c>
      <c r="AQ165" s="156">
        <f t="shared" si="38"/>
        <v>0</v>
      </c>
      <c r="AR165" s="156">
        <f t="shared" si="38"/>
        <v>0</v>
      </c>
      <c r="AS165" s="156">
        <f t="shared" si="38"/>
        <v>0</v>
      </c>
      <c r="AT165" s="156">
        <f t="shared" si="38"/>
        <v>0</v>
      </c>
      <c r="AU165" s="156">
        <f t="shared" si="38"/>
        <v>0</v>
      </c>
      <c r="AV165" s="156">
        <f t="shared" si="38"/>
        <v>0</v>
      </c>
      <c r="AW165" s="156">
        <f t="shared" si="38"/>
        <v>0</v>
      </c>
      <c r="AX165" s="156">
        <f t="shared" si="38"/>
        <v>0</v>
      </c>
      <c r="AY165" s="156">
        <f t="shared" si="38"/>
        <v>0</v>
      </c>
      <c r="AZ165" s="156">
        <f t="shared" si="38"/>
        <v>0</v>
      </c>
      <c r="BA165" s="156">
        <f t="shared" si="38"/>
        <v>0</v>
      </c>
      <c r="BB165" s="156">
        <f t="shared" si="38"/>
        <v>0</v>
      </c>
      <c r="BC165" s="156">
        <f t="shared" si="38"/>
        <v>0</v>
      </c>
      <c r="BD165" s="156">
        <f t="shared" si="38"/>
        <v>0</v>
      </c>
      <c r="BE165" s="156">
        <f t="shared" si="38"/>
        <v>0</v>
      </c>
      <c r="BF165" s="156">
        <f t="shared" si="38"/>
        <v>0</v>
      </c>
      <c r="BG165" s="156">
        <f t="shared" si="38"/>
        <v>0</v>
      </c>
      <c r="BH165" s="156">
        <f t="shared" si="38"/>
        <v>0</v>
      </c>
      <c r="BI165" s="156">
        <f t="shared" si="38"/>
        <v>0</v>
      </c>
      <c r="BJ165" s="156">
        <f t="shared" si="38"/>
        <v>0</v>
      </c>
      <c r="BK165" s="156">
        <f t="shared" si="38"/>
        <v>0</v>
      </c>
      <c r="BL165" s="156">
        <f t="shared" si="38"/>
        <v>0</v>
      </c>
    </row>
    <row r="166" spans="2:64" s="163" customFormat="1" x14ac:dyDescent="0.15">
      <c r="C166" s="89" t="s">
        <v>380</v>
      </c>
      <c r="E166" s="156">
        <f t="shared" si="38"/>
        <v>0</v>
      </c>
      <c r="F166" s="156">
        <f t="shared" si="38"/>
        <v>0</v>
      </c>
      <c r="G166" s="156">
        <f t="shared" si="38"/>
        <v>0</v>
      </c>
      <c r="H166" s="156">
        <f t="shared" si="38"/>
        <v>3.7384965740274875E-2</v>
      </c>
      <c r="I166" s="156">
        <f t="shared" si="38"/>
        <v>0</v>
      </c>
      <c r="J166" s="156">
        <f t="shared" si="38"/>
        <v>0</v>
      </c>
      <c r="K166" s="156">
        <f t="shared" si="38"/>
        <v>0</v>
      </c>
      <c r="L166" s="156">
        <f t="shared" si="38"/>
        <v>0</v>
      </c>
      <c r="M166" s="156">
        <f t="shared" si="38"/>
        <v>0</v>
      </c>
      <c r="N166" s="156">
        <f t="shared" si="38"/>
        <v>0</v>
      </c>
      <c r="O166" s="156">
        <f t="shared" si="38"/>
        <v>0</v>
      </c>
      <c r="P166" s="156">
        <f t="shared" si="38"/>
        <v>0</v>
      </c>
      <c r="Q166" s="156">
        <f t="shared" si="38"/>
        <v>0</v>
      </c>
      <c r="R166" s="156">
        <f t="shared" si="38"/>
        <v>0</v>
      </c>
      <c r="S166" s="156">
        <f t="shared" si="38"/>
        <v>0</v>
      </c>
      <c r="T166" s="156">
        <f t="shared" ref="T166:BL170" si="39">IF(T$5&gt;$D$7,0,T29*$G108)</f>
        <v>0</v>
      </c>
      <c r="U166" s="156">
        <f t="shared" si="39"/>
        <v>0</v>
      </c>
      <c r="V166" s="156">
        <f t="shared" si="39"/>
        <v>0</v>
      </c>
      <c r="W166" s="156">
        <f t="shared" si="39"/>
        <v>0</v>
      </c>
      <c r="X166" s="156">
        <f t="shared" si="39"/>
        <v>0</v>
      </c>
      <c r="Y166" s="156">
        <f t="shared" si="39"/>
        <v>0</v>
      </c>
      <c r="Z166" s="156">
        <f t="shared" si="39"/>
        <v>0</v>
      </c>
      <c r="AA166" s="156">
        <f t="shared" si="39"/>
        <v>0</v>
      </c>
      <c r="AB166" s="156">
        <f t="shared" si="39"/>
        <v>0</v>
      </c>
      <c r="AC166" s="156">
        <f t="shared" si="39"/>
        <v>0</v>
      </c>
      <c r="AD166" s="156">
        <f t="shared" si="39"/>
        <v>0</v>
      </c>
      <c r="AE166" s="156">
        <f t="shared" si="39"/>
        <v>0</v>
      </c>
      <c r="AF166" s="156">
        <f t="shared" si="39"/>
        <v>0</v>
      </c>
      <c r="AG166" s="156">
        <f t="shared" si="39"/>
        <v>0</v>
      </c>
      <c r="AH166" s="156">
        <f t="shared" si="39"/>
        <v>0</v>
      </c>
      <c r="AI166" s="156">
        <f t="shared" si="39"/>
        <v>0</v>
      </c>
      <c r="AJ166" s="156">
        <f t="shared" si="39"/>
        <v>0</v>
      </c>
      <c r="AK166" s="156">
        <f t="shared" si="39"/>
        <v>0</v>
      </c>
      <c r="AL166" s="156">
        <f t="shared" si="39"/>
        <v>0</v>
      </c>
      <c r="AM166" s="156">
        <f t="shared" si="39"/>
        <v>0</v>
      </c>
      <c r="AN166" s="156">
        <f t="shared" si="39"/>
        <v>0</v>
      </c>
      <c r="AO166" s="156">
        <f t="shared" si="39"/>
        <v>0</v>
      </c>
      <c r="AP166" s="156">
        <f t="shared" si="39"/>
        <v>0</v>
      </c>
      <c r="AQ166" s="156">
        <f t="shared" si="39"/>
        <v>0</v>
      </c>
      <c r="AR166" s="156">
        <f t="shared" si="39"/>
        <v>0</v>
      </c>
      <c r="AS166" s="156">
        <f t="shared" si="39"/>
        <v>0</v>
      </c>
      <c r="AT166" s="156">
        <f t="shared" si="39"/>
        <v>0</v>
      </c>
      <c r="AU166" s="156">
        <f t="shared" si="39"/>
        <v>0</v>
      </c>
      <c r="AV166" s="156">
        <f t="shared" si="39"/>
        <v>0</v>
      </c>
      <c r="AW166" s="156">
        <f t="shared" si="39"/>
        <v>0</v>
      </c>
      <c r="AX166" s="156">
        <f t="shared" si="39"/>
        <v>0</v>
      </c>
      <c r="AY166" s="156">
        <f t="shared" si="39"/>
        <v>0</v>
      </c>
      <c r="AZ166" s="156">
        <f t="shared" si="39"/>
        <v>0</v>
      </c>
      <c r="BA166" s="156">
        <f t="shared" si="39"/>
        <v>0</v>
      </c>
      <c r="BB166" s="156">
        <f t="shared" si="39"/>
        <v>0</v>
      </c>
      <c r="BC166" s="156">
        <f t="shared" si="39"/>
        <v>0</v>
      </c>
      <c r="BD166" s="156">
        <f t="shared" si="39"/>
        <v>0</v>
      </c>
      <c r="BE166" s="156">
        <f t="shared" si="39"/>
        <v>0</v>
      </c>
      <c r="BF166" s="156">
        <f t="shared" si="39"/>
        <v>0</v>
      </c>
      <c r="BG166" s="156">
        <f t="shared" si="39"/>
        <v>0</v>
      </c>
      <c r="BH166" s="156">
        <f t="shared" si="39"/>
        <v>0</v>
      </c>
      <c r="BI166" s="156">
        <f t="shared" si="39"/>
        <v>0</v>
      </c>
      <c r="BJ166" s="156">
        <f t="shared" si="39"/>
        <v>0</v>
      </c>
      <c r="BK166" s="156">
        <f t="shared" si="39"/>
        <v>0</v>
      </c>
      <c r="BL166" s="156">
        <f t="shared" si="39"/>
        <v>0</v>
      </c>
    </row>
    <row r="167" spans="2:64" s="163" customFormat="1" x14ac:dyDescent="0.15">
      <c r="C167" s="89" t="s">
        <v>381</v>
      </c>
      <c r="E167" s="156">
        <f t="shared" ref="E167:AJ170" si="40">IF(E$5&gt;$D$7,0,E30*$G109)</f>
        <v>0</v>
      </c>
      <c r="F167" s="156">
        <f t="shared" si="40"/>
        <v>0</v>
      </c>
      <c r="G167" s="156">
        <f t="shared" si="40"/>
        <v>0</v>
      </c>
      <c r="H167" s="156">
        <f t="shared" si="40"/>
        <v>0</v>
      </c>
      <c r="I167" s="156">
        <f t="shared" si="40"/>
        <v>3.7011116082872129E-2</v>
      </c>
      <c r="J167" s="156">
        <f t="shared" si="40"/>
        <v>0</v>
      </c>
      <c r="K167" s="156">
        <f t="shared" si="40"/>
        <v>0</v>
      </c>
      <c r="L167" s="156">
        <f t="shared" si="40"/>
        <v>0</v>
      </c>
      <c r="M167" s="156">
        <f t="shared" si="40"/>
        <v>0</v>
      </c>
      <c r="N167" s="156">
        <f t="shared" si="40"/>
        <v>0</v>
      </c>
      <c r="O167" s="156">
        <f t="shared" si="40"/>
        <v>0</v>
      </c>
      <c r="P167" s="156">
        <f t="shared" si="40"/>
        <v>0</v>
      </c>
      <c r="Q167" s="156">
        <f t="shared" si="40"/>
        <v>0</v>
      </c>
      <c r="R167" s="156">
        <f t="shared" si="40"/>
        <v>0</v>
      </c>
      <c r="S167" s="156">
        <f t="shared" si="40"/>
        <v>0</v>
      </c>
      <c r="T167" s="156">
        <f t="shared" si="40"/>
        <v>0</v>
      </c>
      <c r="U167" s="156">
        <f t="shared" si="40"/>
        <v>0</v>
      </c>
      <c r="V167" s="156">
        <f t="shared" si="40"/>
        <v>0</v>
      </c>
      <c r="W167" s="156">
        <f t="shared" si="40"/>
        <v>0</v>
      </c>
      <c r="X167" s="156">
        <f t="shared" si="40"/>
        <v>0</v>
      </c>
      <c r="Y167" s="156">
        <f t="shared" si="40"/>
        <v>0</v>
      </c>
      <c r="Z167" s="156">
        <f t="shared" si="40"/>
        <v>0</v>
      </c>
      <c r="AA167" s="156">
        <f t="shared" si="40"/>
        <v>0</v>
      </c>
      <c r="AB167" s="156">
        <f t="shared" si="40"/>
        <v>0</v>
      </c>
      <c r="AC167" s="156">
        <f t="shared" si="40"/>
        <v>0</v>
      </c>
      <c r="AD167" s="156">
        <f t="shared" si="40"/>
        <v>0</v>
      </c>
      <c r="AE167" s="156">
        <f t="shared" si="40"/>
        <v>0</v>
      </c>
      <c r="AF167" s="156">
        <f t="shared" si="40"/>
        <v>0</v>
      </c>
      <c r="AG167" s="156">
        <f t="shared" si="40"/>
        <v>0</v>
      </c>
      <c r="AH167" s="156">
        <f t="shared" si="40"/>
        <v>0</v>
      </c>
      <c r="AI167" s="156">
        <f t="shared" si="40"/>
        <v>0</v>
      </c>
      <c r="AJ167" s="156">
        <f t="shared" si="40"/>
        <v>0</v>
      </c>
      <c r="AK167" s="156">
        <f t="shared" si="39"/>
        <v>0</v>
      </c>
      <c r="AL167" s="156">
        <f t="shared" si="39"/>
        <v>0</v>
      </c>
      <c r="AM167" s="156">
        <f t="shared" si="39"/>
        <v>0</v>
      </c>
      <c r="AN167" s="156">
        <f t="shared" si="39"/>
        <v>0</v>
      </c>
      <c r="AO167" s="156">
        <f t="shared" si="39"/>
        <v>0</v>
      </c>
      <c r="AP167" s="156">
        <f t="shared" si="39"/>
        <v>0</v>
      </c>
      <c r="AQ167" s="156">
        <f t="shared" si="39"/>
        <v>0</v>
      </c>
      <c r="AR167" s="156">
        <f t="shared" si="39"/>
        <v>0</v>
      </c>
      <c r="AS167" s="156">
        <f t="shared" si="39"/>
        <v>0</v>
      </c>
      <c r="AT167" s="156">
        <f t="shared" si="39"/>
        <v>0</v>
      </c>
      <c r="AU167" s="156">
        <f t="shared" si="39"/>
        <v>0</v>
      </c>
      <c r="AV167" s="156">
        <f t="shared" si="39"/>
        <v>0</v>
      </c>
      <c r="AW167" s="156">
        <f t="shared" si="39"/>
        <v>0</v>
      </c>
      <c r="AX167" s="156">
        <f t="shared" si="39"/>
        <v>0</v>
      </c>
      <c r="AY167" s="156">
        <f t="shared" si="39"/>
        <v>0</v>
      </c>
      <c r="AZ167" s="156">
        <f t="shared" si="39"/>
        <v>0</v>
      </c>
      <c r="BA167" s="156">
        <f t="shared" si="39"/>
        <v>0</v>
      </c>
      <c r="BB167" s="156">
        <f t="shared" si="39"/>
        <v>0</v>
      </c>
      <c r="BC167" s="156">
        <f t="shared" si="39"/>
        <v>0</v>
      </c>
      <c r="BD167" s="156">
        <f t="shared" si="39"/>
        <v>0</v>
      </c>
      <c r="BE167" s="156">
        <f t="shared" si="39"/>
        <v>0</v>
      </c>
      <c r="BF167" s="156">
        <f t="shared" si="39"/>
        <v>0</v>
      </c>
      <c r="BG167" s="156">
        <f t="shared" si="39"/>
        <v>0</v>
      </c>
      <c r="BH167" s="156">
        <f t="shared" si="39"/>
        <v>0</v>
      </c>
      <c r="BI167" s="156">
        <f t="shared" si="39"/>
        <v>0</v>
      </c>
      <c r="BJ167" s="156">
        <f t="shared" si="39"/>
        <v>0</v>
      </c>
      <c r="BK167" s="156">
        <f t="shared" si="39"/>
        <v>0</v>
      </c>
      <c r="BL167" s="156">
        <f t="shared" si="39"/>
        <v>0</v>
      </c>
    </row>
    <row r="168" spans="2:64" s="163" customFormat="1" x14ac:dyDescent="0.15">
      <c r="C168" s="89" t="s">
        <v>382</v>
      </c>
      <c r="E168" s="156">
        <f t="shared" si="40"/>
        <v>0</v>
      </c>
      <c r="F168" s="156">
        <f t="shared" si="40"/>
        <v>0</v>
      </c>
      <c r="G168" s="156">
        <f t="shared" si="40"/>
        <v>0</v>
      </c>
      <c r="H168" s="156">
        <f t="shared" si="40"/>
        <v>0</v>
      </c>
      <c r="I168" s="156">
        <f t="shared" si="40"/>
        <v>0</v>
      </c>
      <c r="J168" s="156">
        <f t="shared" si="40"/>
        <v>3.6641004922043405E-2</v>
      </c>
      <c r="K168" s="156">
        <f t="shared" si="40"/>
        <v>0</v>
      </c>
      <c r="L168" s="156">
        <f t="shared" si="40"/>
        <v>0</v>
      </c>
      <c r="M168" s="156">
        <f t="shared" si="40"/>
        <v>0</v>
      </c>
      <c r="N168" s="156">
        <f t="shared" si="40"/>
        <v>0</v>
      </c>
      <c r="O168" s="156">
        <f t="shared" si="40"/>
        <v>0</v>
      </c>
      <c r="P168" s="156">
        <f t="shared" si="40"/>
        <v>0</v>
      </c>
      <c r="Q168" s="156">
        <f t="shared" si="40"/>
        <v>0</v>
      </c>
      <c r="R168" s="156">
        <f t="shared" si="40"/>
        <v>0</v>
      </c>
      <c r="S168" s="156">
        <f t="shared" si="40"/>
        <v>0</v>
      </c>
      <c r="T168" s="156">
        <f t="shared" si="40"/>
        <v>0</v>
      </c>
      <c r="U168" s="156">
        <f t="shared" si="40"/>
        <v>0</v>
      </c>
      <c r="V168" s="156">
        <f t="shared" si="40"/>
        <v>0</v>
      </c>
      <c r="W168" s="156">
        <f t="shared" si="40"/>
        <v>0</v>
      </c>
      <c r="X168" s="156">
        <f t="shared" si="40"/>
        <v>0</v>
      </c>
      <c r="Y168" s="156">
        <f t="shared" si="40"/>
        <v>0</v>
      </c>
      <c r="Z168" s="156">
        <f t="shared" si="40"/>
        <v>0</v>
      </c>
      <c r="AA168" s="156">
        <f t="shared" si="40"/>
        <v>0</v>
      </c>
      <c r="AB168" s="156">
        <f t="shared" si="40"/>
        <v>0</v>
      </c>
      <c r="AC168" s="156">
        <f t="shared" si="40"/>
        <v>0</v>
      </c>
      <c r="AD168" s="156">
        <f t="shared" si="40"/>
        <v>0</v>
      </c>
      <c r="AE168" s="156">
        <f t="shared" si="40"/>
        <v>0</v>
      </c>
      <c r="AF168" s="156">
        <f t="shared" si="40"/>
        <v>0</v>
      </c>
      <c r="AG168" s="156">
        <f t="shared" si="40"/>
        <v>0</v>
      </c>
      <c r="AH168" s="156">
        <f t="shared" si="40"/>
        <v>0</v>
      </c>
      <c r="AI168" s="156">
        <f t="shared" si="40"/>
        <v>0</v>
      </c>
      <c r="AJ168" s="156">
        <f t="shared" si="40"/>
        <v>0</v>
      </c>
      <c r="AK168" s="156">
        <f t="shared" si="39"/>
        <v>0</v>
      </c>
      <c r="AL168" s="156">
        <f t="shared" si="39"/>
        <v>0</v>
      </c>
      <c r="AM168" s="156">
        <f t="shared" si="39"/>
        <v>0</v>
      </c>
      <c r="AN168" s="156">
        <f t="shared" si="39"/>
        <v>0</v>
      </c>
      <c r="AO168" s="156">
        <f t="shared" si="39"/>
        <v>0</v>
      </c>
      <c r="AP168" s="156">
        <f t="shared" si="39"/>
        <v>0</v>
      </c>
      <c r="AQ168" s="156">
        <f t="shared" si="39"/>
        <v>0</v>
      </c>
      <c r="AR168" s="156">
        <f t="shared" si="39"/>
        <v>0</v>
      </c>
      <c r="AS168" s="156">
        <f t="shared" si="39"/>
        <v>0</v>
      </c>
      <c r="AT168" s="156">
        <f t="shared" si="39"/>
        <v>0</v>
      </c>
      <c r="AU168" s="156">
        <f t="shared" si="39"/>
        <v>0</v>
      </c>
      <c r="AV168" s="156">
        <f t="shared" si="39"/>
        <v>0</v>
      </c>
      <c r="AW168" s="156">
        <f t="shared" si="39"/>
        <v>0</v>
      </c>
      <c r="AX168" s="156">
        <f t="shared" si="39"/>
        <v>0</v>
      </c>
      <c r="AY168" s="156">
        <f t="shared" si="39"/>
        <v>0</v>
      </c>
      <c r="AZ168" s="156">
        <f t="shared" si="39"/>
        <v>0</v>
      </c>
      <c r="BA168" s="156">
        <f t="shared" si="39"/>
        <v>0</v>
      </c>
      <c r="BB168" s="156">
        <f t="shared" si="39"/>
        <v>0</v>
      </c>
      <c r="BC168" s="156">
        <f t="shared" si="39"/>
        <v>0</v>
      </c>
      <c r="BD168" s="156">
        <f t="shared" si="39"/>
        <v>0</v>
      </c>
      <c r="BE168" s="156">
        <f t="shared" si="39"/>
        <v>0</v>
      </c>
      <c r="BF168" s="156">
        <f t="shared" si="39"/>
        <v>0</v>
      </c>
      <c r="BG168" s="156">
        <f t="shared" si="39"/>
        <v>0</v>
      </c>
      <c r="BH168" s="156">
        <f t="shared" si="39"/>
        <v>0</v>
      </c>
      <c r="BI168" s="156">
        <f t="shared" si="39"/>
        <v>0</v>
      </c>
      <c r="BJ168" s="156">
        <f t="shared" si="39"/>
        <v>0</v>
      </c>
      <c r="BK168" s="156">
        <f t="shared" si="39"/>
        <v>0</v>
      </c>
      <c r="BL168" s="156">
        <f t="shared" si="39"/>
        <v>0</v>
      </c>
    </row>
    <row r="169" spans="2:64" s="163" customFormat="1" x14ac:dyDescent="0.15">
      <c r="C169" s="89" t="s">
        <v>384</v>
      </c>
      <c r="E169" s="156">
        <f t="shared" si="40"/>
        <v>0</v>
      </c>
      <c r="F169" s="156">
        <f t="shared" si="40"/>
        <v>0</v>
      </c>
      <c r="G169" s="156">
        <f t="shared" si="40"/>
        <v>0</v>
      </c>
      <c r="H169" s="156">
        <f t="shared" si="40"/>
        <v>0</v>
      </c>
      <c r="I169" s="156">
        <f t="shared" si="40"/>
        <v>0</v>
      </c>
      <c r="J169" s="156">
        <f t="shared" si="40"/>
        <v>0</v>
      </c>
      <c r="K169" s="156">
        <f t="shared" si="40"/>
        <v>8.9167872038300455E-2</v>
      </c>
      <c r="L169" s="156">
        <f t="shared" si="40"/>
        <v>0</v>
      </c>
      <c r="M169" s="156">
        <f t="shared" si="40"/>
        <v>0</v>
      </c>
      <c r="N169" s="156">
        <f t="shared" si="40"/>
        <v>0</v>
      </c>
      <c r="O169" s="156">
        <f t="shared" si="40"/>
        <v>0</v>
      </c>
      <c r="P169" s="156">
        <f t="shared" si="40"/>
        <v>0</v>
      </c>
      <c r="Q169" s="156">
        <f t="shared" si="40"/>
        <v>0</v>
      </c>
      <c r="R169" s="156">
        <f t="shared" si="40"/>
        <v>0</v>
      </c>
      <c r="S169" s="156">
        <f t="shared" si="40"/>
        <v>0</v>
      </c>
      <c r="T169" s="156">
        <f t="shared" si="40"/>
        <v>0</v>
      </c>
      <c r="U169" s="156">
        <f t="shared" si="40"/>
        <v>0</v>
      </c>
      <c r="V169" s="156">
        <f t="shared" si="40"/>
        <v>0</v>
      </c>
      <c r="W169" s="156">
        <f t="shared" si="40"/>
        <v>0</v>
      </c>
      <c r="X169" s="156">
        <f t="shared" si="40"/>
        <v>0</v>
      </c>
      <c r="Y169" s="156">
        <f t="shared" si="40"/>
        <v>0</v>
      </c>
      <c r="Z169" s="156">
        <f t="shared" si="40"/>
        <v>0</v>
      </c>
      <c r="AA169" s="156">
        <f t="shared" si="40"/>
        <v>0</v>
      </c>
      <c r="AB169" s="156">
        <f t="shared" si="40"/>
        <v>0</v>
      </c>
      <c r="AC169" s="156">
        <f t="shared" si="40"/>
        <v>0</v>
      </c>
      <c r="AD169" s="156">
        <f t="shared" si="40"/>
        <v>0</v>
      </c>
      <c r="AE169" s="156">
        <f t="shared" si="40"/>
        <v>0</v>
      </c>
      <c r="AF169" s="156">
        <f t="shared" si="40"/>
        <v>0</v>
      </c>
      <c r="AG169" s="156">
        <f t="shared" si="40"/>
        <v>0</v>
      </c>
      <c r="AH169" s="156">
        <f t="shared" si="40"/>
        <v>0</v>
      </c>
      <c r="AI169" s="156">
        <f t="shared" si="40"/>
        <v>0</v>
      </c>
      <c r="AJ169" s="156">
        <f t="shared" si="40"/>
        <v>0</v>
      </c>
      <c r="AK169" s="156">
        <f t="shared" si="39"/>
        <v>0</v>
      </c>
      <c r="AL169" s="156">
        <f t="shared" si="39"/>
        <v>0</v>
      </c>
      <c r="AM169" s="156">
        <f t="shared" si="39"/>
        <v>0</v>
      </c>
      <c r="AN169" s="156">
        <f t="shared" si="39"/>
        <v>0</v>
      </c>
      <c r="AO169" s="156">
        <f t="shared" si="39"/>
        <v>0</v>
      </c>
      <c r="AP169" s="156">
        <f t="shared" si="39"/>
        <v>0</v>
      </c>
      <c r="AQ169" s="156">
        <f t="shared" si="39"/>
        <v>0</v>
      </c>
      <c r="AR169" s="156">
        <f t="shared" si="39"/>
        <v>0</v>
      </c>
      <c r="AS169" s="156">
        <f t="shared" si="39"/>
        <v>0</v>
      </c>
      <c r="AT169" s="156">
        <f t="shared" si="39"/>
        <v>0</v>
      </c>
      <c r="AU169" s="156">
        <f t="shared" si="39"/>
        <v>0</v>
      </c>
      <c r="AV169" s="156">
        <f t="shared" si="39"/>
        <v>0</v>
      </c>
      <c r="AW169" s="156">
        <f t="shared" si="39"/>
        <v>0</v>
      </c>
      <c r="AX169" s="156">
        <f t="shared" si="39"/>
        <v>0</v>
      </c>
      <c r="AY169" s="156">
        <f t="shared" si="39"/>
        <v>0</v>
      </c>
      <c r="AZ169" s="156">
        <f t="shared" si="39"/>
        <v>0</v>
      </c>
      <c r="BA169" s="156">
        <f t="shared" si="39"/>
        <v>0</v>
      </c>
      <c r="BB169" s="156">
        <f t="shared" si="39"/>
        <v>0</v>
      </c>
      <c r="BC169" s="156">
        <f t="shared" si="39"/>
        <v>0</v>
      </c>
      <c r="BD169" s="156">
        <f t="shared" si="39"/>
        <v>0</v>
      </c>
      <c r="BE169" s="156">
        <f t="shared" si="39"/>
        <v>0</v>
      </c>
      <c r="BF169" s="156">
        <f t="shared" si="39"/>
        <v>0</v>
      </c>
      <c r="BG169" s="156">
        <f t="shared" si="39"/>
        <v>0</v>
      </c>
      <c r="BH169" s="156">
        <f t="shared" si="39"/>
        <v>0</v>
      </c>
      <c r="BI169" s="156">
        <f t="shared" si="39"/>
        <v>0</v>
      </c>
      <c r="BJ169" s="156">
        <f t="shared" si="39"/>
        <v>0</v>
      </c>
      <c r="BK169" s="156">
        <f t="shared" si="39"/>
        <v>0</v>
      </c>
      <c r="BL169" s="156">
        <f t="shared" si="39"/>
        <v>0</v>
      </c>
    </row>
    <row r="170" spans="2:64" s="163" customFormat="1" x14ac:dyDescent="0.15">
      <c r="C170" s="89" t="s">
        <v>385</v>
      </c>
      <c r="E170" s="156">
        <f t="shared" si="40"/>
        <v>0</v>
      </c>
      <c r="F170" s="156">
        <f t="shared" si="40"/>
        <v>0</v>
      </c>
      <c r="G170" s="156">
        <f t="shared" si="40"/>
        <v>0</v>
      </c>
      <c r="H170" s="156">
        <f t="shared" si="40"/>
        <v>0</v>
      </c>
      <c r="I170" s="156">
        <f t="shared" si="40"/>
        <v>0</v>
      </c>
      <c r="J170" s="156">
        <f t="shared" si="40"/>
        <v>0</v>
      </c>
      <c r="K170" s="156">
        <f t="shared" si="40"/>
        <v>0</v>
      </c>
      <c r="L170" s="156">
        <f t="shared" si="40"/>
        <v>0</v>
      </c>
      <c r="M170" s="156">
        <f t="shared" si="40"/>
        <v>0</v>
      </c>
      <c r="N170" s="156">
        <f t="shared" si="40"/>
        <v>0</v>
      </c>
      <c r="O170" s="156">
        <f t="shared" si="40"/>
        <v>0</v>
      </c>
      <c r="P170" s="156">
        <f t="shared" si="40"/>
        <v>0</v>
      </c>
      <c r="Q170" s="156">
        <f t="shared" si="40"/>
        <v>0</v>
      </c>
      <c r="R170" s="156">
        <f t="shared" si="40"/>
        <v>0</v>
      </c>
      <c r="S170" s="156">
        <f t="shared" si="40"/>
        <v>0</v>
      </c>
      <c r="T170" s="156">
        <f t="shared" si="40"/>
        <v>0</v>
      </c>
      <c r="U170" s="156">
        <f t="shared" si="40"/>
        <v>0</v>
      </c>
      <c r="V170" s="156">
        <f t="shared" si="40"/>
        <v>0</v>
      </c>
      <c r="W170" s="156">
        <f t="shared" si="40"/>
        <v>0</v>
      </c>
      <c r="X170" s="156">
        <f t="shared" si="40"/>
        <v>0</v>
      </c>
      <c r="Y170" s="156">
        <f t="shared" si="40"/>
        <v>0</v>
      </c>
      <c r="Z170" s="156">
        <f t="shared" si="40"/>
        <v>0</v>
      </c>
      <c r="AA170" s="156">
        <f t="shared" si="40"/>
        <v>0</v>
      </c>
      <c r="AB170" s="156">
        <f t="shared" si="40"/>
        <v>0</v>
      </c>
      <c r="AC170" s="156">
        <f t="shared" si="40"/>
        <v>0</v>
      </c>
      <c r="AD170" s="156">
        <f t="shared" si="40"/>
        <v>0</v>
      </c>
      <c r="AE170" s="156">
        <f t="shared" si="40"/>
        <v>0</v>
      </c>
      <c r="AF170" s="156">
        <f t="shared" si="40"/>
        <v>0</v>
      </c>
      <c r="AG170" s="156">
        <f t="shared" si="40"/>
        <v>0</v>
      </c>
      <c r="AH170" s="156">
        <f t="shared" si="40"/>
        <v>0</v>
      </c>
      <c r="AI170" s="156">
        <f t="shared" si="40"/>
        <v>0</v>
      </c>
      <c r="AJ170" s="156">
        <f t="shared" si="40"/>
        <v>0</v>
      </c>
      <c r="AK170" s="156">
        <f t="shared" si="39"/>
        <v>0</v>
      </c>
      <c r="AL170" s="156">
        <f t="shared" si="39"/>
        <v>0</v>
      </c>
      <c r="AM170" s="156">
        <f t="shared" si="39"/>
        <v>0</v>
      </c>
      <c r="AN170" s="156">
        <f t="shared" si="39"/>
        <v>0</v>
      </c>
      <c r="AO170" s="156">
        <f t="shared" si="39"/>
        <v>0</v>
      </c>
      <c r="AP170" s="156">
        <f t="shared" si="39"/>
        <v>0</v>
      </c>
      <c r="AQ170" s="156">
        <f t="shared" si="39"/>
        <v>0</v>
      </c>
      <c r="AR170" s="156">
        <f t="shared" si="39"/>
        <v>0</v>
      </c>
      <c r="AS170" s="156">
        <f t="shared" si="39"/>
        <v>0</v>
      </c>
      <c r="AT170" s="156">
        <f t="shared" si="39"/>
        <v>0</v>
      </c>
      <c r="AU170" s="156">
        <f t="shared" si="39"/>
        <v>0</v>
      </c>
      <c r="AV170" s="156">
        <f t="shared" si="39"/>
        <v>0</v>
      </c>
      <c r="AW170" s="156">
        <f t="shared" si="39"/>
        <v>0</v>
      </c>
      <c r="AX170" s="156">
        <f t="shared" si="39"/>
        <v>0</v>
      </c>
      <c r="AY170" s="156">
        <f t="shared" si="39"/>
        <v>0</v>
      </c>
      <c r="AZ170" s="156">
        <f t="shared" si="39"/>
        <v>0</v>
      </c>
      <c r="BA170" s="156">
        <f t="shared" si="39"/>
        <v>0</v>
      </c>
      <c r="BB170" s="156">
        <f t="shared" si="39"/>
        <v>0</v>
      </c>
      <c r="BC170" s="156">
        <f t="shared" si="39"/>
        <v>0</v>
      </c>
      <c r="BD170" s="156">
        <f t="shared" si="39"/>
        <v>0</v>
      </c>
      <c r="BE170" s="156">
        <f t="shared" si="39"/>
        <v>0</v>
      </c>
      <c r="BF170" s="156">
        <f t="shared" si="39"/>
        <v>0</v>
      </c>
      <c r="BG170" s="156">
        <f t="shared" si="39"/>
        <v>0</v>
      </c>
      <c r="BH170" s="156">
        <f t="shared" si="39"/>
        <v>0</v>
      </c>
      <c r="BI170" s="156">
        <f t="shared" si="39"/>
        <v>0</v>
      </c>
      <c r="BJ170" s="156">
        <f t="shared" si="39"/>
        <v>0</v>
      </c>
      <c r="BK170" s="156">
        <f t="shared" si="39"/>
        <v>0</v>
      </c>
      <c r="BL170" s="156">
        <f t="shared" si="39"/>
        <v>0</v>
      </c>
    </row>
    <row r="171" spans="2:64" s="163" customFormat="1" x14ac:dyDescent="0.15">
      <c r="C171" s="89" t="s">
        <v>419</v>
      </c>
      <c r="E171" s="156">
        <f t="shared" ref="E171:BL171" si="41">IF(E5&gt;$D$7,0,D171+D170)</f>
        <v>0</v>
      </c>
      <c r="F171" s="156">
        <f t="shared" si="41"/>
        <v>0</v>
      </c>
      <c r="G171" s="156">
        <f t="shared" si="41"/>
        <v>0</v>
      </c>
      <c r="H171" s="156">
        <f t="shared" si="41"/>
        <v>0</v>
      </c>
      <c r="I171" s="156">
        <f t="shared" si="41"/>
        <v>0</v>
      </c>
      <c r="J171" s="156">
        <f t="shared" si="41"/>
        <v>0</v>
      </c>
      <c r="K171" s="156">
        <f t="shared" si="41"/>
        <v>0</v>
      </c>
      <c r="L171" s="156">
        <f t="shared" si="41"/>
        <v>0</v>
      </c>
      <c r="M171" s="156">
        <f t="shared" si="41"/>
        <v>0</v>
      </c>
      <c r="N171" s="156">
        <f t="shared" si="41"/>
        <v>0</v>
      </c>
      <c r="O171" s="156">
        <f t="shared" si="41"/>
        <v>0</v>
      </c>
      <c r="P171" s="156">
        <f t="shared" si="41"/>
        <v>0</v>
      </c>
      <c r="Q171" s="156">
        <f t="shared" si="41"/>
        <v>0</v>
      </c>
      <c r="R171" s="156">
        <f t="shared" si="41"/>
        <v>0</v>
      </c>
      <c r="S171" s="156">
        <f t="shared" si="41"/>
        <v>0</v>
      </c>
      <c r="T171" s="156">
        <f t="shared" si="41"/>
        <v>0</v>
      </c>
      <c r="U171" s="156">
        <f t="shared" si="41"/>
        <v>0</v>
      </c>
      <c r="V171" s="156">
        <f t="shared" si="41"/>
        <v>0</v>
      </c>
      <c r="W171" s="156">
        <f t="shared" si="41"/>
        <v>0</v>
      </c>
      <c r="X171" s="156">
        <f t="shared" si="41"/>
        <v>0</v>
      </c>
      <c r="Y171" s="156">
        <f t="shared" si="41"/>
        <v>0</v>
      </c>
      <c r="Z171" s="156">
        <f t="shared" si="41"/>
        <v>0</v>
      </c>
      <c r="AA171" s="156">
        <f t="shared" si="41"/>
        <v>0</v>
      </c>
      <c r="AB171" s="156">
        <f t="shared" si="41"/>
        <v>0</v>
      </c>
      <c r="AC171" s="156">
        <f t="shared" si="41"/>
        <v>0</v>
      </c>
      <c r="AD171" s="156">
        <f t="shared" si="41"/>
        <v>0</v>
      </c>
      <c r="AE171" s="156">
        <f t="shared" si="41"/>
        <v>0</v>
      </c>
      <c r="AF171" s="156">
        <f t="shared" si="41"/>
        <v>0</v>
      </c>
      <c r="AG171" s="156">
        <f t="shared" si="41"/>
        <v>0</v>
      </c>
      <c r="AH171" s="156">
        <f t="shared" si="41"/>
        <v>0</v>
      </c>
      <c r="AI171" s="156">
        <f t="shared" si="41"/>
        <v>0</v>
      </c>
      <c r="AJ171" s="156">
        <f t="shared" si="41"/>
        <v>0</v>
      </c>
      <c r="AK171" s="156">
        <f t="shared" si="41"/>
        <v>0</v>
      </c>
      <c r="AL171" s="156">
        <f t="shared" si="41"/>
        <v>0</v>
      </c>
      <c r="AM171" s="156">
        <f t="shared" si="41"/>
        <v>0</v>
      </c>
      <c r="AN171" s="156">
        <f t="shared" si="41"/>
        <v>0</v>
      </c>
      <c r="AO171" s="156">
        <f t="shared" si="41"/>
        <v>0</v>
      </c>
      <c r="AP171" s="156">
        <f t="shared" si="41"/>
        <v>0</v>
      </c>
      <c r="AQ171" s="156">
        <f t="shared" si="41"/>
        <v>0</v>
      </c>
      <c r="AR171" s="156">
        <f t="shared" si="41"/>
        <v>0</v>
      </c>
      <c r="AS171" s="156">
        <f t="shared" si="41"/>
        <v>0</v>
      </c>
      <c r="AT171" s="156">
        <f t="shared" si="41"/>
        <v>0</v>
      </c>
      <c r="AU171" s="156">
        <f t="shared" si="41"/>
        <v>0</v>
      </c>
      <c r="AV171" s="156">
        <f t="shared" si="41"/>
        <v>0</v>
      </c>
      <c r="AW171" s="156">
        <f t="shared" si="41"/>
        <v>0</v>
      </c>
      <c r="AX171" s="156">
        <f t="shared" si="41"/>
        <v>0</v>
      </c>
      <c r="AY171" s="156">
        <f t="shared" si="41"/>
        <v>0</v>
      </c>
      <c r="AZ171" s="156">
        <f t="shared" si="41"/>
        <v>0</v>
      </c>
      <c r="BA171" s="156">
        <f t="shared" si="41"/>
        <v>0</v>
      </c>
      <c r="BB171" s="156">
        <f t="shared" si="41"/>
        <v>0</v>
      </c>
      <c r="BC171" s="156">
        <f t="shared" si="41"/>
        <v>0</v>
      </c>
      <c r="BD171" s="156">
        <f t="shared" si="41"/>
        <v>0</v>
      </c>
      <c r="BE171" s="156">
        <f t="shared" si="41"/>
        <v>0</v>
      </c>
      <c r="BF171" s="156">
        <f t="shared" si="41"/>
        <v>0</v>
      </c>
      <c r="BG171" s="156">
        <f t="shared" si="41"/>
        <v>0</v>
      </c>
      <c r="BH171" s="156">
        <f t="shared" si="41"/>
        <v>0</v>
      </c>
      <c r="BI171" s="156">
        <f t="shared" si="41"/>
        <v>0</v>
      </c>
      <c r="BJ171" s="156">
        <f t="shared" si="41"/>
        <v>0</v>
      </c>
      <c r="BK171" s="156">
        <f t="shared" si="41"/>
        <v>0</v>
      </c>
      <c r="BL171" s="156">
        <f t="shared" si="41"/>
        <v>0</v>
      </c>
    </row>
    <row r="172" spans="2:64" x14ac:dyDescent="0.15">
      <c r="C172" s="89" t="s">
        <v>415</v>
      </c>
      <c r="E172" s="161">
        <f>IF(E$5&gt;$D$7,0,IF(E$5=$D$7,E42,SUM(E162:E171)))</f>
        <v>1.5181162406515373E-2</v>
      </c>
      <c r="F172" s="161">
        <f t="shared" ref="F172:BL172" si="42">IF(F$5&gt;$D$7,0,IF(F$5=$D$7,F42,SUM(F162:F171)))</f>
        <v>1.1689495053016839E-2</v>
      </c>
      <c r="G172" s="161">
        <f t="shared" si="42"/>
        <v>1.0680092063424695E-2</v>
      </c>
      <c r="H172" s="161">
        <f t="shared" si="42"/>
        <v>3.7384965740274875E-2</v>
      </c>
      <c r="I172" s="161">
        <f t="shared" si="42"/>
        <v>3.7011116082872129E-2</v>
      </c>
      <c r="J172" s="161">
        <f t="shared" si="42"/>
        <v>3.6641004922043405E-2</v>
      </c>
      <c r="K172" s="161">
        <f t="shared" si="42"/>
        <v>0.17570024046955757</v>
      </c>
      <c r="L172" s="161">
        <f t="shared" si="42"/>
        <v>0</v>
      </c>
      <c r="M172" s="161">
        <f t="shared" si="42"/>
        <v>0</v>
      </c>
      <c r="N172" s="161">
        <f t="shared" si="42"/>
        <v>0</v>
      </c>
      <c r="O172" s="161">
        <f t="shared" si="42"/>
        <v>0</v>
      </c>
      <c r="P172" s="161">
        <f t="shared" si="42"/>
        <v>0</v>
      </c>
      <c r="Q172" s="161">
        <f t="shared" si="42"/>
        <v>0</v>
      </c>
      <c r="R172" s="161">
        <f t="shared" si="42"/>
        <v>0</v>
      </c>
      <c r="S172" s="161">
        <f t="shared" si="42"/>
        <v>0</v>
      </c>
      <c r="T172" s="161">
        <f t="shared" si="42"/>
        <v>0</v>
      </c>
      <c r="U172" s="161">
        <f t="shared" si="42"/>
        <v>0</v>
      </c>
      <c r="V172" s="161">
        <f t="shared" si="42"/>
        <v>0</v>
      </c>
      <c r="W172" s="161">
        <f t="shared" si="42"/>
        <v>0</v>
      </c>
      <c r="X172" s="161">
        <f t="shared" si="42"/>
        <v>0</v>
      </c>
      <c r="Y172" s="161">
        <f t="shared" si="42"/>
        <v>0</v>
      </c>
      <c r="Z172" s="161">
        <f t="shared" si="42"/>
        <v>0</v>
      </c>
      <c r="AA172" s="161">
        <f t="shared" si="42"/>
        <v>0</v>
      </c>
      <c r="AB172" s="161">
        <f t="shared" si="42"/>
        <v>0</v>
      </c>
      <c r="AC172" s="161">
        <f t="shared" si="42"/>
        <v>0</v>
      </c>
      <c r="AD172" s="161">
        <f t="shared" si="42"/>
        <v>0</v>
      </c>
      <c r="AE172" s="161">
        <f t="shared" si="42"/>
        <v>0</v>
      </c>
      <c r="AF172" s="161">
        <f t="shared" si="42"/>
        <v>0</v>
      </c>
      <c r="AG172" s="161">
        <f t="shared" si="42"/>
        <v>0</v>
      </c>
      <c r="AH172" s="161">
        <f t="shared" si="42"/>
        <v>0</v>
      </c>
      <c r="AI172" s="161">
        <f t="shared" si="42"/>
        <v>0</v>
      </c>
      <c r="AJ172" s="161">
        <f t="shared" si="42"/>
        <v>0</v>
      </c>
      <c r="AK172" s="161">
        <f t="shared" si="42"/>
        <v>0</v>
      </c>
      <c r="AL172" s="161">
        <f t="shared" si="42"/>
        <v>0</v>
      </c>
      <c r="AM172" s="161">
        <f t="shared" si="42"/>
        <v>0</v>
      </c>
      <c r="AN172" s="161">
        <f t="shared" si="42"/>
        <v>0</v>
      </c>
      <c r="AO172" s="161">
        <f t="shared" si="42"/>
        <v>0</v>
      </c>
      <c r="AP172" s="161">
        <f t="shared" si="42"/>
        <v>0</v>
      </c>
      <c r="AQ172" s="161">
        <f t="shared" si="42"/>
        <v>0</v>
      </c>
      <c r="AR172" s="161">
        <f t="shared" si="42"/>
        <v>0</v>
      </c>
      <c r="AS172" s="161">
        <f t="shared" si="42"/>
        <v>0</v>
      </c>
      <c r="AT172" s="161">
        <f t="shared" si="42"/>
        <v>0</v>
      </c>
      <c r="AU172" s="161">
        <f t="shared" si="42"/>
        <v>0</v>
      </c>
      <c r="AV172" s="161">
        <f t="shared" si="42"/>
        <v>0</v>
      </c>
      <c r="AW172" s="161">
        <f t="shared" si="42"/>
        <v>0</v>
      </c>
      <c r="AX172" s="161">
        <f t="shared" si="42"/>
        <v>0</v>
      </c>
      <c r="AY172" s="161">
        <f t="shared" si="42"/>
        <v>0</v>
      </c>
      <c r="AZ172" s="161">
        <f t="shared" si="42"/>
        <v>0</v>
      </c>
      <c r="BA172" s="161">
        <f t="shared" si="42"/>
        <v>0</v>
      </c>
      <c r="BB172" s="161">
        <f t="shared" si="42"/>
        <v>0</v>
      </c>
      <c r="BC172" s="161">
        <f t="shared" si="42"/>
        <v>0</v>
      </c>
      <c r="BD172" s="161">
        <f t="shared" si="42"/>
        <v>0</v>
      </c>
      <c r="BE172" s="161">
        <f t="shared" si="42"/>
        <v>0</v>
      </c>
      <c r="BF172" s="161">
        <f t="shared" si="42"/>
        <v>0</v>
      </c>
      <c r="BG172" s="161">
        <f t="shared" si="42"/>
        <v>0</v>
      </c>
      <c r="BH172" s="161">
        <f t="shared" si="42"/>
        <v>0</v>
      </c>
      <c r="BI172" s="161">
        <f t="shared" si="42"/>
        <v>0</v>
      </c>
      <c r="BJ172" s="161">
        <f t="shared" si="42"/>
        <v>0</v>
      </c>
      <c r="BK172" s="161">
        <f t="shared" si="42"/>
        <v>0</v>
      </c>
      <c r="BL172" s="161">
        <f t="shared" si="42"/>
        <v>0</v>
      </c>
    </row>
    <row r="173" spans="2:64" x14ac:dyDescent="0.15">
      <c r="C173" s="163" t="s">
        <v>414</v>
      </c>
      <c r="D173" s="276"/>
      <c r="E173" s="276">
        <f t="shared" ref="E173:BL173" si="43">-IF(E$5&gt;$D$7,0,E172-D172)</f>
        <v>-1.5181162406515373E-2</v>
      </c>
      <c r="F173" s="276">
        <f t="shared" si="43"/>
        <v>3.4916673534985346E-3</v>
      </c>
      <c r="G173" s="276">
        <f t="shared" si="43"/>
        <v>1.0094029895921439E-3</v>
      </c>
      <c r="H173" s="276">
        <f t="shared" si="43"/>
        <v>-2.6704873676850181E-2</v>
      </c>
      <c r="I173" s="276">
        <f t="shared" si="43"/>
        <v>3.7384965740274584E-4</v>
      </c>
      <c r="J173" s="276">
        <f t="shared" si="43"/>
        <v>3.7011116082872469E-4</v>
      </c>
      <c r="K173" s="276">
        <f t="shared" si="43"/>
        <v>-0.13905923554751415</v>
      </c>
      <c r="L173" s="276">
        <f t="shared" si="43"/>
        <v>0</v>
      </c>
      <c r="M173" s="276">
        <f t="shared" si="43"/>
        <v>0</v>
      </c>
      <c r="N173" s="276">
        <f t="shared" si="43"/>
        <v>0</v>
      </c>
      <c r="O173" s="276">
        <f t="shared" si="43"/>
        <v>0</v>
      </c>
      <c r="P173" s="276">
        <f t="shared" si="43"/>
        <v>0</v>
      </c>
      <c r="Q173" s="276">
        <f t="shared" si="43"/>
        <v>0</v>
      </c>
      <c r="R173" s="276">
        <f t="shared" si="43"/>
        <v>0</v>
      </c>
      <c r="S173" s="276">
        <f t="shared" si="43"/>
        <v>0</v>
      </c>
      <c r="T173" s="276">
        <f t="shared" si="43"/>
        <v>0</v>
      </c>
      <c r="U173" s="276">
        <f t="shared" si="43"/>
        <v>0</v>
      </c>
      <c r="V173" s="276">
        <f t="shared" si="43"/>
        <v>0</v>
      </c>
      <c r="W173" s="276">
        <f t="shared" si="43"/>
        <v>0</v>
      </c>
      <c r="X173" s="276">
        <f t="shared" si="43"/>
        <v>0</v>
      </c>
      <c r="Y173" s="276">
        <f t="shared" si="43"/>
        <v>0</v>
      </c>
      <c r="Z173" s="276">
        <f t="shared" si="43"/>
        <v>0</v>
      </c>
      <c r="AA173" s="276">
        <f t="shared" si="43"/>
        <v>0</v>
      </c>
      <c r="AB173" s="276">
        <f t="shared" si="43"/>
        <v>0</v>
      </c>
      <c r="AC173" s="276">
        <f t="shared" si="43"/>
        <v>0</v>
      </c>
      <c r="AD173" s="276">
        <f t="shared" si="43"/>
        <v>0</v>
      </c>
      <c r="AE173" s="276">
        <f t="shared" si="43"/>
        <v>0</v>
      </c>
      <c r="AF173" s="276">
        <f t="shared" si="43"/>
        <v>0</v>
      </c>
      <c r="AG173" s="276">
        <f t="shared" si="43"/>
        <v>0</v>
      </c>
      <c r="AH173" s="276">
        <f t="shared" si="43"/>
        <v>0</v>
      </c>
      <c r="AI173" s="276">
        <f t="shared" si="43"/>
        <v>0</v>
      </c>
      <c r="AJ173" s="276">
        <f t="shared" si="43"/>
        <v>0</v>
      </c>
      <c r="AK173" s="276">
        <f t="shared" si="43"/>
        <v>0</v>
      </c>
      <c r="AL173" s="276">
        <f t="shared" si="43"/>
        <v>0</v>
      </c>
      <c r="AM173" s="276">
        <f t="shared" si="43"/>
        <v>0</v>
      </c>
      <c r="AN173" s="276">
        <f t="shared" si="43"/>
        <v>0</v>
      </c>
      <c r="AO173" s="276">
        <f t="shared" si="43"/>
        <v>0</v>
      </c>
      <c r="AP173" s="276">
        <f t="shared" si="43"/>
        <v>0</v>
      </c>
      <c r="AQ173" s="276">
        <f t="shared" si="43"/>
        <v>0</v>
      </c>
      <c r="AR173" s="276">
        <f t="shared" si="43"/>
        <v>0</v>
      </c>
      <c r="AS173" s="276">
        <f t="shared" si="43"/>
        <v>0</v>
      </c>
      <c r="AT173" s="276">
        <f t="shared" si="43"/>
        <v>0</v>
      </c>
      <c r="AU173" s="276">
        <f t="shared" si="43"/>
        <v>0</v>
      </c>
      <c r="AV173" s="276">
        <f t="shared" si="43"/>
        <v>0</v>
      </c>
      <c r="AW173" s="276">
        <f t="shared" si="43"/>
        <v>0</v>
      </c>
      <c r="AX173" s="276">
        <f t="shared" si="43"/>
        <v>0</v>
      </c>
      <c r="AY173" s="276">
        <f t="shared" si="43"/>
        <v>0</v>
      </c>
      <c r="AZ173" s="276">
        <f t="shared" si="43"/>
        <v>0</v>
      </c>
      <c r="BA173" s="276">
        <f t="shared" si="43"/>
        <v>0</v>
      </c>
      <c r="BB173" s="276">
        <f t="shared" si="43"/>
        <v>0</v>
      </c>
      <c r="BC173" s="276">
        <f t="shared" si="43"/>
        <v>0</v>
      </c>
      <c r="BD173" s="276">
        <f t="shared" si="43"/>
        <v>0</v>
      </c>
      <c r="BE173" s="276">
        <f t="shared" si="43"/>
        <v>0</v>
      </c>
      <c r="BF173" s="276">
        <f t="shared" si="43"/>
        <v>0</v>
      </c>
      <c r="BG173" s="276">
        <f t="shared" si="43"/>
        <v>0</v>
      </c>
      <c r="BH173" s="276">
        <f t="shared" si="43"/>
        <v>0</v>
      </c>
      <c r="BI173" s="276">
        <f t="shared" si="43"/>
        <v>0</v>
      </c>
      <c r="BJ173" s="276">
        <f t="shared" si="43"/>
        <v>0</v>
      </c>
      <c r="BK173" s="276">
        <f t="shared" si="43"/>
        <v>0</v>
      </c>
      <c r="BL173" s="276">
        <f t="shared" si="43"/>
        <v>0</v>
      </c>
    </row>
    <row r="175" spans="2:64" x14ac:dyDescent="0.15">
      <c r="B175" s="163" t="s">
        <v>414</v>
      </c>
      <c r="C175" s="163"/>
      <c r="D175" s="156"/>
      <c r="E175" s="276" cm="1">
        <f t="array" ref="E175">_xlfn.IFS(Leadsheet!$G$4="IFRS",SAP_Speadsheet!E138,AND(Leadsheet!$G$4="VAS",Leadsheet!$G$5="DPD360+"),SAP_Speadsheet!E158,AND(Leadsheet!$G$4="VAS",Leadsheet!$G$5="DPD180+"),SAP_Speadsheet!E173)</f>
        <v>-0.16371398412074356</v>
      </c>
      <c r="F175" s="276" cm="1">
        <f t="array" ref="F175">_xlfn.IFS(Leadsheet!$G$4="IFRS",SAP_Speadsheet!F138,AND(Leadsheet!$G$4="VAS",Leadsheet!$G$5="DPD360+"),SAP_Speadsheet!F158,AND(Leadsheet!$G$4="VAS",Leadsheet!$G$5="DPD180+"),SAP_Speadsheet!F173)</f>
        <v>2.7755575615628914E-17</v>
      </c>
      <c r="G175" s="276" cm="1">
        <f t="array" ref="G175">_xlfn.IFS(Leadsheet!$G$4="IFRS",SAP_Speadsheet!G138,AND(Leadsheet!$G$4="VAS",Leadsheet!$G$5="DPD360+"),SAP_Speadsheet!G158,AND(Leadsheet!$G$4="VAS",Leadsheet!$G$5="DPD180+"),SAP_Speadsheet!G173)</f>
        <v>2.7755575615628914E-17</v>
      </c>
      <c r="H175" s="276" cm="1">
        <f t="array" ref="H175">_xlfn.IFS(Leadsheet!$G$4="IFRS",SAP_Speadsheet!H138,AND(Leadsheet!$G$4="VAS",Leadsheet!$G$5="DPD360+"),SAP_Speadsheet!H158,AND(Leadsheet!$G$4="VAS",Leadsheet!$G$5="DPD180+"),SAP_Speadsheet!H173)</f>
        <v>-5.5511151231257827E-17</v>
      </c>
      <c r="I175" s="276" cm="1">
        <f t="array" ref="I175">_xlfn.IFS(Leadsheet!$G$4="IFRS",SAP_Speadsheet!I138,AND(Leadsheet!$G$4="VAS",Leadsheet!$G$5="DPD360+"),SAP_Speadsheet!I158,AND(Leadsheet!$G$4="VAS",Leadsheet!$G$5="DPD180+"),SAP_Speadsheet!I173)</f>
        <v>-2.7755575615628914E-17</v>
      </c>
      <c r="J175" s="276" cm="1">
        <f t="array" ref="J175">_xlfn.IFS(Leadsheet!$G$4="IFRS",SAP_Speadsheet!J138,AND(Leadsheet!$G$4="VAS",Leadsheet!$G$5="DPD360+"),SAP_Speadsheet!J158,AND(Leadsheet!$G$4="VAS",Leadsheet!$G$5="DPD180+"),SAP_Speadsheet!J173)</f>
        <v>2.7755575615628914E-17</v>
      </c>
      <c r="K175" s="276" cm="1">
        <f t="array" ref="K175">_xlfn.IFS(Leadsheet!$G$4="IFRS",SAP_Speadsheet!K138,AND(Leadsheet!$G$4="VAS",Leadsheet!$G$5="DPD360+"),SAP_Speadsheet!K158,AND(Leadsheet!$G$4="VAS",Leadsheet!$G$5="DPD180+"),SAP_Speadsheet!K173)</f>
        <v>0</v>
      </c>
      <c r="L175" s="276" cm="1">
        <f t="array" ref="L175">_xlfn.IFS(Leadsheet!$G$4="IFRS",SAP_Speadsheet!L138,AND(Leadsheet!$G$4="VAS",Leadsheet!$G$5="DPD360+"),SAP_Speadsheet!L158,AND(Leadsheet!$G$4="VAS",Leadsheet!$G$5="DPD180+"),SAP_Speadsheet!L173)</f>
        <v>0</v>
      </c>
      <c r="M175" s="276" cm="1">
        <f t="array" ref="M175">_xlfn.IFS(Leadsheet!$G$4="IFRS",SAP_Speadsheet!M138,AND(Leadsheet!$G$4="VAS",Leadsheet!$G$5="DPD360+"),SAP_Speadsheet!M158,AND(Leadsheet!$G$4="VAS",Leadsheet!$G$5="DPD180+"),SAP_Speadsheet!M173)</f>
        <v>0</v>
      </c>
      <c r="N175" s="276" cm="1">
        <f t="array" ref="N175">_xlfn.IFS(Leadsheet!$G$4="IFRS",SAP_Speadsheet!N138,AND(Leadsheet!$G$4="VAS",Leadsheet!$G$5="DPD360+"),SAP_Speadsheet!N158,AND(Leadsheet!$G$4="VAS",Leadsheet!$G$5="DPD180+"),SAP_Speadsheet!N173)</f>
        <v>0</v>
      </c>
      <c r="O175" s="276" cm="1">
        <f t="array" ref="O175">_xlfn.IFS(Leadsheet!$G$4="IFRS",SAP_Speadsheet!O138,AND(Leadsheet!$G$4="VAS",Leadsheet!$G$5="DPD360+"),SAP_Speadsheet!O158,AND(Leadsheet!$G$4="VAS",Leadsheet!$G$5="DPD180+"),SAP_Speadsheet!O173)</f>
        <v>0</v>
      </c>
      <c r="P175" s="276" cm="1">
        <f t="array" ref="P175">_xlfn.IFS(Leadsheet!$G$4="IFRS",SAP_Speadsheet!P138,AND(Leadsheet!$G$4="VAS",Leadsheet!$G$5="DPD360+"),SAP_Speadsheet!P158,AND(Leadsheet!$G$4="VAS",Leadsheet!$G$5="DPD180+"),SAP_Speadsheet!P173)</f>
        <v>0</v>
      </c>
      <c r="Q175" s="276" cm="1">
        <f t="array" ref="Q175">_xlfn.IFS(Leadsheet!$G$4="IFRS",SAP_Speadsheet!Q138,AND(Leadsheet!$G$4="VAS",Leadsheet!$G$5="DPD360+"),SAP_Speadsheet!Q158,AND(Leadsheet!$G$4="VAS",Leadsheet!$G$5="DPD180+"),SAP_Speadsheet!Q173)</f>
        <v>0</v>
      </c>
      <c r="R175" s="276" cm="1">
        <f t="array" ref="R175">_xlfn.IFS(Leadsheet!$G$4="IFRS",SAP_Speadsheet!R138,AND(Leadsheet!$G$4="VAS",Leadsheet!$G$5="DPD360+"),SAP_Speadsheet!R158,AND(Leadsheet!$G$4="VAS",Leadsheet!$G$5="DPD180+"),SAP_Speadsheet!R173)</f>
        <v>0</v>
      </c>
      <c r="S175" s="276" cm="1">
        <f t="array" ref="S175">_xlfn.IFS(Leadsheet!$G$4="IFRS",SAP_Speadsheet!S138,AND(Leadsheet!$G$4="VAS",Leadsheet!$G$5="DPD360+"),SAP_Speadsheet!S158,AND(Leadsheet!$G$4="VAS",Leadsheet!$G$5="DPD180+"),SAP_Speadsheet!S173)</f>
        <v>0</v>
      </c>
      <c r="T175" s="276" cm="1">
        <f t="array" ref="T175">_xlfn.IFS(Leadsheet!$G$4="IFRS",SAP_Speadsheet!T138,AND(Leadsheet!$G$4="VAS",Leadsheet!$G$5="DPD360+"),SAP_Speadsheet!T158,AND(Leadsheet!$G$4="VAS",Leadsheet!$G$5="DPD180+"),SAP_Speadsheet!T173)</f>
        <v>0</v>
      </c>
      <c r="U175" s="276" cm="1">
        <f t="array" ref="U175">_xlfn.IFS(Leadsheet!$G$4="IFRS",SAP_Speadsheet!U138,AND(Leadsheet!$G$4="VAS",Leadsheet!$G$5="DPD360+"),SAP_Speadsheet!U158,AND(Leadsheet!$G$4="VAS",Leadsheet!$G$5="DPD180+"),SAP_Speadsheet!U173)</f>
        <v>0</v>
      </c>
      <c r="V175" s="276" cm="1">
        <f t="array" ref="V175">_xlfn.IFS(Leadsheet!$G$4="IFRS",SAP_Speadsheet!V138,AND(Leadsheet!$G$4="VAS",Leadsheet!$G$5="DPD360+"),SAP_Speadsheet!V158,AND(Leadsheet!$G$4="VAS",Leadsheet!$G$5="DPD180+"),SAP_Speadsheet!V173)</f>
        <v>0</v>
      </c>
      <c r="W175" s="276" cm="1">
        <f t="array" ref="W175">_xlfn.IFS(Leadsheet!$G$4="IFRS",SAP_Speadsheet!W138,AND(Leadsheet!$G$4="VAS",Leadsheet!$G$5="DPD360+"),SAP_Speadsheet!W158,AND(Leadsheet!$G$4="VAS",Leadsheet!$G$5="DPD180+"),SAP_Speadsheet!W173)</f>
        <v>0</v>
      </c>
      <c r="X175" s="276" cm="1">
        <f t="array" ref="X175">_xlfn.IFS(Leadsheet!$G$4="IFRS",SAP_Speadsheet!X138,AND(Leadsheet!$G$4="VAS",Leadsheet!$G$5="DPD360+"),SAP_Speadsheet!X158,AND(Leadsheet!$G$4="VAS",Leadsheet!$G$5="DPD180+"),SAP_Speadsheet!X173)</f>
        <v>0</v>
      </c>
      <c r="Y175" s="276" cm="1">
        <f t="array" ref="Y175">_xlfn.IFS(Leadsheet!$G$4="IFRS",SAP_Speadsheet!Y138,AND(Leadsheet!$G$4="VAS",Leadsheet!$G$5="DPD360+"),SAP_Speadsheet!Y158,AND(Leadsheet!$G$4="VAS",Leadsheet!$G$5="DPD180+"),SAP_Speadsheet!Y173)</f>
        <v>0</v>
      </c>
      <c r="Z175" s="276" cm="1">
        <f t="array" ref="Z175">_xlfn.IFS(Leadsheet!$G$4="IFRS",SAP_Speadsheet!Z138,AND(Leadsheet!$G$4="VAS",Leadsheet!$G$5="DPD360+"),SAP_Speadsheet!Z158,AND(Leadsheet!$G$4="VAS",Leadsheet!$G$5="DPD180+"),SAP_Speadsheet!Z173)</f>
        <v>0</v>
      </c>
      <c r="AA175" s="276" cm="1">
        <f t="array" ref="AA175">_xlfn.IFS(Leadsheet!$G$4="IFRS",SAP_Speadsheet!AA138,AND(Leadsheet!$G$4="VAS",Leadsheet!$G$5="DPD360+"),SAP_Speadsheet!AA158,AND(Leadsheet!$G$4="VAS",Leadsheet!$G$5="DPD180+"),SAP_Speadsheet!AA173)</f>
        <v>0</v>
      </c>
      <c r="AB175" s="276" cm="1">
        <f t="array" ref="AB175">_xlfn.IFS(Leadsheet!$G$4="IFRS",SAP_Speadsheet!AB138,AND(Leadsheet!$G$4="VAS",Leadsheet!$G$5="DPD360+"),SAP_Speadsheet!AB158,AND(Leadsheet!$G$4="VAS",Leadsheet!$G$5="DPD180+"),SAP_Speadsheet!AB173)</f>
        <v>0</v>
      </c>
      <c r="AC175" s="276" cm="1">
        <f t="array" ref="AC175">_xlfn.IFS(Leadsheet!$G$4="IFRS",SAP_Speadsheet!AC138,AND(Leadsheet!$G$4="VAS",Leadsheet!$G$5="DPD360+"),SAP_Speadsheet!AC158,AND(Leadsheet!$G$4="VAS",Leadsheet!$G$5="DPD180+"),SAP_Speadsheet!AC173)</f>
        <v>0</v>
      </c>
      <c r="AD175" s="276" cm="1">
        <f t="array" ref="AD175">_xlfn.IFS(Leadsheet!$G$4="IFRS",SAP_Speadsheet!AD138,AND(Leadsheet!$G$4="VAS",Leadsheet!$G$5="DPD360+"),SAP_Speadsheet!AD158,AND(Leadsheet!$G$4="VAS",Leadsheet!$G$5="DPD180+"),SAP_Speadsheet!AD173)</f>
        <v>0</v>
      </c>
      <c r="AE175" s="276" cm="1">
        <f t="array" ref="AE175">_xlfn.IFS(Leadsheet!$G$4="IFRS",SAP_Speadsheet!AE138,AND(Leadsheet!$G$4="VAS",Leadsheet!$G$5="DPD360+"),SAP_Speadsheet!AE158,AND(Leadsheet!$G$4="VAS",Leadsheet!$G$5="DPD180+"),SAP_Speadsheet!AE173)</f>
        <v>0</v>
      </c>
      <c r="AF175" s="276" cm="1">
        <f t="array" ref="AF175">_xlfn.IFS(Leadsheet!$G$4="IFRS",SAP_Speadsheet!AF138,AND(Leadsheet!$G$4="VAS",Leadsheet!$G$5="DPD360+"),SAP_Speadsheet!AF158,AND(Leadsheet!$G$4="VAS",Leadsheet!$G$5="DPD180+"),SAP_Speadsheet!AF173)</f>
        <v>0</v>
      </c>
      <c r="AG175" s="276" cm="1">
        <f t="array" ref="AG175">_xlfn.IFS(Leadsheet!$G$4="IFRS",SAP_Speadsheet!AG138,AND(Leadsheet!$G$4="VAS",Leadsheet!$G$5="DPD360+"),SAP_Speadsheet!AG158,AND(Leadsheet!$G$4="VAS",Leadsheet!$G$5="DPD180+"),SAP_Speadsheet!AG173)</f>
        <v>0</v>
      </c>
      <c r="AH175" s="276" cm="1">
        <f t="array" ref="AH175">_xlfn.IFS(Leadsheet!$G$4="IFRS",SAP_Speadsheet!AH138,AND(Leadsheet!$G$4="VAS",Leadsheet!$G$5="DPD360+"),SAP_Speadsheet!AH158,AND(Leadsheet!$G$4="VAS",Leadsheet!$G$5="DPD180+"),SAP_Speadsheet!AH173)</f>
        <v>0</v>
      </c>
      <c r="AI175" s="276" cm="1">
        <f t="array" ref="AI175">_xlfn.IFS(Leadsheet!$G$4="IFRS",SAP_Speadsheet!AI138,AND(Leadsheet!$G$4="VAS",Leadsheet!$G$5="DPD360+"),SAP_Speadsheet!AI158,AND(Leadsheet!$G$4="VAS",Leadsheet!$G$5="DPD180+"),SAP_Speadsheet!AI173)</f>
        <v>0</v>
      </c>
      <c r="AJ175" s="276" cm="1">
        <f t="array" ref="AJ175">_xlfn.IFS(Leadsheet!$G$4="IFRS",SAP_Speadsheet!AJ138,AND(Leadsheet!$G$4="VAS",Leadsheet!$G$5="DPD360+"),SAP_Speadsheet!AJ158,AND(Leadsheet!$G$4="VAS",Leadsheet!$G$5="DPD180+"),SAP_Speadsheet!AJ173)</f>
        <v>0</v>
      </c>
      <c r="AK175" s="276" cm="1">
        <f t="array" ref="AK175">_xlfn.IFS(Leadsheet!$G$4="IFRS",SAP_Speadsheet!AK138,AND(Leadsheet!$G$4="VAS",Leadsheet!$G$5="DPD360+"),SAP_Speadsheet!AK158,AND(Leadsheet!$G$4="VAS",Leadsheet!$G$5="DPD180+"),SAP_Speadsheet!AK173)</f>
        <v>0</v>
      </c>
      <c r="AL175" s="276" cm="1">
        <f t="array" ref="AL175">_xlfn.IFS(Leadsheet!$G$4="IFRS",SAP_Speadsheet!AL138,AND(Leadsheet!$G$4="VAS",Leadsheet!$G$5="DPD360+"),SAP_Speadsheet!AL158,AND(Leadsheet!$G$4="VAS",Leadsheet!$G$5="DPD180+"),SAP_Speadsheet!AL173)</f>
        <v>0</v>
      </c>
      <c r="AM175" s="276" cm="1">
        <f t="array" ref="AM175">_xlfn.IFS(Leadsheet!$G$4="IFRS",SAP_Speadsheet!AM138,AND(Leadsheet!$G$4="VAS",Leadsheet!$G$5="DPD360+"),SAP_Speadsheet!AM158,AND(Leadsheet!$G$4="VAS",Leadsheet!$G$5="DPD180+"),SAP_Speadsheet!AM173)</f>
        <v>0</v>
      </c>
      <c r="AN175" s="276" cm="1">
        <f t="array" ref="AN175">_xlfn.IFS(Leadsheet!$G$4="IFRS",SAP_Speadsheet!AN138,AND(Leadsheet!$G$4="VAS",Leadsheet!$G$5="DPD360+"),SAP_Speadsheet!AN158,AND(Leadsheet!$G$4="VAS",Leadsheet!$G$5="DPD180+"),SAP_Speadsheet!AN173)</f>
        <v>0</v>
      </c>
      <c r="AO175" s="276" cm="1">
        <f t="array" ref="AO175">_xlfn.IFS(Leadsheet!$G$4="IFRS",SAP_Speadsheet!AO138,AND(Leadsheet!$G$4="VAS",Leadsheet!$G$5="DPD360+"),SAP_Speadsheet!AO158,AND(Leadsheet!$G$4="VAS",Leadsheet!$G$5="DPD180+"),SAP_Speadsheet!AO173)</f>
        <v>0</v>
      </c>
      <c r="AP175" s="276" cm="1">
        <f t="array" ref="AP175">_xlfn.IFS(Leadsheet!$G$4="IFRS",SAP_Speadsheet!AP138,AND(Leadsheet!$G$4="VAS",Leadsheet!$G$5="DPD360+"),SAP_Speadsheet!AP158,AND(Leadsheet!$G$4="VAS",Leadsheet!$G$5="DPD180+"),SAP_Speadsheet!AP173)</f>
        <v>0</v>
      </c>
      <c r="AQ175" s="276" cm="1">
        <f t="array" ref="AQ175">_xlfn.IFS(Leadsheet!$G$4="IFRS",SAP_Speadsheet!AQ138,AND(Leadsheet!$G$4="VAS",Leadsheet!$G$5="DPD360+"),SAP_Speadsheet!AQ158,AND(Leadsheet!$G$4="VAS",Leadsheet!$G$5="DPD180+"),SAP_Speadsheet!AQ173)</f>
        <v>0</v>
      </c>
      <c r="AR175" s="276" cm="1">
        <f t="array" ref="AR175">_xlfn.IFS(Leadsheet!$G$4="IFRS",SAP_Speadsheet!AR138,AND(Leadsheet!$G$4="VAS",Leadsheet!$G$5="DPD360+"),SAP_Speadsheet!AR158,AND(Leadsheet!$G$4="VAS",Leadsheet!$G$5="DPD180+"),SAP_Speadsheet!AR173)</f>
        <v>0</v>
      </c>
      <c r="AS175" s="276" cm="1">
        <f t="array" ref="AS175">_xlfn.IFS(Leadsheet!$G$4="IFRS",SAP_Speadsheet!AS138,AND(Leadsheet!$G$4="VAS",Leadsheet!$G$5="DPD360+"),SAP_Speadsheet!AS158,AND(Leadsheet!$G$4="VAS",Leadsheet!$G$5="DPD180+"),SAP_Speadsheet!AS173)</f>
        <v>0</v>
      </c>
      <c r="AT175" s="276" cm="1">
        <f t="array" ref="AT175">_xlfn.IFS(Leadsheet!$G$4="IFRS",SAP_Speadsheet!AT138,AND(Leadsheet!$G$4="VAS",Leadsheet!$G$5="DPD360+"),SAP_Speadsheet!AT158,AND(Leadsheet!$G$4="VAS",Leadsheet!$G$5="DPD180+"),SAP_Speadsheet!AT173)</f>
        <v>0</v>
      </c>
      <c r="AU175" s="276" cm="1">
        <f t="array" ref="AU175">_xlfn.IFS(Leadsheet!$G$4="IFRS",SAP_Speadsheet!AU138,AND(Leadsheet!$G$4="VAS",Leadsheet!$G$5="DPD360+"),SAP_Speadsheet!AU158,AND(Leadsheet!$G$4="VAS",Leadsheet!$G$5="DPD180+"),SAP_Speadsheet!AU173)</f>
        <v>0</v>
      </c>
      <c r="AV175" s="276" cm="1">
        <f t="array" ref="AV175">_xlfn.IFS(Leadsheet!$G$4="IFRS",SAP_Speadsheet!AV138,AND(Leadsheet!$G$4="VAS",Leadsheet!$G$5="DPD360+"),SAP_Speadsheet!AV158,AND(Leadsheet!$G$4="VAS",Leadsheet!$G$5="DPD180+"),SAP_Speadsheet!AV173)</f>
        <v>0</v>
      </c>
      <c r="AW175" s="276" cm="1">
        <f t="array" ref="AW175">_xlfn.IFS(Leadsheet!$G$4="IFRS",SAP_Speadsheet!AW138,AND(Leadsheet!$G$4="VAS",Leadsheet!$G$5="DPD360+"),SAP_Speadsheet!AW158,AND(Leadsheet!$G$4="VAS",Leadsheet!$G$5="DPD180+"),SAP_Speadsheet!AW173)</f>
        <v>0</v>
      </c>
      <c r="AX175" s="276" cm="1">
        <f t="array" ref="AX175">_xlfn.IFS(Leadsheet!$G$4="IFRS",SAP_Speadsheet!AX138,AND(Leadsheet!$G$4="VAS",Leadsheet!$G$5="DPD360+"),SAP_Speadsheet!AX158,AND(Leadsheet!$G$4="VAS",Leadsheet!$G$5="DPD180+"),SAP_Speadsheet!AX173)</f>
        <v>0</v>
      </c>
      <c r="AY175" s="276" cm="1">
        <f t="array" ref="AY175">_xlfn.IFS(Leadsheet!$G$4="IFRS",SAP_Speadsheet!AY138,AND(Leadsheet!$G$4="VAS",Leadsheet!$G$5="DPD360+"),SAP_Speadsheet!AY158,AND(Leadsheet!$G$4="VAS",Leadsheet!$G$5="DPD180+"),SAP_Speadsheet!AY173)</f>
        <v>0</v>
      </c>
      <c r="AZ175" s="276" cm="1">
        <f t="array" ref="AZ175">_xlfn.IFS(Leadsheet!$G$4="IFRS",SAP_Speadsheet!AZ138,AND(Leadsheet!$G$4="VAS",Leadsheet!$G$5="DPD360+"),SAP_Speadsheet!AZ158,AND(Leadsheet!$G$4="VAS",Leadsheet!$G$5="DPD180+"),SAP_Speadsheet!AZ173)</f>
        <v>0</v>
      </c>
      <c r="BA175" s="276" cm="1">
        <f t="array" ref="BA175">_xlfn.IFS(Leadsheet!$G$4="IFRS",SAP_Speadsheet!BA138,AND(Leadsheet!$G$4="VAS",Leadsheet!$G$5="DPD360+"),SAP_Speadsheet!BA158,AND(Leadsheet!$G$4="VAS",Leadsheet!$G$5="DPD180+"),SAP_Speadsheet!BA173)</f>
        <v>0</v>
      </c>
      <c r="BB175" s="276" cm="1">
        <f t="array" ref="BB175">_xlfn.IFS(Leadsheet!$G$4="IFRS",SAP_Speadsheet!BB138,AND(Leadsheet!$G$4="VAS",Leadsheet!$G$5="DPD360+"),SAP_Speadsheet!BB158,AND(Leadsheet!$G$4="VAS",Leadsheet!$G$5="DPD180+"),SAP_Speadsheet!BB173)</f>
        <v>0</v>
      </c>
      <c r="BC175" s="276" cm="1">
        <f t="array" ref="BC175">_xlfn.IFS(Leadsheet!$G$4="IFRS",SAP_Speadsheet!BC138,AND(Leadsheet!$G$4="VAS",Leadsheet!$G$5="DPD360+"),SAP_Speadsheet!BC158,AND(Leadsheet!$G$4="VAS",Leadsheet!$G$5="DPD180+"),SAP_Speadsheet!BC173)</f>
        <v>0</v>
      </c>
      <c r="BD175" s="276" cm="1">
        <f t="array" ref="BD175">_xlfn.IFS(Leadsheet!$G$4="IFRS",SAP_Speadsheet!BD138,AND(Leadsheet!$G$4="VAS",Leadsheet!$G$5="DPD360+"),SAP_Speadsheet!BD158,AND(Leadsheet!$G$4="VAS",Leadsheet!$G$5="DPD180+"),SAP_Speadsheet!BD173)</f>
        <v>0</v>
      </c>
      <c r="BE175" s="276" cm="1">
        <f t="array" ref="BE175">_xlfn.IFS(Leadsheet!$G$4="IFRS",SAP_Speadsheet!BE138,AND(Leadsheet!$G$4="VAS",Leadsheet!$G$5="DPD360+"),SAP_Speadsheet!BE158,AND(Leadsheet!$G$4="VAS",Leadsheet!$G$5="DPD180+"),SAP_Speadsheet!BE173)</f>
        <v>0</v>
      </c>
      <c r="BF175" s="276" cm="1">
        <f t="array" ref="BF175">_xlfn.IFS(Leadsheet!$G$4="IFRS",SAP_Speadsheet!BF138,AND(Leadsheet!$G$4="VAS",Leadsheet!$G$5="DPD360+"),SAP_Speadsheet!BF158,AND(Leadsheet!$G$4="VAS",Leadsheet!$G$5="DPD180+"),SAP_Speadsheet!BF173)</f>
        <v>0</v>
      </c>
      <c r="BG175" s="276" cm="1">
        <f t="array" ref="BG175">_xlfn.IFS(Leadsheet!$G$4="IFRS",SAP_Speadsheet!BG138,AND(Leadsheet!$G$4="VAS",Leadsheet!$G$5="DPD360+"),SAP_Speadsheet!BG158,AND(Leadsheet!$G$4="VAS",Leadsheet!$G$5="DPD180+"),SAP_Speadsheet!BG173)</f>
        <v>0</v>
      </c>
      <c r="BH175" s="276" cm="1">
        <f t="array" ref="BH175">_xlfn.IFS(Leadsheet!$G$4="IFRS",SAP_Speadsheet!BH138,AND(Leadsheet!$G$4="VAS",Leadsheet!$G$5="DPD360+"),SAP_Speadsheet!BH158,AND(Leadsheet!$G$4="VAS",Leadsheet!$G$5="DPD180+"),SAP_Speadsheet!BH173)</f>
        <v>0</v>
      </c>
      <c r="BI175" s="276" cm="1">
        <f t="array" ref="BI175">_xlfn.IFS(Leadsheet!$G$4="IFRS",SAP_Speadsheet!BI138,AND(Leadsheet!$G$4="VAS",Leadsheet!$G$5="DPD360+"),SAP_Speadsheet!BI158,AND(Leadsheet!$G$4="VAS",Leadsheet!$G$5="DPD180+"),SAP_Speadsheet!BI173)</f>
        <v>0</v>
      </c>
      <c r="BJ175" s="276" cm="1">
        <f t="array" ref="BJ175">_xlfn.IFS(Leadsheet!$G$4="IFRS",SAP_Speadsheet!BJ138,AND(Leadsheet!$G$4="VAS",Leadsheet!$G$5="DPD360+"),SAP_Speadsheet!BJ158,AND(Leadsheet!$G$4="VAS",Leadsheet!$G$5="DPD180+"),SAP_Speadsheet!BJ173)</f>
        <v>0</v>
      </c>
      <c r="BK175" s="276" cm="1">
        <f t="array" ref="BK175">_xlfn.IFS(Leadsheet!$G$4="IFRS",SAP_Speadsheet!BK138,AND(Leadsheet!$G$4="VAS",Leadsheet!$G$5="DPD360+"),SAP_Speadsheet!BK158,AND(Leadsheet!$G$4="VAS",Leadsheet!$G$5="DPD180+"),SAP_Speadsheet!BK173)</f>
        <v>0</v>
      </c>
      <c r="BL175" s="276" cm="1">
        <f t="array" ref="BL175">_xlfn.IFS(Leadsheet!$G$4="IFRS",SAP_Speadsheet!BL138,AND(Leadsheet!$G$4="VAS",Leadsheet!$G$5="DPD360+"),SAP_Speadsheet!BL158,AND(Leadsheet!$G$4="VAS",Leadsheet!$G$5="DPD180+"),SAP_Speadsheet!BL173)</f>
        <v>0</v>
      </c>
    </row>
    <row r="177" spans="1:64" ht="13" thickBot="1" x14ac:dyDescent="0.2">
      <c r="A177" s="163"/>
      <c r="B177" s="253" t="s">
        <v>420</v>
      </c>
      <c r="C177" s="254"/>
      <c r="D177" s="255"/>
      <c r="E177" s="256"/>
      <c r="F177" s="255"/>
      <c r="G177" s="255"/>
      <c r="H177" s="255"/>
      <c r="I177" s="255"/>
      <c r="J177" s="255"/>
      <c r="K177" s="255"/>
      <c r="L177" s="255"/>
      <c r="M177" s="255"/>
      <c r="N177" s="255"/>
      <c r="O177" s="255"/>
      <c r="P177" s="255"/>
      <c r="Q177" s="255"/>
      <c r="R177" s="255"/>
      <c r="S177" s="255"/>
      <c r="T177" s="255"/>
      <c r="U177" s="255"/>
      <c r="V177" s="255"/>
      <c r="W177" s="255"/>
      <c r="X177" s="255"/>
      <c r="Y177" s="255"/>
      <c r="Z177" s="255"/>
      <c r="AA177" s="255"/>
      <c r="AB177" s="255"/>
      <c r="AC177" s="255"/>
      <c r="AD177" s="255"/>
      <c r="AE177" s="255"/>
      <c r="AF177" s="255"/>
      <c r="AG177" s="255"/>
      <c r="AH177" s="255"/>
      <c r="AI177" s="255"/>
      <c r="AJ177" s="255"/>
      <c r="AK177" s="255"/>
      <c r="AL177" s="255"/>
      <c r="AM177" s="255"/>
      <c r="AN177" s="255"/>
      <c r="AO177" s="255"/>
      <c r="AP177" s="255"/>
      <c r="AQ177" s="255"/>
      <c r="AR177" s="255"/>
      <c r="AS177" s="255"/>
      <c r="AT177" s="255"/>
      <c r="AU177" s="255"/>
      <c r="AV177" s="255"/>
      <c r="AW177" s="255"/>
      <c r="AX177" s="255"/>
      <c r="AY177" s="255"/>
      <c r="AZ177" s="255"/>
      <c r="BA177" s="255"/>
      <c r="BB177" s="255"/>
      <c r="BC177" s="255"/>
      <c r="BD177" s="255"/>
      <c r="BE177" s="255"/>
      <c r="BF177" s="255"/>
      <c r="BG177" s="255"/>
      <c r="BH177" s="255"/>
      <c r="BI177" s="255"/>
      <c r="BJ177" s="255"/>
      <c r="BK177" s="255"/>
      <c r="BL177" s="255"/>
    </row>
    <row r="178" spans="1:64" ht="12" thickTop="1" x14ac:dyDescent="0.15"/>
    <row r="179" spans="1:64" x14ac:dyDescent="0.15">
      <c r="C179" s="89" t="s">
        <v>421</v>
      </c>
      <c r="D179" s="156"/>
      <c r="E179" s="156">
        <f t="shared" ref="E179:BL179" si="44">E53+E66</f>
        <v>0.22469483969190751</v>
      </c>
      <c r="F179" s="156">
        <f t="shared" si="44"/>
        <v>9.6120380444062869E-4</v>
      </c>
      <c r="G179" s="156">
        <f t="shared" si="44"/>
        <v>-8.8083705504424454E-4</v>
      </c>
      <c r="H179" s="156">
        <f t="shared" si="44"/>
        <v>5.591722381027539E-2</v>
      </c>
      <c r="I179" s="156">
        <f t="shared" si="44"/>
        <v>-1.3896601230083431E-3</v>
      </c>
      <c r="J179" s="156">
        <f t="shared" si="44"/>
        <v>-1.3757635217782555E-3</v>
      </c>
      <c r="K179" s="156">
        <f t="shared" si="44"/>
        <v>-8.0947191761460038E-4</v>
      </c>
      <c r="L179" s="156">
        <f t="shared" si="44"/>
        <v>0</v>
      </c>
      <c r="M179" s="156">
        <f t="shared" si="44"/>
        <v>0</v>
      </c>
      <c r="N179" s="156">
        <f t="shared" si="44"/>
        <v>0</v>
      </c>
      <c r="O179" s="156">
        <f t="shared" si="44"/>
        <v>0</v>
      </c>
      <c r="P179" s="156">
        <f t="shared" si="44"/>
        <v>0</v>
      </c>
      <c r="Q179" s="156">
        <f t="shared" si="44"/>
        <v>0</v>
      </c>
      <c r="R179" s="156">
        <f t="shared" si="44"/>
        <v>0</v>
      </c>
      <c r="S179" s="156">
        <f t="shared" si="44"/>
        <v>0</v>
      </c>
      <c r="T179" s="156">
        <f t="shared" si="44"/>
        <v>0</v>
      </c>
      <c r="U179" s="156">
        <f t="shared" si="44"/>
        <v>0</v>
      </c>
      <c r="V179" s="156">
        <f t="shared" si="44"/>
        <v>0</v>
      </c>
      <c r="W179" s="156">
        <f t="shared" si="44"/>
        <v>0</v>
      </c>
      <c r="X179" s="156">
        <f t="shared" si="44"/>
        <v>0</v>
      </c>
      <c r="Y179" s="156">
        <f t="shared" si="44"/>
        <v>0</v>
      </c>
      <c r="Z179" s="156">
        <f t="shared" si="44"/>
        <v>0</v>
      </c>
      <c r="AA179" s="156">
        <f t="shared" si="44"/>
        <v>0</v>
      </c>
      <c r="AB179" s="156">
        <f t="shared" si="44"/>
        <v>0</v>
      </c>
      <c r="AC179" s="156">
        <f t="shared" si="44"/>
        <v>0</v>
      </c>
      <c r="AD179" s="156">
        <f t="shared" si="44"/>
        <v>0</v>
      </c>
      <c r="AE179" s="156">
        <f t="shared" si="44"/>
        <v>0</v>
      </c>
      <c r="AF179" s="156">
        <f t="shared" si="44"/>
        <v>0</v>
      </c>
      <c r="AG179" s="156">
        <f t="shared" si="44"/>
        <v>0</v>
      </c>
      <c r="AH179" s="156">
        <f t="shared" si="44"/>
        <v>0</v>
      </c>
      <c r="AI179" s="156">
        <f t="shared" si="44"/>
        <v>0</v>
      </c>
      <c r="AJ179" s="156">
        <f t="shared" si="44"/>
        <v>0</v>
      </c>
      <c r="AK179" s="156">
        <f t="shared" si="44"/>
        <v>0</v>
      </c>
      <c r="AL179" s="156">
        <f t="shared" si="44"/>
        <v>0</v>
      </c>
      <c r="AM179" s="156">
        <f t="shared" si="44"/>
        <v>0</v>
      </c>
      <c r="AN179" s="156">
        <f t="shared" si="44"/>
        <v>0</v>
      </c>
      <c r="AO179" s="156">
        <f t="shared" si="44"/>
        <v>0</v>
      </c>
      <c r="AP179" s="156">
        <f t="shared" si="44"/>
        <v>0</v>
      </c>
      <c r="AQ179" s="156">
        <f t="shared" si="44"/>
        <v>0</v>
      </c>
      <c r="AR179" s="156">
        <f t="shared" si="44"/>
        <v>0</v>
      </c>
      <c r="AS179" s="156">
        <f t="shared" si="44"/>
        <v>0</v>
      </c>
      <c r="AT179" s="156">
        <f t="shared" si="44"/>
        <v>0</v>
      </c>
      <c r="AU179" s="156">
        <f t="shared" si="44"/>
        <v>0</v>
      </c>
      <c r="AV179" s="156">
        <f t="shared" si="44"/>
        <v>0</v>
      </c>
      <c r="AW179" s="156">
        <f t="shared" si="44"/>
        <v>0</v>
      </c>
      <c r="AX179" s="156">
        <f t="shared" si="44"/>
        <v>0</v>
      </c>
      <c r="AY179" s="156">
        <f t="shared" si="44"/>
        <v>0</v>
      </c>
      <c r="AZ179" s="156">
        <f t="shared" si="44"/>
        <v>0</v>
      </c>
      <c r="BA179" s="156">
        <f t="shared" si="44"/>
        <v>0</v>
      </c>
      <c r="BB179" s="156">
        <f t="shared" si="44"/>
        <v>0</v>
      </c>
      <c r="BC179" s="156">
        <f t="shared" si="44"/>
        <v>0</v>
      </c>
      <c r="BD179" s="156">
        <f t="shared" si="44"/>
        <v>0</v>
      </c>
      <c r="BE179" s="156">
        <f t="shared" si="44"/>
        <v>0</v>
      </c>
      <c r="BF179" s="156">
        <f t="shared" si="44"/>
        <v>0</v>
      </c>
      <c r="BG179" s="156">
        <f t="shared" si="44"/>
        <v>0</v>
      </c>
      <c r="BH179" s="156">
        <f t="shared" si="44"/>
        <v>0</v>
      </c>
      <c r="BI179" s="156">
        <f t="shared" si="44"/>
        <v>0</v>
      </c>
      <c r="BJ179" s="156">
        <f t="shared" si="44"/>
        <v>0</v>
      </c>
      <c r="BK179" s="156">
        <f t="shared" si="44"/>
        <v>0</v>
      </c>
      <c r="BL179" s="156">
        <f t="shared" si="44"/>
        <v>0</v>
      </c>
    </row>
    <row r="180" spans="1:64" x14ac:dyDescent="0.15">
      <c r="C180" s="89" t="s">
        <v>422</v>
      </c>
      <c r="D180" s="156"/>
      <c r="E180" s="156">
        <f t="shared" ref="E180:BL180" si="45">E53+E66+E175</f>
        <v>6.098085557116395E-2</v>
      </c>
      <c r="F180" s="156">
        <f t="shared" si="45"/>
        <v>9.6120380444065644E-4</v>
      </c>
      <c r="G180" s="156">
        <f t="shared" si="45"/>
        <v>-8.8083705504421678E-4</v>
      </c>
      <c r="H180" s="156">
        <f t="shared" si="45"/>
        <v>5.5917223810275335E-2</v>
      </c>
      <c r="I180" s="156">
        <f t="shared" si="45"/>
        <v>-1.3896601230083709E-3</v>
      </c>
      <c r="J180" s="156">
        <f t="shared" si="45"/>
        <v>-1.3757635217782277E-3</v>
      </c>
      <c r="K180" s="156">
        <f t="shared" si="45"/>
        <v>-8.0947191761460038E-4</v>
      </c>
      <c r="L180" s="156">
        <f t="shared" si="45"/>
        <v>0</v>
      </c>
      <c r="M180" s="156">
        <f t="shared" si="45"/>
        <v>0</v>
      </c>
      <c r="N180" s="156">
        <f t="shared" si="45"/>
        <v>0</v>
      </c>
      <c r="O180" s="156">
        <f t="shared" si="45"/>
        <v>0</v>
      </c>
      <c r="P180" s="156">
        <f t="shared" si="45"/>
        <v>0</v>
      </c>
      <c r="Q180" s="156">
        <f t="shared" si="45"/>
        <v>0</v>
      </c>
      <c r="R180" s="156">
        <f t="shared" si="45"/>
        <v>0</v>
      </c>
      <c r="S180" s="156">
        <f t="shared" si="45"/>
        <v>0</v>
      </c>
      <c r="T180" s="156">
        <f t="shared" si="45"/>
        <v>0</v>
      </c>
      <c r="U180" s="156">
        <f t="shared" si="45"/>
        <v>0</v>
      </c>
      <c r="V180" s="156">
        <f t="shared" si="45"/>
        <v>0</v>
      </c>
      <c r="W180" s="156">
        <f t="shared" si="45"/>
        <v>0</v>
      </c>
      <c r="X180" s="156">
        <f t="shared" si="45"/>
        <v>0</v>
      </c>
      <c r="Y180" s="156">
        <f t="shared" si="45"/>
        <v>0</v>
      </c>
      <c r="Z180" s="156">
        <f t="shared" si="45"/>
        <v>0</v>
      </c>
      <c r="AA180" s="156">
        <f t="shared" si="45"/>
        <v>0</v>
      </c>
      <c r="AB180" s="156">
        <f t="shared" si="45"/>
        <v>0</v>
      </c>
      <c r="AC180" s="156">
        <f t="shared" si="45"/>
        <v>0</v>
      </c>
      <c r="AD180" s="156">
        <f t="shared" si="45"/>
        <v>0</v>
      </c>
      <c r="AE180" s="156">
        <f t="shared" si="45"/>
        <v>0</v>
      </c>
      <c r="AF180" s="156">
        <f t="shared" si="45"/>
        <v>0</v>
      </c>
      <c r="AG180" s="156">
        <f t="shared" si="45"/>
        <v>0</v>
      </c>
      <c r="AH180" s="156">
        <f t="shared" si="45"/>
        <v>0</v>
      </c>
      <c r="AI180" s="156">
        <f t="shared" si="45"/>
        <v>0</v>
      </c>
      <c r="AJ180" s="156">
        <f t="shared" si="45"/>
        <v>0</v>
      </c>
      <c r="AK180" s="156">
        <f t="shared" si="45"/>
        <v>0</v>
      </c>
      <c r="AL180" s="156">
        <f t="shared" si="45"/>
        <v>0</v>
      </c>
      <c r="AM180" s="156">
        <f t="shared" si="45"/>
        <v>0</v>
      </c>
      <c r="AN180" s="156">
        <f t="shared" si="45"/>
        <v>0</v>
      </c>
      <c r="AO180" s="156">
        <f t="shared" si="45"/>
        <v>0</v>
      </c>
      <c r="AP180" s="156">
        <f t="shared" si="45"/>
        <v>0</v>
      </c>
      <c r="AQ180" s="156">
        <f t="shared" si="45"/>
        <v>0</v>
      </c>
      <c r="AR180" s="156">
        <f t="shared" si="45"/>
        <v>0</v>
      </c>
      <c r="AS180" s="156">
        <f t="shared" si="45"/>
        <v>0</v>
      </c>
      <c r="AT180" s="156">
        <f t="shared" si="45"/>
        <v>0</v>
      </c>
      <c r="AU180" s="156">
        <f t="shared" si="45"/>
        <v>0</v>
      </c>
      <c r="AV180" s="156">
        <f t="shared" si="45"/>
        <v>0</v>
      </c>
      <c r="AW180" s="156">
        <f t="shared" si="45"/>
        <v>0</v>
      </c>
      <c r="AX180" s="156">
        <f t="shared" si="45"/>
        <v>0</v>
      </c>
      <c r="AY180" s="156">
        <f t="shared" si="45"/>
        <v>0</v>
      </c>
      <c r="AZ180" s="156">
        <f t="shared" si="45"/>
        <v>0</v>
      </c>
      <c r="BA180" s="156">
        <f t="shared" si="45"/>
        <v>0</v>
      </c>
      <c r="BB180" s="156">
        <f t="shared" si="45"/>
        <v>0</v>
      </c>
      <c r="BC180" s="156">
        <f t="shared" si="45"/>
        <v>0</v>
      </c>
      <c r="BD180" s="156">
        <f t="shared" si="45"/>
        <v>0</v>
      </c>
      <c r="BE180" s="156">
        <f t="shared" si="45"/>
        <v>0</v>
      </c>
      <c r="BF180" s="156">
        <f t="shared" si="45"/>
        <v>0</v>
      </c>
      <c r="BG180" s="156">
        <f t="shared" si="45"/>
        <v>0</v>
      </c>
      <c r="BH180" s="156">
        <f t="shared" si="45"/>
        <v>0</v>
      </c>
      <c r="BI180" s="156">
        <f t="shared" si="45"/>
        <v>0</v>
      </c>
      <c r="BJ180" s="156">
        <f t="shared" si="45"/>
        <v>0</v>
      </c>
      <c r="BK180" s="156">
        <f t="shared" si="45"/>
        <v>0</v>
      </c>
      <c r="BL180" s="156">
        <f t="shared" si="45"/>
        <v>0</v>
      </c>
    </row>
    <row r="181" spans="1:64" s="163" customFormat="1" x14ac:dyDescent="0.15">
      <c r="C181" s="163" t="s">
        <v>220</v>
      </c>
      <c r="D181" s="276"/>
      <c r="E181" s="276">
        <f t="shared" ref="E181:BL181" si="46">E53+E66+E95+E175</f>
        <v>-3.6661087048740493E-3</v>
      </c>
      <c r="F181" s="276">
        <f t="shared" si="46"/>
        <v>9.6120380444065644E-4</v>
      </c>
      <c r="G181" s="276">
        <f t="shared" si="46"/>
        <v>-8.8083705504421678E-4</v>
      </c>
      <c r="H181" s="276">
        <f t="shared" si="46"/>
        <v>5.5917223810275335E-2</v>
      </c>
      <c r="I181" s="276">
        <f t="shared" si="46"/>
        <v>-1.3896601230083709E-3</v>
      </c>
      <c r="J181" s="276">
        <f t="shared" si="46"/>
        <v>-1.3757635217782277E-3</v>
      </c>
      <c r="K181" s="276">
        <f t="shared" si="46"/>
        <v>-8.0947191761460038E-4</v>
      </c>
      <c r="L181" s="276">
        <f t="shared" si="46"/>
        <v>0</v>
      </c>
      <c r="M181" s="276">
        <f t="shared" si="46"/>
        <v>0</v>
      </c>
      <c r="N181" s="276">
        <f t="shared" si="46"/>
        <v>0</v>
      </c>
      <c r="O181" s="276">
        <f t="shared" si="46"/>
        <v>0</v>
      </c>
      <c r="P181" s="276">
        <f t="shared" si="46"/>
        <v>0</v>
      </c>
      <c r="Q181" s="276">
        <f t="shared" si="46"/>
        <v>0</v>
      </c>
      <c r="R181" s="276">
        <f t="shared" si="46"/>
        <v>0</v>
      </c>
      <c r="S181" s="276">
        <f t="shared" si="46"/>
        <v>0</v>
      </c>
      <c r="T181" s="276">
        <f t="shared" si="46"/>
        <v>0</v>
      </c>
      <c r="U181" s="276">
        <f t="shared" si="46"/>
        <v>0</v>
      </c>
      <c r="V181" s="276">
        <f t="shared" si="46"/>
        <v>0</v>
      </c>
      <c r="W181" s="276">
        <f t="shared" si="46"/>
        <v>0</v>
      </c>
      <c r="X181" s="276">
        <f t="shared" si="46"/>
        <v>0</v>
      </c>
      <c r="Y181" s="276">
        <f t="shared" si="46"/>
        <v>0</v>
      </c>
      <c r="Z181" s="276">
        <f t="shared" si="46"/>
        <v>0</v>
      </c>
      <c r="AA181" s="276">
        <f t="shared" si="46"/>
        <v>0</v>
      </c>
      <c r="AB181" s="276">
        <f t="shared" si="46"/>
        <v>0</v>
      </c>
      <c r="AC181" s="276">
        <f t="shared" si="46"/>
        <v>0</v>
      </c>
      <c r="AD181" s="276">
        <f t="shared" si="46"/>
        <v>0</v>
      </c>
      <c r="AE181" s="276">
        <f t="shared" si="46"/>
        <v>0</v>
      </c>
      <c r="AF181" s="276">
        <f t="shared" si="46"/>
        <v>0</v>
      </c>
      <c r="AG181" s="276">
        <f t="shared" si="46"/>
        <v>0</v>
      </c>
      <c r="AH181" s="276">
        <f t="shared" si="46"/>
        <v>0</v>
      </c>
      <c r="AI181" s="276">
        <f t="shared" si="46"/>
        <v>0</v>
      </c>
      <c r="AJ181" s="276">
        <f t="shared" si="46"/>
        <v>0</v>
      </c>
      <c r="AK181" s="276">
        <f t="shared" si="46"/>
        <v>0</v>
      </c>
      <c r="AL181" s="276">
        <f t="shared" si="46"/>
        <v>0</v>
      </c>
      <c r="AM181" s="276">
        <f t="shared" si="46"/>
        <v>0</v>
      </c>
      <c r="AN181" s="276">
        <f t="shared" si="46"/>
        <v>0</v>
      </c>
      <c r="AO181" s="276">
        <f t="shared" si="46"/>
        <v>0</v>
      </c>
      <c r="AP181" s="276">
        <f t="shared" si="46"/>
        <v>0</v>
      </c>
      <c r="AQ181" s="276">
        <f t="shared" si="46"/>
        <v>0</v>
      </c>
      <c r="AR181" s="276">
        <f t="shared" si="46"/>
        <v>0</v>
      </c>
      <c r="AS181" s="276">
        <f t="shared" si="46"/>
        <v>0</v>
      </c>
      <c r="AT181" s="276">
        <f t="shared" si="46"/>
        <v>0</v>
      </c>
      <c r="AU181" s="276">
        <f t="shared" si="46"/>
        <v>0</v>
      </c>
      <c r="AV181" s="276">
        <f t="shared" si="46"/>
        <v>0</v>
      </c>
      <c r="AW181" s="276">
        <f t="shared" si="46"/>
        <v>0</v>
      </c>
      <c r="AX181" s="276">
        <f t="shared" si="46"/>
        <v>0</v>
      </c>
      <c r="AY181" s="276">
        <f t="shared" si="46"/>
        <v>0</v>
      </c>
      <c r="AZ181" s="276">
        <f t="shared" si="46"/>
        <v>0</v>
      </c>
      <c r="BA181" s="276">
        <f t="shared" si="46"/>
        <v>0</v>
      </c>
      <c r="BB181" s="276">
        <f t="shared" si="46"/>
        <v>0</v>
      </c>
      <c r="BC181" s="276">
        <f t="shared" si="46"/>
        <v>0</v>
      </c>
      <c r="BD181" s="276">
        <f t="shared" si="46"/>
        <v>0</v>
      </c>
      <c r="BE181" s="276">
        <f t="shared" si="46"/>
        <v>0</v>
      </c>
      <c r="BF181" s="276">
        <f t="shared" si="46"/>
        <v>0</v>
      </c>
      <c r="BG181" s="276">
        <f t="shared" si="46"/>
        <v>0</v>
      </c>
      <c r="BH181" s="276">
        <f t="shared" si="46"/>
        <v>0</v>
      </c>
      <c r="BI181" s="276">
        <f t="shared" si="46"/>
        <v>0</v>
      </c>
      <c r="BJ181" s="276">
        <f t="shared" si="46"/>
        <v>0</v>
      </c>
      <c r="BK181" s="276">
        <f t="shared" si="46"/>
        <v>0</v>
      </c>
      <c r="BL181" s="276">
        <f t="shared" si="46"/>
        <v>0</v>
      </c>
    </row>
    <row r="182" spans="1:64" x14ac:dyDescent="0.15">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c r="AH182" s="156"/>
      <c r="AI182" s="156"/>
      <c r="AJ182" s="156"/>
      <c r="AK182" s="156"/>
      <c r="AL182" s="156"/>
      <c r="AM182" s="156"/>
      <c r="AN182" s="156"/>
      <c r="AO182" s="156"/>
      <c r="AP182" s="156"/>
      <c r="AQ182" s="156"/>
      <c r="AR182" s="156"/>
      <c r="AS182" s="156"/>
      <c r="AT182" s="156"/>
      <c r="AU182" s="156"/>
      <c r="AV182" s="156"/>
      <c r="AW182" s="156"/>
      <c r="AX182" s="156"/>
      <c r="AY182" s="156"/>
      <c r="AZ182" s="156"/>
      <c r="BA182" s="156"/>
      <c r="BB182" s="156"/>
      <c r="BC182" s="156"/>
    </row>
    <row r="183" spans="1:64" x14ac:dyDescent="0.15">
      <c r="D183" s="257"/>
      <c r="F183" s="287"/>
      <c r="G183" s="287"/>
      <c r="H183" s="287"/>
      <c r="I183" s="287"/>
      <c r="J183" s="287"/>
      <c r="K183" s="287"/>
      <c r="L183" s="287"/>
      <c r="M183" s="287"/>
      <c r="N183" s="287"/>
      <c r="O183" s="287"/>
      <c r="P183" s="287"/>
      <c r="Q183" s="287"/>
      <c r="R183" s="287"/>
      <c r="S183" s="287"/>
      <c r="T183" s="287"/>
      <c r="U183" s="287"/>
      <c r="V183" s="287"/>
      <c r="W183" s="287"/>
      <c r="X183" s="287"/>
      <c r="Y183" s="287"/>
      <c r="Z183" s="287"/>
      <c r="AA183" s="287"/>
      <c r="AB183" s="287"/>
      <c r="AC183" s="287"/>
      <c r="AD183" s="287"/>
      <c r="AE183" s="287"/>
      <c r="AF183" s="287"/>
      <c r="AG183" s="287"/>
      <c r="AH183" s="287"/>
      <c r="AI183" s="287"/>
      <c r="AJ183" s="287"/>
      <c r="AK183" s="287"/>
      <c r="AL183" s="287"/>
      <c r="AM183" s="287"/>
      <c r="AN183" s="287"/>
      <c r="AO183" s="287"/>
      <c r="AP183" s="287"/>
      <c r="AQ183" s="287"/>
      <c r="AR183" s="287"/>
      <c r="AS183" s="287"/>
      <c r="AT183" s="287"/>
      <c r="AU183" s="287"/>
      <c r="AV183" s="287"/>
      <c r="AW183" s="287"/>
      <c r="AX183" s="287"/>
      <c r="AY183" s="287"/>
      <c r="AZ183" s="287"/>
      <c r="BA183" s="287"/>
      <c r="BB183" s="287"/>
      <c r="BC183" s="287"/>
      <c r="BD183" s="287"/>
      <c r="BE183" s="287"/>
      <c r="BF183" s="287"/>
      <c r="BG183" s="287"/>
      <c r="BH183" s="287"/>
      <c r="BI183" s="287"/>
      <c r="BJ183" s="287"/>
      <c r="BK183" s="287"/>
      <c r="BL183" s="287"/>
    </row>
    <row r="184" spans="1:64" x14ac:dyDescent="0.15">
      <c r="F184" s="287"/>
      <c r="G184" s="287"/>
      <c r="H184" s="287"/>
      <c r="I184" s="287"/>
      <c r="J184" s="287"/>
      <c r="K184" s="287"/>
      <c r="L184" s="287"/>
      <c r="M184" s="287"/>
      <c r="N184" s="287"/>
      <c r="O184" s="287"/>
      <c r="P184" s="287"/>
      <c r="Q184" s="287"/>
      <c r="R184" s="287"/>
      <c r="S184" s="287"/>
      <c r="T184" s="287"/>
      <c r="U184" s="287"/>
      <c r="V184" s="287"/>
      <c r="W184" s="287"/>
      <c r="X184" s="287"/>
      <c r="Y184" s="287"/>
      <c r="Z184" s="287"/>
      <c r="AA184" s="287"/>
      <c r="AB184" s="287"/>
      <c r="AC184" s="287"/>
      <c r="AD184" s="287"/>
      <c r="AE184" s="287"/>
      <c r="AF184" s="287"/>
      <c r="AG184" s="287"/>
      <c r="AH184" s="287"/>
      <c r="AI184" s="287"/>
      <c r="AJ184" s="287"/>
      <c r="AK184" s="287"/>
      <c r="AL184" s="287"/>
      <c r="AM184" s="287"/>
      <c r="AN184" s="287"/>
      <c r="AO184" s="287"/>
      <c r="AP184" s="287"/>
      <c r="AQ184" s="287"/>
      <c r="AR184" s="287"/>
      <c r="AS184" s="287"/>
      <c r="AT184" s="287"/>
      <c r="AU184" s="287"/>
      <c r="AV184" s="287"/>
      <c r="AW184" s="287"/>
      <c r="AX184" s="287"/>
      <c r="AY184" s="287"/>
      <c r="AZ184" s="287"/>
      <c r="BA184" s="287"/>
      <c r="BB184" s="287"/>
      <c r="BC184" s="287"/>
      <c r="BD184" s="287"/>
      <c r="BE184" s="287"/>
      <c r="BF184" s="287"/>
      <c r="BG184" s="287"/>
      <c r="BH184" s="287"/>
      <c r="BI184" s="287"/>
      <c r="BJ184" s="287"/>
      <c r="BK184" s="287"/>
      <c r="BL184" s="287"/>
    </row>
    <row r="185" spans="1:64" hidden="1" x14ac:dyDescent="0.15">
      <c r="C185" s="89" t="s">
        <v>423</v>
      </c>
      <c r="D185" s="161"/>
      <c r="E185" s="161">
        <f t="shared" ref="E185:BF185" si="47">D189</f>
        <v>0</v>
      </c>
      <c r="F185" s="161" t="e">
        <f t="shared" si="47"/>
        <v>#REF!</v>
      </c>
      <c r="G185" s="161" t="e">
        <f t="shared" si="47"/>
        <v>#REF!</v>
      </c>
      <c r="H185" s="161" t="e">
        <f t="shared" si="47"/>
        <v>#REF!</v>
      </c>
      <c r="I185" s="161" t="e">
        <f t="shared" si="47"/>
        <v>#REF!</v>
      </c>
      <c r="J185" s="161" t="e">
        <f t="shared" si="47"/>
        <v>#REF!</v>
      </c>
      <c r="K185" s="161" t="e">
        <f t="shared" si="47"/>
        <v>#REF!</v>
      </c>
      <c r="L185" s="161" t="e">
        <f t="shared" si="47"/>
        <v>#REF!</v>
      </c>
      <c r="M185" s="161">
        <f t="shared" si="47"/>
        <v>0</v>
      </c>
      <c r="N185" s="161">
        <f t="shared" si="47"/>
        <v>0</v>
      </c>
      <c r="O185" s="161">
        <f t="shared" si="47"/>
        <v>0</v>
      </c>
      <c r="P185" s="161">
        <f t="shared" si="47"/>
        <v>0</v>
      </c>
      <c r="Q185" s="161">
        <f t="shared" si="47"/>
        <v>0</v>
      </c>
      <c r="R185" s="161">
        <f t="shared" si="47"/>
        <v>0</v>
      </c>
      <c r="S185" s="161">
        <f t="shared" si="47"/>
        <v>0</v>
      </c>
      <c r="T185" s="161">
        <f t="shared" si="47"/>
        <v>0</v>
      </c>
      <c r="U185" s="161">
        <f t="shared" si="47"/>
        <v>0</v>
      </c>
      <c r="V185" s="161">
        <f t="shared" si="47"/>
        <v>0</v>
      </c>
      <c r="W185" s="161">
        <f t="shared" si="47"/>
        <v>0</v>
      </c>
      <c r="X185" s="161">
        <f t="shared" si="47"/>
        <v>0</v>
      </c>
      <c r="Y185" s="161">
        <f t="shared" si="47"/>
        <v>0</v>
      </c>
      <c r="Z185" s="161">
        <f t="shared" si="47"/>
        <v>0</v>
      </c>
      <c r="AA185" s="161">
        <f t="shared" si="47"/>
        <v>0</v>
      </c>
      <c r="AB185" s="161">
        <f t="shared" si="47"/>
        <v>0</v>
      </c>
      <c r="AC185" s="161">
        <f t="shared" si="47"/>
        <v>0</v>
      </c>
      <c r="AD185" s="161">
        <f t="shared" si="47"/>
        <v>0</v>
      </c>
      <c r="AE185" s="161">
        <f t="shared" si="47"/>
        <v>0</v>
      </c>
      <c r="AF185" s="161">
        <f t="shared" si="47"/>
        <v>0</v>
      </c>
      <c r="AG185" s="161">
        <f t="shared" si="47"/>
        <v>0</v>
      </c>
      <c r="AH185" s="161">
        <f t="shared" si="47"/>
        <v>0</v>
      </c>
      <c r="AI185" s="161">
        <f t="shared" si="47"/>
        <v>0</v>
      </c>
      <c r="AJ185" s="161">
        <f t="shared" si="47"/>
        <v>0</v>
      </c>
      <c r="AK185" s="161">
        <f t="shared" si="47"/>
        <v>0</v>
      </c>
      <c r="AL185" s="161">
        <f t="shared" si="47"/>
        <v>0</v>
      </c>
      <c r="AM185" s="161">
        <f t="shared" si="47"/>
        <v>0</v>
      </c>
      <c r="AN185" s="161">
        <f t="shared" si="47"/>
        <v>0</v>
      </c>
      <c r="AO185" s="161">
        <f t="shared" si="47"/>
        <v>0</v>
      </c>
      <c r="AP185" s="161">
        <f t="shared" si="47"/>
        <v>0</v>
      </c>
      <c r="AQ185" s="161">
        <f t="shared" si="47"/>
        <v>0</v>
      </c>
      <c r="AR185" s="161">
        <f t="shared" si="47"/>
        <v>0</v>
      </c>
      <c r="AS185" s="161">
        <f t="shared" si="47"/>
        <v>0</v>
      </c>
      <c r="AT185" s="161">
        <f t="shared" si="47"/>
        <v>0</v>
      </c>
      <c r="AU185" s="161">
        <f t="shared" si="47"/>
        <v>0</v>
      </c>
      <c r="AV185" s="161">
        <f t="shared" si="47"/>
        <v>0</v>
      </c>
      <c r="AW185" s="161">
        <f t="shared" si="47"/>
        <v>0</v>
      </c>
      <c r="AX185" s="161">
        <f t="shared" si="47"/>
        <v>0</v>
      </c>
      <c r="AY185" s="161">
        <f t="shared" si="47"/>
        <v>0</v>
      </c>
      <c r="AZ185" s="161">
        <f t="shared" si="47"/>
        <v>0</v>
      </c>
      <c r="BA185" s="161">
        <f t="shared" si="47"/>
        <v>0</v>
      </c>
      <c r="BB185" s="161">
        <f t="shared" si="47"/>
        <v>0</v>
      </c>
      <c r="BC185" s="161">
        <f t="shared" si="47"/>
        <v>0</v>
      </c>
      <c r="BD185" s="161">
        <f t="shared" si="47"/>
        <v>0</v>
      </c>
      <c r="BE185" s="161">
        <f t="shared" si="47"/>
        <v>0</v>
      </c>
      <c r="BF185" s="161">
        <f t="shared" si="47"/>
        <v>0</v>
      </c>
      <c r="BG185" s="161"/>
      <c r="BH185" s="161"/>
      <c r="BI185" s="161"/>
      <c r="BJ185" s="161"/>
      <c r="BK185" s="161"/>
      <c r="BL185" s="161"/>
    </row>
    <row r="186" spans="1:64" hidden="1" x14ac:dyDescent="0.15">
      <c r="C186" s="89" t="s">
        <v>424</v>
      </c>
      <c r="D186" s="161"/>
      <c r="E186" s="161" t="e">
        <f>-#REF!</f>
        <v>#REF!</v>
      </c>
      <c r="F186" s="161" t="e">
        <f>-#REF!</f>
        <v>#REF!</v>
      </c>
      <c r="G186" s="161" t="e">
        <f>-#REF!</f>
        <v>#REF!</v>
      </c>
      <c r="H186" s="161" t="e">
        <f>-#REF!</f>
        <v>#REF!</v>
      </c>
      <c r="I186" s="161" t="e">
        <f>-#REF!</f>
        <v>#REF!</v>
      </c>
      <c r="J186" s="161" t="e">
        <f>-#REF!</f>
        <v>#REF!</v>
      </c>
      <c r="K186" s="161" t="e">
        <f>-#REF!</f>
        <v>#REF!</v>
      </c>
      <c r="L186" s="161" t="e">
        <f>-#REF!</f>
        <v>#REF!</v>
      </c>
      <c r="M186" s="161" t="e">
        <f>-#REF!</f>
        <v>#REF!</v>
      </c>
      <c r="N186" s="161" t="e">
        <f>-#REF!</f>
        <v>#REF!</v>
      </c>
      <c r="O186" s="161" t="e">
        <f>-#REF!</f>
        <v>#REF!</v>
      </c>
      <c r="P186" s="161" t="e">
        <f>-#REF!</f>
        <v>#REF!</v>
      </c>
      <c r="Q186" s="161" t="e">
        <f>-#REF!</f>
        <v>#REF!</v>
      </c>
      <c r="R186" s="161" t="e">
        <f>-#REF!</f>
        <v>#REF!</v>
      </c>
      <c r="S186" s="161" t="e">
        <f>-#REF!</f>
        <v>#REF!</v>
      </c>
      <c r="T186" s="161" t="e">
        <f>-#REF!</f>
        <v>#REF!</v>
      </c>
      <c r="U186" s="161" t="e">
        <f>-#REF!</f>
        <v>#REF!</v>
      </c>
      <c r="V186" s="161" t="e">
        <f>-#REF!</f>
        <v>#REF!</v>
      </c>
      <c r="W186" s="161" t="e">
        <f>-#REF!</f>
        <v>#REF!</v>
      </c>
      <c r="X186" s="161" t="e">
        <f>-#REF!</f>
        <v>#REF!</v>
      </c>
      <c r="Y186" s="161" t="e">
        <f>-#REF!</f>
        <v>#REF!</v>
      </c>
      <c r="Z186" s="161" t="e">
        <f>-#REF!</f>
        <v>#REF!</v>
      </c>
      <c r="AA186" s="161" t="e">
        <f>-#REF!</f>
        <v>#REF!</v>
      </c>
      <c r="AB186" s="161" t="e">
        <f>-#REF!</f>
        <v>#REF!</v>
      </c>
      <c r="AC186" s="161" t="e">
        <f>-#REF!</f>
        <v>#REF!</v>
      </c>
      <c r="AD186" s="161" t="e">
        <f>-#REF!</f>
        <v>#REF!</v>
      </c>
      <c r="AE186" s="161" t="e">
        <f>-#REF!</f>
        <v>#REF!</v>
      </c>
      <c r="AF186" s="161" t="e">
        <f>-#REF!</f>
        <v>#REF!</v>
      </c>
      <c r="AG186" s="161" t="e">
        <f>-#REF!</f>
        <v>#REF!</v>
      </c>
      <c r="AH186" s="161" t="e">
        <f>-#REF!</f>
        <v>#REF!</v>
      </c>
      <c r="AI186" s="161" t="e">
        <f>-#REF!</f>
        <v>#REF!</v>
      </c>
      <c r="AJ186" s="161" t="e">
        <f>-#REF!</f>
        <v>#REF!</v>
      </c>
      <c r="AK186" s="161" t="e">
        <f>-#REF!</f>
        <v>#REF!</v>
      </c>
      <c r="AL186" s="161" t="e">
        <f>-#REF!</f>
        <v>#REF!</v>
      </c>
      <c r="AM186" s="161" t="e">
        <f>-#REF!</f>
        <v>#REF!</v>
      </c>
      <c r="AN186" s="161" t="e">
        <f>-#REF!</f>
        <v>#REF!</v>
      </c>
      <c r="AO186" s="161" t="e">
        <f>-#REF!</f>
        <v>#REF!</v>
      </c>
      <c r="AP186" s="161" t="e">
        <f>-#REF!</f>
        <v>#REF!</v>
      </c>
      <c r="AQ186" s="161" t="e">
        <f>-#REF!</f>
        <v>#REF!</v>
      </c>
      <c r="AR186" s="161" t="e">
        <f>-#REF!</f>
        <v>#REF!</v>
      </c>
      <c r="AS186" s="161" t="e">
        <f>-#REF!</f>
        <v>#REF!</v>
      </c>
      <c r="AT186" s="161" t="e">
        <f>-#REF!</f>
        <v>#REF!</v>
      </c>
      <c r="AU186" s="161" t="e">
        <f>-#REF!</f>
        <v>#REF!</v>
      </c>
      <c r="AV186" s="161" t="e">
        <f>-#REF!</f>
        <v>#REF!</v>
      </c>
      <c r="AW186" s="161" t="e">
        <f>-#REF!</f>
        <v>#REF!</v>
      </c>
      <c r="AX186" s="161" t="e">
        <f>-#REF!</f>
        <v>#REF!</v>
      </c>
      <c r="AY186" s="161" t="e">
        <f>-#REF!</f>
        <v>#REF!</v>
      </c>
      <c r="AZ186" s="161" t="e">
        <f>-#REF!</f>
        <v>#REF!</v>
      </c>
      <c r="BA186" s="161" t="e">
        <f>-#REF!</f>
        <v>#REF!</v>
      </c>
      <c r="BB186" s="161" t="e">
        <f>-#REF!</f>
        <v>#REF!</v>
      </c>
      <c r="BC186" s="161" t="e">
        <f>-#REF!</f>
        <v>#REF!</v>
      </c>
      <c r="BD186" s="161" t="e">
        <f>-#REF!</f>
        <v>#REF!</v>
      </c>
      <c r="BE186" s="161" t="e">
        <f>-#REF!</f>
        <v>#REF!</v>
      </c>
      <c r="BF186" s="161" t="e">
        <f>-#REF!</f>
        <v>#REF!</v>
      </c>
      <c r="BG186" s="161"/>
      <c r="BH186" s="161"/>
      <c r="BI186" s="161"/>
      <c r="BJ186" s="161"/>
      <c r="BK186" s="161"/>
      <c r="BL186" s="161"/>
    </row>
    <row r="187" spans="1:64" hidden="1" x14ac:dyDescent="0.15">
      <c r="C187" s="89" t="s">
        <v>425</v>
      </c>
      <c r="D187" s="161"/>
      <c r="E187" s="161">
        <f>IFERROR((#REF!/#REF!)*E185,0)</f>
        <v>0</v>
      </c>
      <c r="F187" s="161">
        <f>IFERROR((#REF!/#REF!)*F185,0)</f>
        <v>0</v>
      </c>
      <c r="G187" s="161">
        <f>IFERROR((#REF!/#REF!)*G185,0)</f>
        <v>0</v>
      </c>
      <c r="H187" s="161">
        <f>IFERROR((#REF!/#REF!)*H185,0)</f>
        <v>0</v>
      </c>
      <c r="I187" s="161">
        <f>IFERROR((#REF!/#REF!)*I185,0)</f>
        <v>0</v>
      </c>
      <c r="J187" s="161">
        <f>IFERROR((#REF!/#REF!)*J185,0)</f>
        <v>0</v>
      </c>
      <c r="K187" s="161">
        <f>IFERROR((#REF!/#REF!)*K185,0)</f>
        <v>0</v>
      </c>
      <c r="L187" s="161">
        <f>IFERROR((#REF!/#REF!)*L185,0)</f>
        <v>0</v>
      </c>
      <c r="M187" s="161">
        <f>IFERROR((#REF!/#REF!)*M185,0)</f>
        <v>0</v>
      </c>
      <c r="N187" s="161">
        <f>IFERROR((#REF!/#REF!)*N185,0)</f>
        <v>0</v>
      </c>
      <c r="O187" s="161">
        <f>IFERROR((#REF!/#REF!)*O185,0)</f>
        <v>0</v>
      </c>
      <c r="P187" s="161">
        <f>IFERROR((#REF!/#REF!)*P185,0)</f>
        <v>0</v>
      </c>
      <c r="Q187" s="161">
        <f>IFERROR((#REF!/#REF!)*Q185,0)</f>
        <v>0</v>
      </c>
      <c r="R187" s="161">
        <f>IFERROR((#REF!/#REF!)*R185,0)</f>
        <v>0</v>
      </c>
      <c r="S187" s="161">
        <f>IFERROR((#REF!/#REF!)*S185,0)</f>
        <v>0</v>
      </c>
      <c r="T187" s="161">
        <f>IFERROR((#REF!/#REF!)*T185,0)</f>
        <v>0</v>
      </c>
      <c r="U187" s="161">
        <f>IFERROR((#REF!/#REF!)*U185,0)</f>
        <v>0</v>
      </c>
      <c r="V187" s="161">
        <f>IFERROR((#REF!/#REF!)*V185,0)</f>
        <v>0</v>
      </c>
      <c r="W187" s="161">
        <f>IFERROR((#REF!/#REF!)*W185,0)</f>
        <v>0</v>
      </c>
      <c r="X187" s="161">
        <f>IFERROR((#REF!/#REF!)*X185,0)</f>
        <v>0</v>
      </c>
      <c r="Y187" s="161">
        <f>IFERROR((#REF!/#REF!)*Y185,0)</f>
        <v>0</v>
      </c>
      <c r="Z187" s="161">
        <f>IFERROR((#REF!/#REF!)*Z185,0)</f>
        <v>0</v>
      </c>
      <c r="AA187" s="161">
        <f>IFERROR((#REF!/#REF!)*AA185,0)</f>
        <v>0</v>
      </c>
      <c r="AB187" s="161">
        <f>IFERROR((#REF!/#REF!)*AB185,0)</f>
        <v>0</v>
      </c>
      <c r="AC187" s="161">
        <f>IFERROR((#REF!/#REF!)*AC185,0)</f>
        <v>0</v>
      </c>
      <c r="AD187" s="161">
        <f>IFERROR((#REF!/#REF!)*AD185,0)</f>
        <v>0</v>
      </c>
      <c r="AE187" s="161">
        <f>IFERROR((#REF!/#REF!)*AE185,0)</f>
        <v>0</v>
      </c>
      <c r="AF187" s="161">
        <f>IFERROR((#REF!/#REF!)*AF185,0)</f>
        <v>0</v>
      </c>
      <c r="AG187" s="161">
        <f>IFERROR((#REF!/#REF!)*AG185,0)</f>
        <v>0</v>
      </c>
      <c r="AH187" s="161">
        <f>IFERROR((#REF!/#REF!)*AH185,0)</f>
        <v>0</v>
      </c>
      <c r="AI187" s="161">
        <f>IFERROR((#REF!/#REF!)*AI185,0)</f>
        <v>0</v>
      </c>
      <c r="AJ187" s="161">
        <f>IFERROR((#REF!/#REF!)*AJ185,0)</f>
        <v>0</v>
      </c>
      <c r="AK187" s="161">
        <f>IFERROR((#REF!/#REF!)*AK185,0)</f>
        <v>0</v>
      </c>
      <c r="AL187" s="161">
        <f>IFERROR((#REF!/#REF!)*AL185,0)</f>
        <v>0</v>
      </c>
      <c r="AM187" s="161">
        <f>IFERROR((#REF!/#REF!)*AM185,0)</f>
        <v>0</v>
      </c>
      <c r="AN187" s="161">
        <f>IFERROR((#REF!/#REF!)*AN185,0)</f>
        <v>0</v>
      </c>
      <c r="AO187" s="161">
        <f>IFERROR((#REF!/#REF!)*AO185,0)</f>
        <v>0</v>
      </c>
      <c r="AP187" s="161">
        <f>IFERROR((#REF!/#REF!)*AP185,0)</f>
        <v>0</v>
      </c>
      <c r="AQ187" s="161">
        <f>IFERROR((#REF!/#REF!)*AQ185,0)</f>
        <v>0</v>
      </c>
      <c r="AR187" s="161">
        <f>IFERROR((#REF!/#REF!)*AR185,0)</f>
        <v>0</v>
      </c>
      <c r="AS187" s="161">
        <f>IFERROR((#REF!/#REF!)*AS185,0)</f>
        <v>0</v>
      </c>
      <c r="AT187" s="161">
        <f>IFERROR((#REF!/#REF!)*AT185,0)</f>
        <v>0</v>
      </c>
      <c r="AU187" s="161">
        <f>IFERROR((#REF!/#REF!)*AU185,0)</f>
        <v>0</v>
      </c>
      <c r="AV187" s="161">
        <f>IFERROR((#REF!/#REF!)*AV185,0)</f>
        <v>0</v>
      </c>
      <c r="AW187" s="161">
        <f>IFERROR((#REF!/#REF!)*AW185,0)</f>
        <v>0</v>
      </c>
      <c r="AX187" s="161">
        <f>IFERROR((#REF!/#REF!)*AX185,0)</f>
        <v>0</v>
      </c>
      <c r="AY187" s="161">
        <f>IFERROR((#REF!/#REF!)*AY185,0)</f>
        <v>0</v>
      </c>
      <c r="AZ187" s="161">
        <f>IFERROR((#REF!/#REF!)*AZ185,0)</f>
        <v>0</v>
      </c>
      <c r="BA187" s="161">
        <f>IFERROR((#REF!/#REF!)*BA185,0)</f>
        <v>0</v>
      </c>
      <c r="BB187" s="161">
        <f>IFERROR((#REF!/#REF!)*BB185,0)</f>
        <v>0</v>
      </c>
      <c r="BC187" s="161">
        <f>IFERROR((#REF!/#REF!)*BC185,0)</f>
        <v>0</v>
      </c>
      <c r="BD187" s="161">
        <f>IFERROR((#REF!/#REF!)*BD185,0)</f>
        <v>0</v>
      </c>
      <c r="BE187" s="161">
        <f>IFERROR((#REF!/#REF!)*BE185,0)</f>
        <v>0</v>
      </c>
      <c r="BF187" s="161">
        <f>IFERROR((#REF!/#REF!)*BF185,0)</f>
        <v>0</v>
      </c>
      <c r="BG187" s="161"/>
      <c r="BH187" s="161"/>
      <c r="BI187" s="161"/>
      <c r="BJ187" s="161"/>
      <c r="BK187" s="161"/>
      <c r="BL187" s="161"/>
    </row>
    <row r="188" spans="1:64" hidden="1" x14ac:dyDescent="0.15">
      <c r="C188" s="89" t="s">
        <v>426</v>
      </c>
      <c r="D188" s="161"/>
      <c r="E188" s="161">
        <f>IFERROR((#REF!/#REF!)*E185,0)</f>
        <v>0</v>
      </c>
      <c r="F188" s="161">
        <f>IFERROR((#REF!/#REF!)*F185,0)</f>
        <v>0</v>
      </c>
      <c r="G188" s="161">
        <f>IFERROR((#REF!/#REF!)*G185,0)</f>
        <v>0</v>
      </c>
      <c r="H188" s="161">
        <f>IFERROR((#REF!/#REF!)*H185,0)</f>
        <v>0</v>
      </c>
      <c r="I188" s="161">
        <f>IFERROR((#REF!/#REF!)*I185,0)</f>
        <v>0</v>
      </c>
      <c r="J188" s="161">
        <f>IFERROR((#REF!/#REF!)*J185,0)</f>
        <v>0</v>
      </c>
      <c r="K188" s="161">
        <f>IFERROR((#REF!/#REF!)*K185,0)</f>
        <v>0</v>
      </c>
      <c r="L188" s="161">
        <f>IFERROR((#REF!/#REF!)*L185,0)</f>
        <v>0</v>
      </c>
      <c r="M188" s="161">
        <f>IFERROR((#REF!/#REF!)*M185,0)</f>
        <v>0</v>
      </c>
      <c r="N188" s="161">
        <f>IFERROR((#REF!/#REF!)*N185,0)</f>
        <v>0</v>
      </c>
      <c r="O188" s="161">
        <f>IFERROR((#REF!/#REF!)*O185,0)</f>
        <v>0</v>
      </c>
      <c r="P188" s="161">
        <f>IFERROR((#REF!/#REF!)*P185,0)</f>
        <v>0</v>
      </c>
      <c r="Q188" s="161">
        <f>IFERROR((#REF!/#REF!)*Q185,0)</f>
        <v>0</v>
      </c>
      <c r="R188" s="161">
        <f>IFERROR((#REF!/#REF!)*R185,0)</f>
        <v>0</v>
      </c>
      <c r="S188" s="161">
        <f>IFERROR((#REF!/#REF!)*S185,0)</f>
        <v>0</v>
      </c>
      <c r="T188" s="161">
        <f>IFERROR((#REF!/#REF!)*T185,0)</f>
        <v>0</v>
      </c>
      <c r="U188" s="161">
        <f>IFERROR((#REF!/#REF!)*U185,0)</f>
        <v>0</v>
      </c>
      <c r="V188" s="161">
        <f>IFERROR((#REF!/#REF!)*V185,0)</f>
        <v>0</v>
      </c>
      <c r="W188" s="161">
        <f>IFERROR((#REF!/#REF!)*W185,0)</f>
        <v>0</v>
      </c>
      <c r="X188" s="161">
        <f>IFERROR((#REF!/#REF!)*X185,0)</f>
        <v>0</v>
      </c>
      <c r="Y188" s="161">
        <f>IFERROR((#REF!/#REF!)*Y185,0)</f>
        <v>0</v>
      </c>
      <c r="Z188" s="161">
        <f>IFERROR((#REF!/#REF!)*Z185,0)</f>
        <v>0</v>
      </c>
      <c r="AA188" s="161">
        <f>IFERROR((#REF!/#REF!)*AA185,0)</f>
        <v>0</v>
      </c>
      <c r="AB188" s="161">
        <f>IFERROR((#REF!/#REF!)*AB185,0)</f>
        <v>0</v>
      </c>
      <c r="AC188" s="161">
        <f>IFERROR((#REF!/#REF!)*AC185,0)</f>
        <v>0</v>
      </c>
      <c r="AD188" s="161">
        <f>IFERROR((#REF!/#REF!)*AD185,0)</f>
        <v>0</v>
      </c>
      <c r="AE188" s="161">
        <f>IFERROR((#REF!/#REF!)*AE185,0)</f>
        <v>0</v>
      </c>
      <c r="AF188" s="161">
        <f>IFERROR((#REF!/#REF!)*AF185,0)</f>
        <v>0</v>
      </c>
      <c r="AG188" s="161">
        <f>IFERROR((#REF!/#REF!)*AG185,0)</f>
        <v>0</v>
      </c>
      <c r="AH188" s="161">
        <f>IFERROR((#REF!/#REF!)*AH185,0)</f>
        <v>0</v>
      </c>
      <c r="AI188" s="161">
        <f>IFERROR((#REF!/#REF!)*AI185,0)</f>
        <v>0</v>
      </c>
      <c r="AJ188" s="161">
        <f>IFERROR((#REF!/#REF!)*AJ185,0)</f>
        <v>0</v>
      </c>
      <c r="AK188" s="161">
        <f>IFERROR((#REF!/#REF!)*AK185,0)</f>
        <v>0</v>
      </c>
      <c r="AL188" s="161">
        <f>IFERROR((#REF!/#REF!)*AL185,0)</f>
        <v>0</v>
      </c>
      <c r="AM188" s="161">
        <f>IFERROR((#REF!/#REF!)*AM185,0)</f>
        <v>0</v>
      </c>
      <c r="AN188" s="161">
        <f>IFERROR((#REF!/#REF!)*AN185,0)</f>
        <v>0</v>
      </c>
      <c r="AO188" s="161">
        <f>IFERROR((#REF!/#REF!)*AO185,0)</f>
        <v>0</v>
      </c>
      <c r="AP188" s="161">
        <f>IFERROR((#REF!/#REF!)*AP185,0)</f>
        <v>0</v>
      </c>
      <c r="AQ188" s="161">
        <f>IFERROR((#REF!/#REF!)*AQ185,0)</f>
        <v>0</v>
      </c>
      <c r="AR188" s="161">
        <f>IFERROR((#REF!/#REF!)*AR185,0)</f>
        <v>0</v>
      </c>
      <c r="AS188" s="161">
        <f>IFERROR((#REF!/#REF!)*AS185,0)</f>
        <v>0</v>
      </c>
      <c r="AT188" s="161">
        <f>IFERROR((#REF!/#REF!)*AT185,0)</f>
        <v>0</v>
      </c>
      <c r="AU188" s="161">
        <f>IFERROR((#REF!/#REF!)*AU185,0)</f>
        <v>0</v>
      </c>
      <c r="AV188" s="161">
        <f>IFERROR((#REF!/#REF!)*AV185,0)</f>
        <v>0</v>
      </c>
      <c r="AW188" s="161">
        <f>IFERROR((#REF!/#REF!)*AW185,0)</f>
        <v>0</v>
      </c>
      <c r="AX188" s="161">
        <f>IFERROR((#REF!/#REF!)*AX185,0)</f>
        <v>0</v>
      </c>
      <c r="AY188" s="161">
        <f>IFERROR((#REF!/#REF!)*AY185,0)</f>
        <v>0</v>
      </c>
      <c r="AZ188" s="161">
        <f>IFERROR((#REF!/#REF!)*AZ185,0)</f>
        <v>0</v>
      </c>
      <c r="BA188" s="161">
        <f>IFERROR((#REF!/#REF!)*BA185,0)</f>
        <v>0</v>
      </c>
      <c r="BB188" s="161">
        <f>IFERROR((#REF!/#REF!)*BB185,0)</f>
        <v>0</v>
      </c>
      <c r="BC188" s="161">
        <f>IFERROR((#REF!/#REF!)*BC185,0)</f>
        <v>0</v>
      </c>
      <c r="BD188" s="161">
        <f>IFERROR((#REF!/#REF!)*BD185,0)</f>
        <v>0</v>
      </c>
      <c r="BE188" s="161">
        <f>IFERROR((#REF!/#REF!)*BE185,0)</f>
        <v>0</v>
      </c>
      <c r="BF188" s="161">
        <f>IFERROR((#REF!/#REF!)*BF185,0)</f>
        <v>0</v>
      </c>
      <c r="BG188" s="161"/>
      <c r="BH188" s="161"/>
      <c r="BI188" s="161"/>
      <c r="BJ188" s="161"/>
      <c r="BK188" s="161"/>
      <c r="BL188" s="161"/>
    </row>
    <row r="189" spans="1:64" hidden="1" x14ac:dyDescent="0.15">
      <c r="C189" s="89" t="s">
        <v>427</v>
      </c>
      <c r="D189" s="161"/>
      <c r="E189" s="161" t="e">
        <f>IF(E5&gt;Leadsheet!$E$14,0,SUM(E185:E188))</f>
        <v>#REF!</v>
      </c>
      <c r="F189" s="161" t="e">
        <f>IF(F5&gt;Leadsheet!$E$14,0,SUM(F185:F188))</f>
        <v>#REF!</v>
      </c>
      <c r="G189" s="161" t="e">
        <f>IF(G5&gt;Leadsheet!$E$14,0,SUM(G185:G188))</f>
        <v>#REF!</v>
      </c>
      <c r="H189" s="161" t="e">
        <f>IF(H5&gt;Leadsheet!$E$14,0,SUM(H185:H188))</f>
        <v>#REF!</v>
      </c>
      <c r="I189" s="161" t="e">
        <f>IF(I5&gt;Leadsheet!$E$14,0,SUM(I185:I188))</f>
        <v>#REF!</v>
      </c>
      <c r="J189" s="161" t="e">
        <f>IF(J5&gt;Leadsheet!$E$14,0,SUM(J185:J188))</f>
        <v>#REF!</v>
      </c>
      <c r="K189" s="161" t="e">
        <f>IF(K5&gt;Leadsheet!$E$14,0,SUM(K185:K188))</f>
        <v>#REF!</v>
      </c>
      <c r="L189" s="161">
        <f>IF(L5&gt;Leadsheet!$E$14,0,SUM(L185:L188))</f>
        <v>0</v>
      </c>
      <c r="M189" s="161">
        <f>IF(M5&gt;Leadsheet!$E$14,0,SUM(M185:M188))</f>
        <v>0</v>
      </c>
      <c r="N189" s="161">
        <f>IF(N5&gt;Leadsheet!$E$14,0,SUM(N185:N188))</f>
        <v>0</v>
      </c>
      <c r="O189" s="161">
        <f>IF(O5&gt;Leadsheet!$E$14,0,SUM(O185:O188))</f>
        <v>0</v>
      </c>
      <c r="P189" s="161">
        <f>IF(P5&gt;Leadsheet!$E$14,0,SUM(P185:P188))</f>
        <v>0</v>
      </c>
      <c r="Q189" s="161">
        <f>IF(Q5&gt;Leadsheet!$E$14,0,SUM(Q185:Q188))</f>
        <v>0</v>
      </c>
      <c r="R189" s="161">
        <f>IF(R5&gt;Leadsheet!$E$14,0,SUM(R185:R188))</f>
        <v>0</v>
      </c>
      <c r="S189" s="161">
        <f>IF(S5&gt;Leadsheet!$E$14,0,SUM(S185:S188))</f>
        <v>0</v>
      </c>
      <c r="T189" s="161">
        <f>IF(T5&gt;Leadsheet!$E$14,0,SUM(T185:T188))</f>
        <v>0</v>
      </c>
      <c r="U189" s="161">
        <f>IF(U5&gt;Leadsheet!$E$14,0,SUM(U185:U188))</f>
        <v>0</v>
      </c>
      <c r="V189" s="161">
        <f>IF(V5&gt;Leadsheet!$E$14,0,SUM(V185:V188))</f>
        <v>0</v>
      </c>
      <c r="W189" s="161">
        <f>IF(W5&gt;Leadsheet!$E$14,0,SUM(W185:W188))</f>
        <v>0</v>
      </c>
      <c r="X189" s="161">
        <f>IF(X5&gt;Leadsheet!$E$14,0,SUM(X185:X188))</f>
        <v>0</v>
      </c>
      <c r="Y189" s="161">
        <f>IF(Y5&gt;Leadsheet!$E$14,0,SUM(Y185:Y188))</f>
        <v>0</v>
      </c>
      <c r="Z189" s="161">
        <f>IF(Z5&gt;Leadsheet!$E$14,0,SUM(Z185:Z188))</f>
        <v>0</v>
      </c>
      <c r="AA189" s="161">
        <f>IF(AA5&gt;Leadsheet!$E$14,0,SUM(AA185:AA188))</f>
        <v>0</v>
      </c>
      <c r="AB189" s="161">
        <f>IF(AB5&gt;Leadsheet!$E$14,0,SUM(AB185:AB188))</f>
        <v>0</v>
      </c>
      <c r="AC189" s="161">
        <f>IF(AC5&gt;Leadsheet!$E$14,0,SUM(AC185:AC188))</f>
        <v>0</v>
      </c>
      <c r="AD189" s="161">
        <f>IF(AD5&gt;Leadsheet!$E$14,0,SUM(AD185:AD188))</f>
        <v>0</v>
      </c>
      <c r="AE189" s="161">
        <f>IF(AE5&gt;Leadsheet!$E$14,0,SUM(AE185:AE188))</f>
        <v>0</v>
      </c>
      <c r="AF189" s="161">
        <f>IF(AF5&gt;Leadsheet!$E$14,0,SUM(AF185:AF188))</f>
        <v>0</v>
      </c>
      <c r="AG189" s="161">
        <f>IF(AG5&gt;Leadsheet!$E$14,0,SUM(AG185:AG188))</f>
        <v>0</v>
      </c>
      <c r="AH189" s="161">
        <f>IF(AH5&gt;Leadsheet!$E$14,0,SUM(AH185:AH188))</f>
        <v>0</v>
      </c>
      <c r="AI189" s="161">
        <f>IF(AI5&gt;Leadsheet!$E$14,0,SUM(AI185:AI188))</f>
        <v>0</v>
      </c>
      <c r="AJ189" s="161">
        <f>IF(AJ5&gt;Leadsheet!$E$14,0,SUM(AJ185:AJ188))</f>
        <v>0</v>
      </c>
      <c r="AK189" s="161">
        <f>IF(AK5&gt;Leadsheet!$E$14,0,SUM(AK185:AK188))</f>
        <v>0</v>
      </c>
      <c r="AL189" s="161">
        <f>IF(AL5&gt;Leadsheet!$E$14,0,SUM(AL185:AL188))</f>
        <v>0</v>
      </c>
      <c r="AM189" s="161">
        <f>IF(AM5&gt;Leadsheet!$E$14,0,SUM(AM185:AM188))</f>
        <v>0</v>
      </c>
      <c r="AN189" s="161">
        <f>IF(AN5&gt;Leadsheet!$E$14,0,SUM(AN185:AN188))</f>
        <v>0</v>
      </c>
      <c r="AO189" s="161">
        <f>IF(AO5&gt;Leadsheet!$E$14,0,SUM(AO185:AO188))</f>
        <v>0</v>
      </c>
      <c r="AP189" s="161">
        <f>IF(AP5&gt;Leadsheet!$E$14,0,SUM(AP185:AP188))</f>
        <v>0</v>
      </c>
      <c r="AQ189" s="161">
        <f>IF(AQ5&gt;Leadsheet!$E$14,0,SUM(AQ185:AQ188))</f>
        <v>0</v>
      </c>
      <c r="AR189" s="161">
        <f>IF(AR5&gt;Leadsheet!$E$14,0,SUM(AR185:AR188))</f>
        <v>0</v>
      </c>
      <c r="AS189" s="161">
        <f>IF(AS5&gt;Leadsheet!$E$14,0,SUM(AS185:AS188))</f>
        <v>0</v>
      </c>
      <c r="AT189" s="161">
        <f>IF(AT5&gt;Leadsheet!$E$14,0,SUM(AT185:AT188))</f>
        <v>0</v>
      </c>
      <c r="AU189" s="161">
        <f>IF(AU5&gt;Leadsheet!$E$14,0,SUM(AU185:AU188))</f>
        <v>0</v>
      </c>
      <c r="AV189" s="161">
        <f>IF(AV5&gt;Leadsheet!$E$14,0,SUM(AV185:AV188))</f>
        <v>0</v>
      </c>
      <c r="AW189" s="161">
        <f>IF(AW5&gt;Leadsheet!$E$14,0,SUM(AW185:AW188))</f>
        <v>0</v>
      </c>
      <c r="AX189" s="161">
        <f>IF(AX5&gt;Leadsheet!$E$14,0,SUM(AX185:AX188))</f>
        <v>0</v>
      </c>
      <c r="AY189" s="161">
        <f>IF(AY5&gt;Leadsheet!$E$14,0,SUM(AY185:AY188))</f>
        <v>0</v>
      </c>
      <c r="AZ189" s="161">
        <f>IF(AZ5&gt;Leadsheet!$E$14,0,SUM(AZ185:AZ188))</f>
        <v>0</v>
      </c>
      <c r="BA189" s="161">
        <f>IF(BA5&gt;Leadsheet!$E$14,0,SUM(BA185:BA188))</f>
        <v>0</v>
      </c>
      <c r="BB189" s="161">
        <f>IF(BB5&gt;Leadsheet!$E$14,0,SUM(BB185:BB188))</f>
        <v>0</v>
      </c>
      <c r="BC189" s="161">
        <f>IF(BC5&gt;Leadsheet!$E$14,0,SUM(BC185:BC188))</f>
        <v>0</v>
      </c>
      <c r="BD189" s="161">
        <f>IF(BD5&gt;Leadsheet!$E$14,0,SUM(BD185:BD188))</f>
        <v>0</v>
      </c>
      <c r="BE189" s="161">
        <f>IF(BE5&gt;Leadsheet!$E$14,0,SUM(BE185:BE188))</f>
        <v>0</v>
      </c>
      <c r="BF189" s="161">
        <f>IF(BF5&gt;Leadsheet!$E$14,0,SUM(BF185:BF188))</f>
        <v>0</v>
      </c>
      <c r="BG189" s="161"/>
      <c r="BH189" s="161"/>
      <c r="BI189" s="161"/>
      <c r="BJ189" s="161"/>
      <c r="BK189" s="161"/>
      <c r="BL189" s="161"/>
    </row>
    <row r="190" spans="1:64" hidden="1" x14ac:dyDescent="0.15"/>
    <row r="191" spans="1:64" hidden="1" x14ac:dyDescent="0.15"/>
    <row r="192" spans="1:64" hidden="1" x14ac:dyDescent="0.15">
      <c r="C192" s="163" t="s">
        <v>428</v>
      </c>
    </row>
    <row r="193" spans="3:64" hidden="1" x14ac:dyDescent="0.15">
      <c r="C193" s="288" t="s">
        <v>429</v>
      </c>
      <c r="E193" s="156" t="e">
        <f>+#REF!</f>
        <v>#REF!</v>
      </c>
      <c r="F193" s="156" t="e">
        <f>+#REF!</f>
        <v>#REF!</v>
      </c>
      <c r="G193" s="156" t="e">
        <f>+#REF!</f>
        <v>#REF!</v>
      </c>
      <c r="H193" s="156" t="e">
        <f>+#REF!</f>
        <v>#REF!</v>
      </c>
      <c r="I193" s="156" t="e">
        <f>+#REF!</f>
        <v>#REF!</v>
      </c>
      <c r="J193" s="156" t="e">
        <f>+#REF!</f>
        <v>#REF!</v>
      </c>
      <c r="K193" s="156" t="e">
        <f>+#REF!</f>
        <v>#REF!</v>
      </c>
      <c r="L193" s="156" t="e">
        <f>+#REF!</f>
        <v>#REF!</v>
      </c>
      <c r="M193" s="156" t="e">
        <f>+#REF!</f>
        <v>#REF!</v>
      </c>
      <c r="N193" s="156" t="e">
        <f>+#REF!</f>
        <v>#REF!</v>
      </c>
      <c r="O193" s="156" t="e">
        <f>+#REF!</f>
        <v>#REF!</v>
      </c>
      <c r="P193" s="156" t="e">
        <f>+#REF!</f>
        <v>#REF!</v>
      </c>
      <c r="Q193" s="156" t="e">
        <f>+#REF!</f>
        <v>#REF!</v>
      </c>
      <c r="R193" s="156" t="e">
        <f>+#REF!</f>
        <v>#REF!</v>
      </c>
      <c r="S193" s="156" t="e">
        <f>+#REF!</f>
        <v>#REF!</v>
      </c>
      <c r="T193" s="156" t="e">
        <f>+#REF!</f>
        <v>#REF!</v>
      </c>
      <c r="U193" s="156" t="e">
        <f>+#REF!</f>
        <v>#REF!</v>
      </c>
      <c r="V193" s="156" t="e">
        <f>+#REF!</f>
        <v>#REF!</v>
      </c>
      <c r="W193" s="156" t="e">
        <f>+#REF!</f>
        <v>#REF!</v>
      </c>
      <c r="X193" s="156" t="e">
        <f>+#REF!</f>
        <v>#REF!</v>
      </c>
      <c r="Y193" s="156" t="e">
        <f>+#REF!</f>
        <v>#REF!</v>
      </c>
      <c r="Z193" s="156" t="e">
        <f>+#REF!</f>
        <v>#REF!</v>
      </c>
      <c r="AA193" s="156" t="e">
        <f>+#REF!</f>
        <v>#REF!</v>
      </c>
      <c r="AB193" s="156" t="e">
        <f>+#REF!</f>
        <v>#REF!</v>
      </c>
      <c r="AC193" s="156" t="e">
        <f>+#REF!</f>
        <v>#REF!</v>
      </c>
      <c r="AD193" s="156" t="e">
        <f>+#REF!</f>
        <v>#REF!</v>
      </c>
      <c r="AE193" s="156" t="e">
        <f>+#REF!</f>
        <v>#REF!</v>
      </c>
      <c r="AF193" s="156" t="e">
        <f>+#REF!</f>
        <v>#REF!</v>
      </c>
      <c r="AG193" s="156" t="e">
        <f>+#REF!</f>
        <v>#REF!</v>
      </c>
      <c r="AH193" s="156" t="e">
        <f>+#REF!</f>
        <v>#REF!</v>
      </c>
      <c r="AI193" s="156" t="e">
        <f>+#REF!</f>
        <v>#REF!</v>
      </c>
      <c r="AJ193" s="156" t="e">
        <f>+#REF!</f>
        <v>#REF!</v>
      </c>
      <c r="AK193" s="156" t="e">
        <f>+#REF!</f>
        <v>#REF!</v>
      </c>
      <c r="AL193" s="156" t="e">
        <f>+#REF!</f>
        <v>#REF!</v>
      </c>
      <c r="AM193" s="156" t="e">
        <f>+#REF!</f>
        <v>#REF!</v>
      </c>
      <c r="AN193" s="156" t="e">
        <f>+#REF!</f>
        <v>#REF!</v>
      </c>
      <c r="AO193" s="156" t="e">
        <f>+#REF!</f>
        <v>#REF!</v>
      </c>
      <c r="AP193" s="156" t="e">
        <f>+#REF!</f>
        <v>#REF!</v>
      </c>
      <c r="AQ193" s="156" t="e">
        <f>+#REF!</f>
        <v>#REF!</v>
      </c>
      <c r="AR193" s="156" t="e">
        <f>+#REF!</f>
        <v>#REF!</v>
      </c>
      <c r="AS193" s="156" t="e">
        <f>+#REF!</f>
        <v>#REF!</v>
      </c>
      <c r="AT193" s="156" t="e">
        <f>+#REF!</f>
        <v>#REF!</v>
      </c>
      <c r="AU193" s="156" t="e">
        <f>+#REF!</f>
        <v>#REF!</v>
      </c>
      <c r="AV193" s="156" t="e">
        <f>+#REF!</f>
        <v>#REF!</v>
      </c>
      <c r="AW193" s="156" t="e">
        <f>+#REF!</f>
        <v>#REF!</v>
      </c>
      <c r="AX193" s="156" t="e">
        <f>+#REF!</f>
        <v>#REF!</v>
      </c>
      <c r="AY193" s="156" t="e">
        <f>+#REF!</f>
        <v>#REF!</v>
      </c>
      <c r="AZ193" s="156" t="e">
        <f>+#REF!</f>
        <v>#REF!</v>
      </c>
      <c r="BA193" s="156" t="e">
        <f>+#REF!</f>
        <v>#REF!</v>
      </c>
      <c r="BB193" s="156" t="e">
        <f>+#REF!</f>
        <v>#REF!</v>
      </c>
      <c r="BC193" s="156" t="e">
        <f>+#REF!</f>
        <v>#REF!</v>
      </c>
      <c r="BD193" s="156" t="e">
        <f>+#REF!</f>
        <v>#REF!</v>
      </c>
      <c r="BE193" s="156" t="e">
        <f>+#REF!</f>
        <v>#REF!</v>
      </c>
      <c r="BF193" s="156" t="e">
        <f>+#REF!</f>
        <v>#REF!</v>
      </c>
      <c r="BG193" s="156"/>
      <c r="BH193" s="156"/>
      <c r="BI193" s="156"/>
      <c r="BJ193" s="156"/>
      <c r="BK193" s="156"/>
      <c r="BL193" s="156"/>
    </row>
    <row r="194" spans="3:64" hidden="1" x14ac:dyDescent="0.15">
      <c r="C194" s="288" t="s">
        <v>430</v>
      </c>
      <c r="E194" s="161" t="e">
        <f>-D25*(#REF!+#REF!*(1+#REF!))</f>
        <v>#REF!</v>
      </c>
      <c r="F194" s="161" t="e">
        <f>-#REF!*(#REF!+#REF!*(1+#REF!))</f>
        <v>#REF!</v>
      </c>
      <c r="G194" s="161" t="e">
        <f>-#REF!*(#REF!+#REF!*(1+#REF!))</f>
        <v>#REF!</v>
      </c>
      <c r="H194" s="161" t="e">
        <f>-#REF!*(#REF!+#REF!*(1+#REF!))</f>
        <v>#REF!</v>
      </c>
      <c r="I194" s="161" t="e">
        <f>-#REF!*(#REF!+#REF!*(1+#REF!))</f>
        <v>#REF!</v>
      </c>
      <c r="J194" s="161" t="e">
        <f>-#REF!*(#REF!+#REF!*(1+#REF!))</f>
        <v>#REF!</v>
      </c>
      <c r="K194" s="161" t="e">
        <f>-#REF!*(#REF!+#REF!*(1+#REF!))</f>
        <v>#REF!</v>
      </c>
      <c r="L194" s="161" t="e">
        <f>-#REF!*(#REF!+#REF!*(1+#REF!))</f>
        <v>#REF!</v>
      </c>
      <c r="M194" s="161" t="e">
        <f>-#REF!*(#REF!+#REF!*(1+#REF!))</f>
        <v>#REF!</v>
      </c>
      <c r="N194" s="161" t="e">
        <f>-#REF!*(#REF!+#REF!*(1+#REF!))</f>
        <v>#REF!</v>
      </c>
      <c r="O194" s="161" t="e">
        <f>-#REF!*(#REF!+#REF!*(1+#REF!))</f>
        <v>#REF!</v>
      </c>
      <c r="P194" s="161" t="e">
        <f>-#REF!*(#REF!+#REF!*(1+#REF!))</f>
        <v>#REF!</v>
      </c>
      <c r="Q194" s="161" t="e">
        <f>-#REF!*(#REF!+#REF!*(1+#REF!))</f>
        <v>#REF!</v>
      </c>
      <c r="R194" s="161" t="e">
        <f>-#REF!*(#REF!+#REF!*(1+#REF!))</f>
        <v>#REF!</v>
      </c>
      <c r="S194" s="161" t="e">
        <f>-#REF!*(#REF!+#REF!*(1+#REF!))</f>
        <v>#REF!</v>
      </c>
      <c r="T194" s="161" t="e">
        <f>-#REF!*(#REF!+#REF!*(1+#REF!))</f>
        <v>#REF!</v>
      </c>
      <c r="U194" s="161" t="e">
        <f>-#REF!*(#REF!+#REF!*(1+#REF!))</f>
        <v>#REF!</v>
      </c>
      <c r="V194" s="161" t="e">
        <f>-#REF!*(#REF!+#REF!*(1+#REF!))</f>
        <v>#REF!</v>
      </c>
      <c r="W194" s="161" t="e">
        <f>-#REF!*(#REF!+#REF!*(1+#REF!))</f>
        <v>#REF!</v>
      </c>
      <c r="X194" s="161" t="e">
        <f>-#REF!*(#REF!+#REF!*(1+#REF!))</f>
        <v>#REF!</v>
      </c>
      <c r="Y194" s="161" t="e">
        <f>-#REF!*(#REF!+#REF!*(1+#REF!))</f>
        <v>#REF!</v>
      </c>
      <c r="Z194" s="161" t="e">
        <f>-#REF!*(#REF!+#REF!*(1+#REF!))</f>
        <v>#REF!</v>
      </c>
      <c r="AA194" s="161" t="e">
        <f>-#REF!*(#REF!+#REF!*(1+#REF!))</f>
        <v>#REF!</v>
      </c>
      <c r="AB194" s="161" t="e">
        <f>-#REF!*(#REF!+#REF!*(1+#REF!))</f>
        <v>#REF!</v>
      </c>
      <c r="AC194" s="161" t="e">
        <f>-#REF!*(#REF!+#REF!*(1+#REF!))</f>
        <v>#REF!</v>
      </c>
      <c r="AD194" s="161" t="e">
        <f>-#REF!*(#REF!+#REF!*(1+#REF!))</f>
        <v>#REF!</v>
      </c>
      <c r="AE194" s="161" t="e">
        <f>-#REF!*(#REF!+#REF!*(1+#REF!))</f>
        <v>#REF!</v>
      </c>
      <c r="AF194" s="161" t="e">
        <f>-#REF!*(#REF!+#REF!*(1+#REF!))</f>
        <v>#REF!</v>
      </c>
      <c r="AG194" s="161" t="e">
        <f>-#REF!*(#REF!+#REF!*(1+#REF!))</f>
        <v>#REF!</v>
      </c>
      <c r="AH194" s="161" t="e">
        <f>-#REF!*(#REF!+#REF!*(1+#REF!))</f>
        <v>#REF!</v>
      </c>
      <c r="AI194" s="161" t="e">
        <f>-#REF!*(#REF!+#REF!*(1+#REF!))</f>
        <v>#REF!</v>
      </c>
      <c r="AJ194" s="161" t="e">
        <f>-#REF!*(#REF!+#REF!*(1+#REF!))</f>
        <v>#REF!</v>
      </c>
      <c r="AK194" s="161" t="e">
        <f>-#REF!*(#REF!+#REF!*(1+#REF!))</f>
        <v>#REF!</v>
      </c>
      <c r="AL194" s="161" t="e">
        <f>-#REF!*(#REF!+#REF!*(1+#REF!))</f>
        <v>#REF!</v>
      </c>
      <c r="AM194" s="161" t="e">
        <f>-#REF!*(#REF!+#REF!*(1+#REF!))</f>
        <v>#REF!</v>
      </c>
      <c r="AN194" s="161" t="e">
        <f>-#REF!*(#REF!+#REF!*(1+#REF!))</f>
        <v>#REF!</v>
      </c>
      <c r="AO194" s="161" t="e">
        <f>-#REF!*(#REF!+#REF!*(1+#REF!))</f>
        <v>#REF!</v>
      </c>
      <c r="AP194" s="161" t="e">
        <f>-#REF!*(#REF!+#REF!*(1+#REF!))</f>
        <v>#REF!</v>
      </c>
      <c r="AQ194" s="161" t="e">
        <f>-#REF!*(#REF!+#REF!*(1+#REF!))</f>
        <v>#REF!</v>
      </c>
      <c r="AR194" s="161" t="e">
        <f>-#REF!*(#REF!+#REF!*(1+#REF!))</f>
        <v>#REF!</v>
      </c>
      <c r="AS194" s="161" t="e">
        <f>-#REF!*(#REF!+#REF!*(1+#REF!))</f>
        <v>#REF!</v>
      </c>
      <c r="AT194" s="161" t="e">
        <f>-#REF!*(#REF!+#REF!*(1+#REF!))</f>
        <v>#REF!</v>
      </c>
      <c r="AU194" s="161" t="e">
        <f>-#REF!*(#REF!+#REF!*(1+#REF!))</f>
        <v>#REF!</v>
      </c>
      <c r="AV194" s="161" t="e">
        <f>-#REF!*(#REF!+#REF!*(1+#REF!))</f>
        <v>#REF!</v>
      </c>
      <c r="AW194" s="161" t="e">
        <f>-#REF!*(#REF!+#REF!*(1+#REF!))</f>
        <v>#REF!</v>
      </c>
      <c r="AX194" s="161" t="e">
        <f>-#REF!*(#REF!+#REF!*(1+#REF!))</f>
        <v>#REF!</v>
      </c>
      <c r="AY194" s="161" t="e">
        <f>-#REF!*(#REF!+#REF!*(1+#REF!))</f>
        <v>#REF!</v>
      </c>
      <c r="AZ194" s="161" t="e">
        <f>-#REF!*(#REF!+#REF!*(1+#REF!))</f>
        <v>#REF!</v>
      </c>
      <c r="BA194" s="161" t="e">
        <f>-#REF!*(#REF!+#REF!*(1+#REF!))</f>
        <v>#REF!</v>
      </c>
      <c r="BB194" s="161" t="e">
        <f>-#REF!*(#REF!+#REF!*(1+#REF!))</f>
        <v>#REF!</v>
      </c>
      <c r="BC194" s="161" t="e">
        <f>-#REF!*(#REF!+#REF!*(1+#REF!))</f>
        <v>#REF!</v>
      </c>
      <c r="BD194" s="161" t="e">
        <f>-#REF!*(#REF!+#REF!*(1+#REF!))</f>
        <v>#REF!</v>
      </c>
      <c r="BE194" s="161" t="e">
        <f>-#REF!*(#REF!+#REF!*(1+#REF!))</f>
        <v>#REF!</v>
      </c>
      <c r="BF194" s="161" t="e">
        <f>-#REF!*(#REF!+#REF!*(1+#REF!))</f>
        <v>#REF!</v>
      </c>
      <c r="BG194" s="161"/>
      <c r="BH194" s="161"/>
      <c r="BI194" s="161"/>
      <c r="BJ194" s="161"/>
      <c r="BK194" s="161"/>
      <c r="BL194" s="161"/>
    </row>
    <row r="195" spans="3:64" hidden="1" x14ac:dyDescent="0.15">
      <c r="C195" s="288" t="s">
        <v>431</v>
      </c>
      <c r="E195" s="161" t="e">
        <v>#REF!</v>
      </c>
      <c r="F195" s="161" t="e">
        <v>#REF!</v>
      </c>
      <c r="G195" s="161" t="e">
        <v>#REF!</v>
      </c>
      <c r="H195" s="161" t="e">
        <v>#REF!</v>
      </c>
      <c r="I195" s="161" t="e">
        <v>#REF!</v>
      </c>
      <c r="J195" s="161" t="e">
        <v>#REF!</v>
      </c>
      <c r="K195" s="161" t="e">
        <v>#REF!</v>
      </c>
      <c r="L195" s="161" t="e">
        <v>#REF!</v>
      </c>
      <c r="M195" s="161" t="e">
        <v>#REF!</v>
      </c>
      <c r="N195" s="161" t="e">
        <v>#REF!</v>
      </c>
      <c r="O195" s="161" t="e">
        <v>#REF!</v>
      </c>
      <c r="P195" s="161" t="e">
        <v>#REF!</v>
      </c>
      <c r="Q195" s="161" t="e">
        <v>#REF!</v>
      </c>
      <c r="R195" s="161" t="e">
        <v>#REF!</v>
      </c>
      <c r="S195" s="161" t="e">
        <v>#REF!</v>
      </c>
      <c r="T195" s="161" t="e">
        <v>#REF!</v>
      </c>
      <c r="U195" s="161" t="e">
        <v>#REF!</v>
      </c>
      <c r="V195" s="161" t="e">
        <v>#REF!</v>
      </c>
      <c r="W195" s="161" t="e">
        <v>#REF!</v>
      </c>
      <c r="X195" s="161" t="e">
        <v>#REF!</v>
      </c>
      <c r="Y195" s="161" t="e">
        <v>#REF!</v>
      </c>
      <c r="Z195" s="161" t="e">
        <v>#REF!</v>
      </c>
      <c r="AA195" s="161" t="e">
        <v>#REF!</v>
      </c>
      <c r="AB195" s="161" t="e">
        <v>#REF!</v>
      </c>
      <c r="AC195" s="161" t="e">
        <v>#REF!</v>
      </c>
      <c r="AD195" s="161" t="e">
        <v>#REF!</v>
      </c>
      <c r="AE195" s="161" t="e">
        <v>#REF!</v>
      </c>
      <c r="AF195" s="161" t="e">
        <v>#REF!</v>
      </c>
      <c r="AG195" s="161" t="e">
        <v>#REF!</v>
      </c>
      <c r="AH195" s="161" t="e">
        <v>#REF!</v>
      </c>
      <c r="AI195" s="161" t="e">
        <v>#REF!</v>
      </c>
      <c r="AJ195" s="161" t="e">
        <v>#REF!</v>
      </c>
      <c r="AK195" s="161" t="e">
        <v>#REF!</v>
      </c>
      <c r="AL195" s="161" t="e">
        <v>#REF!</v>
      </c>
      <c r="AM195" s="161" t="e">
        <v>#REF!</v>
      </c>
      <c r="AN195" s="161" t="e">
        <v>#REF!</v>
      </c>
      <c r="AO195" s="161" t="e">
        <v>#REF!</v>
      </c>
      <c r="AP195" s="161" t="e">
        <v>#REF!</v>
      </c>
      <c r="AQ195" s="161" t="e">
        <v>#REF!</v>
      </c>
      <c r="AR195" s="161" t="e">
        <v>#REF!</v>
      </c>
      <c r="AS195" s="161" t="e">
        <v>#REF!</v>
      </c>
      <c r="AT195" s="161" t="e">
        <v>#REF!</v>
      </c>
      <c r="AU195" s="161" t="e">
        <v>#REF!</v>
      </c>
      <c r="AV195" s="161" t="e">
        <v>#REF!</v>
      </c>
      <c r="AW195" s="161" t="e">
        <v>#REF!</v>
      </c>
      <c r="AX195" s="161" t="e">
        <v>#REF!</v>
      </c>
      <c r="AY195" s="161" t="e">
        <v>#REF!</v>
      </c>
      <c r="AZ195" s="161" t="e">
        <v>#REF!</v>
      </c>
      <c r="BA195" s="161" t="e">
        <v>#REF!</v>
      </c>
      <c r="BB195" s="161" t="e">
        <v>#REF!</v>
      </c>
      <c r="BC195" s="161" t="e">
        <v>#REF!</v>
      </c>
      <c r="BD195" s="161" t="e">
        <v>#REF!</v>
      </c>
      <c r="BE195" s="161" t="e">
        <v>#REF!</v>
      </c>
      <c r="BF195" s="161" t="e">
        <v>#REF!</v>
      </c>
      <c r="BG195" s="161"/>
      <c r="BH195" s="161"/>
      <c r="BI195" s="161"/>
      <c r="BJ195" s="161"/>
      <c r="BK195" s="161"/>
      <c r="BL195" s="161"/>
    </row>
    <row r="196" spans="3:64" hidden="1" x14ac:dyDescent="0.15">
      <c r="C196" s="288" t="s">
        <v>432</v>
      </c>
      <c r="E196" s="161" t="e">
        <v>#REF!</v>
      </c>
      <c r="F196" s="161" t="e">
        <v>#REF!</v>
      </c>
      <c r="G196" s="161" t="e">
        <v>#REF!</v>
      </c>
      <c r="H196" s="161" t="e">
        <v>#REF!</v>
      </c>
      <c r="I196" s="161" t="e">
        <v>#REF!</v>
      </c>
      <c r="J196" s="161" t="e">
        <v>#REF!</v>
      </c>
      <c r="K196" s="161" t="e">
        <v>#REF!</v>
      </c>
      <c r="L196" s="161" t="e">
        <v>#REF!</v>
      </c>
      <c r="M196" s="161" t="e">
        <v>#REF!</v>
      </c>
      <c r="N196" s="161" t="e">
        <v>#REF!</v>
      </c>
      <c r="O196" s="161" t="e">
        <v>#REF!</v>
      </c>
      <c r="P196" s="161" t="e">
        <v>#REF!</v>
      </c>
      <c r="Q196" s="161" t="e">
        <v>#REF!</v>
      </c>
      <c r="R196" s="161" t="e">
        <v>#REF!</v>
      </c>
      <c r="S196" s="161" t="e">
        <v>#REF!</v>
      </c>
      <c r="T196" s="161" t="e">
        <v>#REF!</v>
      </c>
      <c r="U196" s="161" t="e">
        <v>#REF!</v>
      </c>
      <c r="V196" s="161" t="e">
        <v>#REF!</v>
      </c>
      <c r="W196" s="161" t="e">
        <v>#REF!</v>
      </c>
      <c r="X196" s="161" t="e">
        <v>#REF!</v>
      </c>
      <c r="Y196" s="161" t="e">
        <v>#REF!</v>
      </c>
      <c r="Z196" s="161" t="e">
        <v>#REF!</v>
      </c>
      <c r="AA196" s="161" t="e">
        <v>#REF!</v>
      </c>
      <c r="AB196" s="161" t="e">
        <v>#REF!</v>
      </c>
      <c r="AC196" s="161" t="e">
        <v>#REF!</v>
      </c>
      <c r="AD196" s="161" t="e">
        <v>#REF!</v>
      </c>
      <c r="AE196" s="161" t="e">
        <v>#REF!</v>
      </c>
      <c r="AF196" s="161" t="e">
        <v>#REF!</v>
      </c>
      <c r="AG196" s="161" t="e">
        <v>#REF!</v>
      </c>
      <c r="AH196" s="161" t="e">
        <v>#REF!</v>
      </c>
      <c r="AI196" s="161" t="e">
        <v>#REF!</v>
      </c>
      <c r="AJ196" s="161" t="e">
        <v>#REF!</v>
      </c>
      <c r="AK196" s="161" t="e">
        <v>#REF!</v>
      </c>
      <c r="AL196" s="161" t="e">
        <v>#REF!</v>
      </c>
      <c r="AM196" s="161" t="e">
        <v>#REF!</v>
      </c>
      <c r="AN196" s="161" t="e">
        <v>#REF!</v>
      </c>
      <c r="AO196" s="161" t="e">
        <v>#REF!</v>
      </c>
      <c r="AP196" s="161" t="e">
        <v>#REF!</v>
      </c>
      <c r="AQ196" s="161" t="e">
        <v>#REF!</v>
      </c>
      <c r="AR196" s="161" t="e">
        <v>#REF!</v>
      </c>
      <c r="AS196" s="161" t="e">
        <v>#REF!</v>
      </c>
      <c r="AT196" s="161" t="e">
        <v>#REF!</v>
      </c>
      <c r="AU196" s="161" t="e">
        <v>#REF!</v>
      </c>
      <c r="AV196" s="161" t="e">
        <v>#REF!</v>
      </c>
      <c r="AW196" s="161" t="e">
        <v>#REF!</v>
      </c>
      <c r="AX196" s="161" t="e">
        <v>#REF!</v>
      </c>
      <c r="AY196" s="161" t="e">
        <v>#REF!</v>
      </c>
      <c r="AZ196" s="161" t="e">
        <v>#REF!</v>
      </c>
      <c r="BA196" s="161" t="e">
        <v>#REF!</v>
      </c>
      <c r="BB196" s="161" t="e">
        <v>#REF!</v>
      </c>
      <c r="BC196" s="161" t="e">
        <v>#REF!</v>
      </c>
      <c r="BD196" s="161" t="e">
        <v>#REF!</v>
      </c>
      <c r="BE196" s="161" t="e">
        <v>#REF!</v>
      </c>
      <c r="BF196" s="161" t="e">
        <v>#REF!</v>
      </c>
      <c r="BG196" s="161"/>
      <c r="BH196" s="161"/>
      <c r="BI196" s="161"/>
      <c r="BJ196" s="161"/>
      <c r="BK196" s="161"/>
      <c r="BL196" s="161"/>
    </row>
    <row r="197" spans="3:64" hidden="1" x14ac:dyDescent="0.15">
      <c r="C197" s="288" t="s">
        <v>433</v>
      </c>
      <c r="E197" s="161" t="e">
        <f t="shared" ref="E197:BF197" si="48">SUM(E193:E196)</f>
        <v>#REF!</v>
      </c>
      <c r="F197" s="161" t="e">
        <f t="shared" si="48"/>
        <v>#REF!</v>
      </c>
      <c r="G197" s="161" t="e">
        <f t="shared" si="48"/>
        <v>#REF!</v>
      </c>
      <c r="H197" s="161" t="e">
        <f t="shared" si="48"/>
        <v>#REF!</v>
      </c>
      <c r="I197" s="161" t="e">
        <f t="shared" si="48"/>
        <v>#REF!</v>
      </c>
      <c r="J197" s="161" t="e">
        <f t="shared" si="48"/>
        <v>#REF!</v>
      </c>
      <c r="K197" s="161" t="e">
        <f t="shared" si="48"/>
        <v>#REF!</v>
      </c>
      <c r="L197" s="161" t="e">
        <f t="shared" si="48"/>
        <v>#REF!</v>
      </c>
      <c r="M197" s="161" t="e">
        <f t="shared" si="48"/>
        <v>#REF!</v>
      </c>
      <c r="N197" s="161" t="e">
        <f t="shared" si="48"/>
        <v>#REF!</v>
      </c>
      <c r="O197" s="161" t="e">
        <f t="shared" si="48"/>
        <v>#REF!</v>
      </c>
      <c r="P197" s="161" t="e">
        <f t="shared" si="48"/>
        <v>#REF!</v>
      </c>
      <c r="Q197" s="161" t="e">
        <f t="shared" si="48"/>
        <v>#REF!</v>
      </c>
      <c r="R197" s="161" t="e">
        <f t="shared" si="48"/>
        <v>#REF!</v>
      </c>
      <c r="S197" s="161" t="e">
        <f t="shared" si="48"/>
        <v>#REF!</v>
      </c>
      <c r="T197" s="161" t="e">
        <f t="shared" si="48"/>
        <v>#REF!</v>
      </c>
      <c r="U197" s="161" t="e">
        <f t="shared" si="48"/>
        <v>#REF!</v>
      </c>
      <c r="V197" s="161" t="e">
        <f t="shared" si="48"/>
        <v>#REF!</v>
      </c>
      <c r="W197" s="161" t="e">
        <f t="shared" si="48"/>
        <v>#REF!</v>
      </c>
      <c r="X197" s="161" t="e">
        <f t="shared" si="48"/>
        <v>#REF!</v>
      </c>
      <c r="Y197" s="161" t="e">
        <f t="shared" si="48"/>
        <v>#REF!</v>
      </c>
      <c r="Z197" s="161" t="e">
        <f t="shared" si="48"/>
        <v>#REF!</v>
      </c>
      <c r="AA197" s="161" t="e">
        <f t="shared" si="48"/>
        <v>#REF!</v>
      </c>
      <c r="AB197" s="161" t="e">
        <f t="shared" si="48"/>
        <v>#REF!</v>
      </c>
      <c r="AC197" s="161" t="e">
        <f t="shared" si="48"/>
        <v>#REF!</v>
      </c>
      <c r="AD197" s="161" t="e">
        <f t="shared" si="48"/>
        <v>#REF!</v>
      </c>
      <c r="AE197" s="161" t="e">
        <f t="shared" si="48"/>
        <v>#REF!</v>
      </c>
      <c r="AF197" s="161" t="e">
        <f t="shared" si="48"/>
        <v>#REF!</v>
      </c>
      <c r="AG197" s="161" t="e">
        <f t="shared" si="48"/>
        <v>#REF!</v>
      </c>
      <c r="AH197" s="161" t="e">
        <f t="shared" si="48"/>
        <v>#REF!</v>
      </c>
      <c r="AI197" s="161" t="e">
        <f t="shared" si="48"/>
        <v>#REF!</v>
      </c>
      <c r="AJ197" s="161" t="e">
        <f t="shared" si="48"/>
        <v>#REF!</v>
      </c>
      <c r="AK197" s="161" t="e">
        <f t="shared" si="48"/>
        <v>#REF!</v>
      </c>
      <c r="AL197" s="161" t="e">
        <f t="shared" si="48"/>
        <v>#REF!</v>
      </c>
      <c r="AM197" s="161" t="e">
        <f t="shared" si="48"/>
        <v>#REF!</v>
      </c>
      <c r="AN197" s="161" t="e">
        <f t="shared" si="48"/>
        <v>#REF!</v>
      </c>
      <c r="AO197" s="161" t="e">
        <f t="shared" si="48"/>
        <v>#REF!</v>
      </c>
      <c r="AP197" s="161" t="e">
        <f t="shared" si="48"/>
        <v>#REF!</v>
      </c>
      <c r="AQ197" s="161" t="e">
        <f t="shared" si="48"/>
        <v>#REF!</v>
      </c>
      <c r="AR197" s="161" t="e">
        <f t="shared" si="48"/>
        <v>#REF!</v>
      </c>
      <c r="AS197" s="161" t="e">
        <f t="shared" si="48"/>
        <v>#REF!</v>
      </c>
      <c r="AT197" s="161" t="e">
        <f t="shared" si="48"/>
        <v>#REF!</v>
      </c>
      <c r="AU197" s="161" t="e">
        <f t="shared" si="48"/>
        <v>#REF!</v>
      </c>
      <c r="AV197" s="161" t="e">
        <f t="shared" si="48"/>
        <v>#REF!</v>
      </c>
      <c r="AW197" s="161" t="e">
        <f t="shared" si="48"/>
        <v>#REF!</v>
      </c>
      <c r="AX197" s="161" t="e">
        <f t="shared" si="48"/>
        <v>#REF!</v>
      </c>
      <c r="AY197" s="161" t="e">
        <f t="shared" si="48"/>
        <v>#REF!</v>
      </c>
      <c r="AZ197" s="161" t="e">
        <f t="shared" si="48"/>
        <v>#REF!</v>
      </c>
      <c r="BA197" s="161" t="e">
        <f t="shared" si="48"/>
        <v>#REF!</v>
      </c>
      <c r="BB197" s="161" t="e">
        <f t="shared" si="48"/>
        <v>#REF!</v>
      </c>
      <c r="BC197" s="161" t="e">
        <f t="shared" si="48"/>
        <v>#REF!</v>
      </c>
      <c r="BD197" s="161" t="e">
        <f t="shared" si="48"/>
        <v>#REF!</v>
      </c>
      <c r="BE197" s="161" t="e">
        <f t="shared" si="48"/>
        <v>#REF!</v>
      </c>
      <c r="BF197" s="161" t="e">
        <f t="shared" si="48"/>
        <v>#REF!</v>
      </c>
      <c r="BG197" s="161"/>
      <c r="BH197" s="161"/>
      <c r="BI197" s="161"/>
      <c r="BJ197" s="161"/>
      <c r="BK197" s="161"/>
      <c r="BL197" s="161"/>
    </row>
    <row r="198" spans="3:64" hidden="1" x14ac:dyDescent="0.15"/>
    <row r="199" spans="3:64" hidden="1" x14ac:dyDescent="0.15"/>
    <row r="200" spans="3:64" hidden="1" x14ac:dyDescent="0.15">
      <c r="C200" s="163" t="s">
        <v>434</v>
      </c>
    </row>
    <row r="201" spans="3:64" hidden="1" x14ac:dyDescent="0.15">
      <c r="C201" s="288" t="s">
        <v>429</v>
      </c>
      <c r="E201" s="156">
        <f>+SUM(D26:D28)</f>
        <v>0</v>
      </c>
      <c r="F201" s="156">
        <f t="shared" ref="F201:BF201" si="49">+SUM(E41:E46)</f>
        <v>1.5280404315309695</v>
      </c>
      <c r="G201" s="156">
        <f t="shared" si="49"/>
        <v>1.4065911322788465</v>
      </c>
      <c r="H201" s="156">
        <f t="shared" si="49"/>
        <v>1.3714814630756416</v>
      </c>
      <c r="I201" s="156">
        <f t="shared" si="49"/>
        <v>1.3603370191833724</v>
      </c>
      <c r="J201" s="156">
        <f t="shared" si="49"/>
        <v>1.3567336489915385</v>
      </c>
      <c r="K201" s="156">
        <f t="shared" si="49"/>
        <v>1.3531663125016231</v>
      </c>
      <c r="L201" s="156">
        <f t="shared" si="49"/>
        <v>0.35140048093911513</v>
      </c>
      <c r="M201" s="156">
        <f t="shared" si="49"/>
        <v>0</v>
      </c>
      <c r="N201" s="156">
        <f t="shared" si="49"/>
        <v>0</v>
      </c>
      <c r="O201" s="156">
        <f t="shared" si="49"/>
        <v>0</v>
      </c>
      <c r="P201" s="156">
        <f t="shared" si="49"/>
        <v>0</v>
      </c>
      <c r="Q201" s="156">
        <f t="shared" si="49"/>
        <v>0</v>
      </c>
      <c r="R201" s="156">
        <f t="shared" si="49"/>
        <v>0</v>
      </c>
      <c r="S201" s="156">
        <f t="shared" si="49"/>
        <v>0</v>
      </c>
      <c r="T201" s="156">
        <f t="shared" si="49"/>
        <v>0</v>
      </c>
      <c r="U201" s="156">
        <f t="shared" si="49"/>
        <v>0</v>
      </c>
      <c r="V201" s="156">
        <f t="shared" si="49"/>
        <v>0</v>
      </c>
      <c r="W201" s="156">
        <f t="shared" si="49"/>
        <v>0</v>
      </c>
      <c r="X201" s="156">
        <f t="shared" si="49"/>
        <v>0</v>
      </c>
      <c r="Y201" s="156">
        <f t="shared" si="49"/>
        <v>0</v>
      </c>
      <c r="Z201" s="156">
        <f t="shared" si="49"/>
        <v>0</v>
      </c>
      <c r="AA201" s="156">
        <f t="shared" si="49"/>
        <v>0</v>
      </c>
      <c r="AB201" s="156">
        <f t="shared" si="49"/>
        <v>0</v>
      </c>
      <c r="AC201" s="156">
        <f t="shared" si="49"/>
        <v>0</v>
      </c>
      <c r="AD201" s="156">
        <f t="shared" si="49"/>
        <v>0</v>
      </c>
      <c r="AE201" s="156">
        <f t="shared" si="49"/>
        <v>0</v>
      </c>
      <c r="AF201" s="156">
        <f t="shared" si="49"/>
        <v>0</v>
      </c>
      <c r="AG201" s="156">
        <f t="shared" si="49"/>
        <v>0</v>
      </c>
      <c r="AH201" s="156">
        <f t="shared" si="49"/>
        <v>0</v>
      </c>
      <c r="AI201" s="156">
        <f t="shared" si="49"/>
        <v>0</v>
      </c>
      <c r="AJ201" s="156">
        <f t="shared" si="49"/>
        <v>0</v>
      </c>
      <c r="AK201" s="156">
        <f t="shared" si="49"/>
        <v>0</v>
      </c>
      <c r="AL201" s="156">
        <f t="shared" si="49"/>
        <v>0</v>
      </c>
      <c r="AM201" s="156">
        <f t="shared" si="49"/>
        <v>0</v>
      </c>
      <c r="AN201" s="156">
        <f t="shared" si="49"/>
        <v>0</v>
      </c>
      <c r="AO201" s="156">
        <f t="shared" si="49"/>
        <v>0</v>
      </c>
      <c r="AP201" s="156">
        <f t="shared" si="49"/>
        <v>0</v>
      </c>
      <c r="AQ201" s="156">
        <f t="shared" si="49"/>
        <v>0</v>
      </c>
      <c r="AR201" s="156">
        <f t="shared" si="49"/>
        <v>0</v>
      </c>
      <c r="AS201" s="156">
        <f t="shared" si="49"/>
        <v>0</v>
      </c>
      <c r="AT201" s="156">
        <f t="shared" si="49"/>
        <v>0</v>
      </c>
      <c r="AU201" s="156">
        <f t="shared" si="49"/>
        <v>0</v>
      </c>
      <c r="AV201" s="156">
        <f t="shared" si="49"/>
        <v>0</v>
      </c>
      <c r="AW201" s="156">
        <f t="shared" si="49"/>
        <v>0</v>
      </c>
      <c r="AX201" s="156">
        <f t="shared" si="49"/>
        <v>0</v>
      </c>
      <c r="AY201" s="156">
        <f t="shared" si="49"/>
        <v>0</v>
      </c>
      <c r="AZ201" s="156">
        <f t="shared" si="49"/>
        <v>0</v>
      </c>
      <c r="BA201" s="156">
        <f t="shared" si="49"/>
        <v>0</v>
      </c>
      <c r="BB201" s="156">
        <f t="shared" si="49"/>
        <v>0</v>
      </c>
      <c r="BC201" s="156">
        <f t="shared" si="49"/>
        <v>0</v>
      </c>
      <c r="BD201" s="156">
        <f t="shared" si="49"/>
        <v>0</v>
      </c>
      <c r="BE201" s="156">
        <f t="shared" si="49"/>
        <v>0</v>
      </c>
      <c r="BF201" s="156">
        <f t="shared" si="49"/>
        <v>0</v>
      </c>
      <c r="BG201" s="156"/>
      <c r="BH201" s="156"/>
      <c r="BI201" s="156"/>
      <c r="BJ201" s="156"/>
      <c r="BK201" s="156"/>
      <c r="BL201" s="156"/>
    </row>
    <row r="202" spans="3:64" hidden="1" x14ac:dyDescent="0.15">
      <c r="C202" s="288" t="s">
        <v>430</v>
      </c>
      <c r="E202" s="161" t="e">
        <v>#REF!</v>
      </c>
      <c r="F202" s="161" t="e">
        <v>#REF!</v>
      </c>
      <c r="G202" s="161" t="e">
        <v>#REF!</v>
      </c>
      <c r="H202" s="161" t="e">
        <v>#REF!</v>
      </c>
      <c r="I202" s="161" t="e">
        <v>#REF!</v>
      </c>
      <c r="J202" s="161" t="e">
        <v>#REF!</v>
      </c>
      <c r="K202" s="161" t="e">
        <v>#REF!</v>
      </c>
      <c r="L202" s="161" t="e">
        <v>#REF!</v>
      </c>
      <c r="M202" s="161" t="e">
        <v>#REF!</v>
      </c>
      <c r="N202" s="161" t="e">
        <v>#REF!</v>
      </c>
      <c r="O202" s="161" t="e">
        <v>#REF!</v>
      </c>
      <c r="P202" s="161" t="e">
        <v>#REF!</v>
      </c>
      <c r="Q202" s="161" t="e">
        <v>#REF!</v>
      </c>
      <c r="R202" s="161" t="e">
        <v>#REF!</v>
      </c>
      <c r="S202" s="161" t="e">
        <v>#REF!</v>
      </c>
      <c r="T202" s="161" t="e">
        <v>#REF!</v>
      </c>
      <c r="U202" s="161" t="e">
        <v>#REF!</v>
      </c>
      <c r="V202" s="161" t="e">
        <v>#REF!</v>
      </c>
      <c r="W202" s="161" t="e">
        <v>#REF!</v>
      </c>
      <c r="X202" s="161" t="e">
        <v>#REF!</v>
      </c>
      <c r="Y202" s="161" t="e">
        <v>#REF!</v>
      </c>
      <c r="Z202" s="161" t="e">
        <v>#REF!</v>
      </c>
      <c r="AA202" s="161" t="e">
        <v>#REF!</v>
      </c>
      <c r="AB202" s="161" t="e">
        <v>#REF!</v>
      </c>
      <c r="AC202" s="161" t="e">
        <v>#REF!</v>
      </c>
      <c r="AD202" s="161" t="e">
        <v>#REF!</v>
      </c>
      <c r="AE202" s="161" t="e">
        <v>#REF!</v>
      </c>
      <c r="AF202" s="161" t="e">
        <v>#REF!</v>
      </c>
      <c r="AG202" s="161" t="e">
        <v>#REF!</v>
      </c>
      <c r="AH202" s="161" t="e">
        <v>#REF!</v>
      </c>
      <c r="AI202" s="161" t="e">
        <v>#REF!</v>
      </c>
      <c r="AJ202" s="161" t="e">
        <v>#REF!</v>
      </c>
      <c r="AK202" s="161" t="e">
        <v>#REF!</v>
      </c>
      <c r="AL202" s="161" t="e">
        <v>#REF!</v>
      </c>
      <c r="AM202" s="161" t="e">
        <v>#REF!</v>
      </c>
      <c r="AN202" s="161" t="e">
        <v>#REF!</v>
      </c>
      <c r="AO202" s="161" t="e">
        <v>#REF!</v>
      </c>
      <c r="AP202" s="161" t="e">
        <v>#REF!</v>
      </c>
      <c r="AQ202" s="161" t="e">
        <v>#REF!</v>
      </c>
      <c r="AR202" s="161" t="e">
        <v>#REF!</v>
      </c>
      <c r="AS202" s="161" t="e">
        <v>#REF!</v>
      </c>
      <c r="AT202" s="161" t="e">
        <v>#REF!</v>
      </c>
      <c r="AU202" s="161" t="e">
        <v>#REF!</v>
      </c>
      <c r="AV202" s="161" t="e">
        <v>#REF!</v>
      </c>
      <c r="AW202" s="161" t="e">
        <v>#REF!</v>
      </c>
      <c r="AX202" s="161" t="e">
        <v>#REF!</v>
      </c>
      <c r="AY202" s="161" t="e">
        <v>#REF!</v>
      </c>
      <c r="AZ202" s="161" t="e">
        <v>#REF!</v>
      </c>
      <c r="BA202" s="161" t="e">
        <v>#REF!</v>
      </c>
      <c r="BB202" s="161" t="e">
        <v>#REF!</v>
      </c>
      <c r="BC202" s="161" t="e">
        <v>#REF!</v>
      </c>
      <c r="BD202" s="161" t="e">
        <v>#REF!</v>
      </c>
      <c r="BE202" s="161" t="e">
        <v>#REF!</v>
      </c>
      <c r="BF202" s="161" t="e">
        <v>#REF!</v>
      </c>
      <c r="BG202" s="161"/>
      <c r="BH202" s="161"/>
      <c r="BI202" s="161"/>
      <c r="BJ202" s="161"/>
      <c r="BK202" s="161"/>
      <c r="BL202" s="161"/>
    </row>
    <row r="203" spans="3:64" hidden="1" x14ac:dyDescent="0.15">
      <c r="C203" s="288" t="s">
        <v>431</v>
      </c>
      <c r="E203" s="161" t="e">
        <v>#REF!</v>
      </c>
      <c r="F203" s="161" t="e">
        <v>#REF!</v>
      </c>
      <c r="G203" s="161" t="e">
        <v>#REF!</v>
      </c>
      <c r="H203" s="161" t="e">
        <v>#REF!</v>
      </c>
      <c r="I203" s="161" t="e">
        <v>#REF!</v>
      </c>
      <c r="J203" s="161" t="e">
        <v>#REF!</v>
      </c>
      <c r="K203" s="161" t="e">
        <v>#REF!</v>
      </c>
      <c r="L203" s="161" t="e">
        <v>#REF!</v>
      </c>
      <c r="M203" s="161" t="e">
        <v>#REF!</v>
      </c>
      <c r="N203" s="161" t="e">
        <v>#REF!</v>
      </c>
      <c r="O203" s="161" t="e">
        <v>#REF!</v>
      </c>
      <c r="P203" s="161" t="e">
        <v>#REF!</v>
      </c>
      <c r="Q203" s="161" t="e">
        <v>#REF!</v>
      </c>
      <c r="R203" s="161" t="e">
        <v>#REF!</v>
      </c>
      <c r="S203" s="161" t="e">
        <v>#REF!</v>
      </c>
      <c r="T203" s="161" t="e">
        <v>#REF!</v>
      </c>
      <c r="U203" s="161" t="e">
        <v>#REF!</v>
      </c>
      <c r="V203" s="161" t="e">
        <v>#REF!</v>
      </c>
      <c r="W203" s="161" t="e">
        <v>#REF!</v>
      </c>
      <c r="X203" s="161" t="e">
        <v>#REF!</v>
      </c>
      <c r="Y203" s="161" t="e">
        <v>#REF!</v>
      </c>
      <c r="Z203" s="161" t="e">
        <v>#REF!</v>
      </c>
      <c r="AA203" s="161" t="e">
        <v>#REF!</v>
      </c>
      <c r="AB203" s="161" t="e">
        <v>#REF!</v>
      </c>
      <c r="AC203" s="161" t="e">
        <v>#REF!</v>
      </c>
      <c r="AD203" s="161" t="e">
        <v>#REF!</v>
      </c>
      <c r="AE203" s="161" t="e">
        <v>#REF!</v>
      </c>
      <c r="AF203" s="161" t="e">
        <v>#REF!</v>
      </c>
      <c r="AG203" s="161" t="e">
        <v>#REF!</v>
      </c>
      <c r="AH203" s="161" t="e">
        <v>#REF!</v>
      </c>
      <c r="AI203" s="161" t="e">
        <v>#REF!</v>
      </c>
      <c r="AJ203" s="161" t="e">
        <v>#REF!</v>
      </c>
      <c r="AK203" s="161" t="e">
        <v>#REF!</v>
      </c>
      <c r="AL203" s="161" t="e">
        <v>#REF!</v>
      </c>
      <c r="AM203" s="161" t="e">
        <v>#REF!</v>
      </c>
      <c r="AN203" s="161" t="e">
        <v>#REF!</v>
      </c>
      <c r="AO203" s="161" t="e">
        <v>#REF!</v>
      </c>
      <c r="AP203" s="161" t="e">
        <v>#REF!</v>
      </c>
      <c r="AQ203" s="161" t="e">
        <v>#REF!</v>
      </c>
      <c r="AR203" s="161" t="e">
        <v>#REF!</v>
      </c>
      <c r="AS203" s="161" t="e">
        <v>#REF!</v>
      </c>
      <c r="AT203" s="161" t="e">
        <v>#REF!</v>
      </c>
      <c r="AU203" s="161" t="e">
        <v>#REF!</v>
      </c>
      <c r="AV203" s="161" t="e">
        <v>#REF!</v>
      </c>
      <c r="AW203" s="161" t="e">
        <v>#REF!</v>
      </c>
      <c r="AX203" s="161" t="e">
        <v>#REF!</v>
      </c>
      <c r="AY203" s="161" t="e">
        <v>#REF!</v>
      </c>
      <c r="AZ203" s="161" t="e">
        <v>#REF!</v>
      </c>
      <c r="BA203" s="161" t="e">
        <v>#REF!</v>
      </c>
      <c r="BB203" s="161" t="e">
        <v>#REF!</v>
      </c>
      <c r="BC203" s="161" t="e">
        <v>#REF!</v>
      </c>
      <c r="BD203" s="161" t="e">
        <v>#REF!</v>
      </c>
      <c r="BE203" s="161" t="e">
        <v>#REF!</v>
      </c>
      <c r="BF203" s="161" t="e">
        <v>#REF!</v>
      </c>
      <c r="BG203" s="161"/>
      <c r="BH203" s="161"/>
      <c r="BI203" s="161"/>
      <c r="BJ203" s="161"/>
      <c r="BK203" s="161"/>
      <c r="BL203" s="161"/>
    </row>
    <row r="204" spans="3:64" hidden="1" x14ac:dyDescent="0.15">
      <c r="C204" s="288" t="s">
        <v>432</v>
      </c>
      <c r="E204" s="161" t="e">
        <v>#REF!</v>
      </c>
      <c r="F204" s="161" t="e">
        <v>#REF!</v>
      </c>
      <c r="G204" s="161" t="e">
        <v>#REF!</v>
      </c>
      <c r="H204" s="161" t="e">
        <v>#REF!</v>
      </c>
      <c r="I204" s="161" t="e">
        <v>#REF!</v>
      </c>
      <c r="J204" s="161" t="e">
        <v>#REF!</v>
      </c>
      <c r="K204" s="161" t="e">
        <v>#REF!</v>
      </c>
      <c r="L204" s="161" t="e">
        <v>#REF!</v>
      </c>
      <c r="M204" s="161" t="e">
        <v>#REF!</v>
      </c>
      <c r="N204" s="161" t="e">
        <v>#REF!</v>
      </c>
      <c r="O204" s="161" t="e">
        <v>#REF!</v>
      </c>
      <c r="P204" s="161" t="e">
        <v>#REF!</v>
      </c>
      <c r="Q204" s="161" t="e">
        <v>#REF!</v>
      </c>
      <c r="R204" s="161" t="e">
        <v>#REF!</v>
      </c>
      <c r="S204" s="161" t="e">
        <v>#REF!</v>
      </c>
      <c r="T204" s="161" t="e">
        <v>#REF!</v>
      </c>
      <c r="U204" s="161" t="e">
        <v>#REF!</v>
      </c>
      <c r="V204" s="161" t="e">
        <v>#REF!</v>
      </c>
      <c r="W204" s="161" t="e">
        <v>#REF!</v>
      </c>
      <c r="X204" s="161" t="e">
        <v>#REF!</v>
      </c>
      <c r="Y204" s="161" t="e">
        <v>#REF!</v>
      </c>
      <c r="Z204" s="161" t="e">
        <v>#REF!</v>
      </c>
      <c r="AA204" s="161" t="e">
        <v>#REF!</v>
      </c>
      <c r="AB204" s="161" t="e">
        <v>#REF!</v>
      </c>
      <c r="AC204" s="161" t="e">
        <v>#REF!</v>
      </c>
      <c r="AD204" s="161" t="e">
        <v>#REF!</v>
      </c>
      <c r="AE204" s="161" t="e">
        <v>#REF!</v>
      </c>
      <c r="AF204" s="161" t="e">
        <v>#REF!</v>
      </c>
      <c r="AG204" s="161" t="e">
        <v>#REF!</v>
      </c>
      <c r="AH204" s="161" t="e">
        <v>#REF!</v>
      </c>
      <c r="AI204" s="161" t="e">
        <v>#REF!</v>
      </c>
      <c r="AJ204" s="161" t="e">
        <v>#REF!</v>
      </c>
      <c r="AK204" s="161" t="e">
        <v>#REF!</v>
      </c>
      <c r="AL204" s="161" t="e">
        <v>#REF!</v>
      </c>
      <c r="AM204" s="161" t="e">
        <v>#REF!</v>
      </c>
      <c r="AN204" s="161" t="e">
        <v>#REF!</v>
      </c>
      <c r="AO204" s="161" t="e">
        <v>#REF!</v>
      </c>
      <c r="AP204" s="161" t="e">
        <v>#REF!</v>
      </c>
      <c r="AQ204" s="161" t="e">
        <v>#REF!</v>
      </c>
      <c r="AR204" s="161" t="e">
        <v>#REF!</v>
      </c>
      <c r="AS204" s="161" t="e">
        <v>#REF!</v>
      </c>
      <c r="AT204" s="161" t="e">
        <v>#REF!</v>
      </c>
      <c r="AU204" s="161" t="e">
        <v>#REF!</v>
      </c>
      <c r="AV204" s="161" t="e">
        <v>#REF!</v>
      </c>
      <c r="AW204" s="161" t="e">
        <v>#REF!</v>
      </c>
      <c r="AX204" s="161" t="e">
        <v>#REF!</v>
      </c>
      <c r="AY204" s="161" t="e">
        <v>#REF!</v>
      </c>
      <c r="AZ204" s="161" t="e">
        <v>#REF!</v>
      </c>
      <c r="BA204" s="161" t="e">
        <v>#REF!</v>
      </c>
      <c r="BB204" s="161" t="e">
        <v>#REF!</v>
      </c>
      <c r="BC204" s="161" t="e">
        <v>#REF!</v>
      </c>
      <c r="BD204" s="161" t="e">
        <v>#REF!</v>
      </c>
      <c r="BE204" s="161" t="e">
        <v>#REF!</v>
      </c>
      <c r="BF204" s="161" t="e">
        <v>#REF!</v>
      </c>
      <c r="BG204" s="161"/>
      <c r="BH204" s="161"/>
      <c r="BI204" s="161"/>
      <c r="BJ204" s="161"/>
      <c r="BK204" s="161"/>
      <c r="BL204" s="161"/>
    </row>
    <row r="205" spans="3:64" hidden="1" x14ac:dyDescent="0.15">
      <c r="C205" s="288" t="s">
        <v>433</v>
      </c>
      <c r="E205" s="161" t="e">
        <f t="shared" ref="E205:BF205" si="50">SUM(E201:E204)</f>
        <v>#REF!</v>
      </c>
      <c r="F205" s="161" t="e">
        <f t="shared" si="50"/>
        <v>#REF!</v>
      </c>
      <c r="G205" s="161" t="e">
        <f t="shared" si="50"/>
        <v>#REF!</v>
      </c>
      <c r="H205" s="161" t="e">
        <f t="shared" si="50"/>
        <v>#REF!</v>
      </c>
      <c r="I205" s="161" t="e">
        <f t="shared" si="50"/>
        <v>#REF!</v>
      </c>
      <c r="J205" s="161" t="e">
        <f t="shared" si="50"/>
        <v>#REF!</v>
      </c>
      <c r="K205" s="161" t="e">
        <f t="shared" si="50"/>
        <v>#REF!</v>
      </c>
      <c r="L205" s="161" t="e">
        <f t="shared" si="50"/>
        <v>#REF!</v>
      </c>
      <c r="M205" s="161" t="e">
        <f t="shared" si="50"/>
        <v>#REF!</v>
      </c>
      <c r="N205" s="161" t="e">
        <f t="shared" si="50"/>
        <v>#REF!</v>
      </c>
      <c r="O205" s="161" t="e">
        <f t="shared" si="50"/>
        <v>#REF!</v>
      </c>
      <c r="P205" s="161" t="e">
        <f t="shared" si="50"/>
        <v>#REF!</v>
      </c>
      <c r="Q205" s="161" t="e">
        <f t="shared" si="50"/>
        <v>#REF!</v>
      </c>
      <c r="R205" s="161" t="e">
        <f t="shared" si="50"/>
        <v>#REF!</v>
      </c>
      <c r="S205" s="161" t="e">
        <f t="shared" si="50"/>
        <v>#REF!</v>
      </c>
      <c r="T205" s="161" t="e">
        <f t="shared" si="50"/>
        <v>#REF!</v>
      </c>
      <c r="U205" s="161" t="e">
        <f t="shared" si="50"/>
        <v>#REF!</v>
      </c>
      <c r="V205" s="161" t="e">
        <f t="shared" si="50"/>
        <v>#REF!</v>
      </c>
      <c r="W205" s="161" t="e">
        <f t="shared" si="50"/>
        <v>#REF!</v>
      </c>
      <c r="X205" s="161" t="e">
        <f t="shared" si="50"/>
        <v>#REF!</v>
      </c>
      <c r="Y205" s="161" t="e">
        <f t="shared" si="50"/>
        <v>#REF!</v>
      </c>
      <c r="Z205" s="161" t="e">
        <f t="shared" si="50"/>
        <v>#REF!</v>
      </c>
      <c r="AA205" s="161" t="e">
        <f t="shared" si="50"/>
        <v>#REF!</v>
      </c>
      <c r="AB205" s="161" t="e">
        <f t="shared" si="50"/>
        <v>#REF!</v>
      </c>
      <c r="AC205" s="161" t="e">
        <f t="shared" si="50"/>
        <v>#REF!</v>
      </c>
      <c r="AD205" s="161" t="e">
        <f t="shared" si="50"/>
        <v>#REF!</v>
      </c>
      <c r="AE205" s="161" t="e">
        <f t="shared" si="50"/>
        <v>#REF!</v>
      </c>
      <c r="AF205" s="161" t="e">
        <f t="shared" si="50"/>
        <v>#REF!</v>
      </c>
      <c r="AG205" s="161" t="e">
        <f t="shared" si="50"/>
        <v>#REF!</v>
      </c>
      <c r="AH205" s="161" t="e">
        <f t="shared" si="50"/>
        <v>#REF!</v>
      </c>
      <c r="AI205" s="161" t="e">
        <f t="shared" si="50"/>
        <v>#REF!</v>
      </c>
      <c r="AJ205" s="161" t="e">
        <f t="shared" si="50"/>
        <v>#REF!</v>
      </c>
      <c r="AK205" s="161" t="e">
        <f t="shared" si="50"/>
        <v>#REF!</v>
      </c>
      <c r="AL205" s="161" t="e">
        <f t="shared" si="50"/>
        <v>#REF!</v>
      </c>
      <c r="AM205" s="161" t="e">
        <f t="shared" si="50"/>
        <v>#REF!</v>
      </c>
      <c r="AN205" s="161" t="e">
        <f t="shared" si="50"/>
        <v>#REF!</v>
      </c>
      <c r="AO205" s="161" t="e">
        <f t="shared" si="50"/>
        <v>#REF!</v>
      </c>
      <c r="AP205" s="161" t="e">
        <f t="shared" si="50"/>
        <v>#REF!</v>
      </c>
      <c r="AQ205" s="161" t="e">
        <f t="shared" si="50"/>
        <v>#REF!</v>
      </c>
      <c r="AR205" s="161" t="e">
        <f t="shared" si="50"/>
        <v>#REF!</v>
      </c>
      <c r="AS205" s="161" t="e">
        <f t="shared" si="50"/>
        <v>#REF!</v>
      </c>
      <c r="AT205" s="161" t="e">
        <f t="shared" si="50"/>
        <v>#REF!</v>
      </c>
      <c r="AU205" s="161" t="e">
        <f t="shared" si="50"/>
        <v>#REF!</v>
      </c>
      <c r="AV205" s="161" t="e">
        <f t="shared" si="50"/>
        <v>#REF!</v>
      </c>
      <c r="AW205" s="161" t="e">
        <f t="shared" si="50"/>
        <v>#REF!</v>
      </c>
      <c r="AX205" s="161" t="e">
        <f t="shared" si="50"/>
        <v>#REF!</v>
      </c>
      <c r="AY205" s="161" t="e">
        <f t="shared" si="50"/>
        <v>#REF!</v>
      </c>
      <c r="AZ205" s="161" t="e">
        <f t="shared" si="50"/>
        <v>#REF!</v>
      </c>
      <c r="BA205" s="161" t="e">
        <f t="shared" si="50"/>
        <v>#REF!</v>
      </c>
      <c r="BB205" s="161" t="e">
        <f t="shared" si="50"/>
        <v>#REF!</v>
      </c>
      <c r="BC205" s="161" t="e">
        <f t="shared" si="50"/>
        <v>#REF!</v>
      </c>
      <c r="BD205" s="161" t="e">
        <f t="shared" si="50"/>
        <v>#REF!</v>
      </c>
      <c r="BE205" s="161" t="e">
        <f t="shared" si="50"/>
        <v>#REF!</v>
      </c>
      <c r="BF205" s="161" t="e">
        <f t="shared" si="50"/>
        <v>#REF!</v>
      </c>
      <c r="BG205" s="161"/>
      <c r="BH205" s="161"/>
      <c r="BI205" s="161"/>
      <c r="BJ205" s="161"/>
      <c r="BK205" s="161"/>
      <c r="BL205" s="161"/>
    </row>
    <row r="206" spans="3:64" hidden="1" x14ac:dyDescent="0.15">
      <c r="C206" s="288" t="s">
        <v>435</v>
      </c>
      <c r="E206" s="156" t="e">
        <f>E205+E197-#REF!</f>
        <v>#REF!</v>
      </c>
      <c r="F206" s="156" t="e">
        <f>F205+F197-#REF!</f>
        <v>#REF!</v>
      </c>
      <c r="G206" s="156" t="e">
        <f>G205+G197-#REF!</f>
        <v>#REF!</v>
      </c>
      <c r="H206" s="156" t="e">
        <f>H205+H197-#REF!</f>
        <v>#REF!</v>
      </c>
      <c r="I206" s="156" t="e">
        <f>I205+I197-#REF!</f>
        <v>#REF!</v>
      </c>
      <c r="J206" s="156" t="e">
        <f>J205+J197-#REF!</f>
        <v>#REF!</v>
      </c>
      <c r="K206" s="156" t="e">
        <f>K205+K197-#REF!</f>
        <v>#REF!</v>
      </c>
      <c r="L206" s="156" t="e">
        <f>L205+L197-#REF!</f>
        <v>#REF!</v>
      </c>
      <c r="M206" s="156" t="e">
        <f>M205+M197-#REF!</f>
        <v>#REF!</v>
      </c>
      <c r="N206" s="156" t="e">
        <f>N205+N197-#REF!</f>
        <v>#REF!</v>
      </c>
      <c r="O206" s="156" t="e">
        <f>O205+O197-#REF!</f>
        <v>#REF!</v>
      </c>
      <c r="P206" s="156" t="e">
        <f>P205+P197-#REF!</f>
        <v>#REF!</v>
      </c>
      <c r="Q206" s="156" t="e">
        <f>Q205+Q197-#REF!</f>
        <v>#REF!</v>
      </c>
      <c r="R206" s="156" t="e">
        <f>R205+R197-#REF!</f>
        <v>#REF!</v>
      </c>
      <c r="S206" s="156" t="e">
        <f>S205+S197-#REF!</f>
        <v>#REF!</v>
      </c>
      <c r="T206" s="156" t="e">
        <f>T205+T197-#REF!</f>
        <v>#REF!</v>
      </c>
      <c r="U206" s="156" t="e">
        <f>U205+U197-#REF!</f>
        <v>#REF!</v>
      </c>
      <c r="V206" s="156" t="e">
        <f>V205+V197-#REF!</f>
        <v>#REF!</v>
      </c>
      <c r="W206" s="156" t="e">
        <f>W205+W197-#REF!</f>
        <v>#REF!</v>
      </c>
      <c r="X206" s="156" t="e">
        <f>X205+X197-#REF!</f>
        <v>#REF!</v>
      </c>
      <c r="Y206" s="156" t="e">
        <f>Y205+Y197-#REF!</f>
        <v>#REF!</v>
      </c>
      <c r="Z206" s="156" t="e">
        <f>Z205+Z197-#REF!</f>
        <v>#REF!</v>
      </c>
      <c r="AA206" s="156" t="e">
        <f>AA205+AA197-#REF!</f>
        <v>#REF!</v>
      </c>
      <c r="AB206" s="156" t="e">
        <f>AB205+AB197-#REF!</f>
        <v>#REF!</v>
      </c>
      <c r="AC206" s="156" t="e">
        <f>AC205+AC197-#REF!</f>
        <v>#REF!</v>
      </c>
      <c r="AD206" s="156" t="e">
        <f>AD205+AD197-#REF!</f>
        <v>#REF!</v>
      </c>
      <c r="AE206" s="156" t="e">
        <f>AE205+AE197-#REF!</f>
        <v>#REF!</v>
      </c>
      <c r="AF206" s="156" t="e">
        <f>AF205+AF197-#REF!</f>
        <v>#REF!</v>
      </c>
      <c r="AG206" s="156" t="e">
        <f>AG205+AG197-#REF!</f>
        <v>#REF!</v>
      </c>
      <c r="AH206" s="156" t="e">
        <f>AH205+AH197-#REF!</f>
        <v>#REF!</v>
      </c>
      <c r="AI206" s="156" t="e">
        <f>AI205+AI197-#REF!</f>
        <v>#REF!</v>
      </c>
      <c r="AJ206" s="156" t="e">
        <f>AJ205+AJ197-#REF!</f>
        <v>#REF!</v>
      </c>
      <c r="AK206" s="156" t="e">
        <f>AK205+AK197-#REF!</f>
        <v>#REF!</v>
      </c>
      <c r="AL206" s="156" t="e">
        <f>AL205+AL197-#REF!</f>
        <v>#REF!</v>
      </c>
      <c r="AM206" s="156" t="e">
        <f>AM205+AM197-#REF!</f>
        <v>#REF!</v>
      </c>
      <c r="AN206" s="156" t="e">
        <f>AN205+AN197-#REF!</f>
        <v>#REF!</v>
      </c>
      <c r="AO206" s="156" t="e">
        <f>AO205+AO197-#REF!</f>
        <v>#REF!</v>
      </c>
      <c r="AP206" s="156" t="e">
        <f>AP205+AP197-#REF!</f>
        <v>#REF!</v>
      </c>
      <c r="AQ206" s="156" t="e">
        <f>AQ205+AQ197-#REF!</f>
        <v>#REF!</v>
      </c>
      <c r="AR206" s="156" t="e">
        <f>AR205+AR197-#REF!</f>
        <v>#REF!</v>
      </c>
      <c r="AS206" s="156" t="e">
        <f>AS205+AS197-#REF!</f>
        <v>#REF!</v>
      </c>
      <c r="AT206" s="156" t="e">
        <f>AT205+AT197-#REF!</f>
        <v>#REF!</v>
      </c>
      <c r="AU206" s="156" t="e">
        <f>AU205+AU197-#REF!</f>
        <v>#REF!</v>
      </c>
      <c r="AV206" s="156" t="e">
        <f>AV205+AV197-#REF!</f>
        <v>#REF!</v>
      </c>
      <c r="AW206" s="156" t="e">
        <f>AW205+AW197-#REF!</f>
        <v>#REF!</v>
      </c>
      <c r="AX206" s="156" t="e">
        <f>AX205+AX197-#REF!</f>
        <v>#REF!</v>
      </c>
      <c r="AY206" s="156" t="e">
        <f>AY205+AY197-#REF!</f>
        <v>#REF!</v>
      </c>
      <c r="AZ206" s="156" t="e">
        <f>AZ205+AZ197-#REF!</f>
        <v>#REF!</v>
      </c>
      <c r="BA206" s="156" t="e">
        <f>BA205+BA197-#REF!</f>
        <v>#REF!</v>
      </c>
      <c r="BB206" s="156" t="e">
        <f>BB205+BB197-#REF!</f>
        <v>#REF!</v>
      </c>
      <c r="BC206" s="156" t="e">
        <f>BC205+BC197-#REF!</f>
        <v>#REF!</v>
      </c>
      <c r="BD206" s="156" t="e">
        <f>BD205+BD197-#REF!</f>
        <v>#REF!</v>
      </c>
      <c r="BE206" s="156" t="e">
        <f>BE205+BE197-#REF!</f>
        <v>#REF!</v>
      </c>
      <c r="BF206" s="156" t="e">
        <f>BF205+BF197-#REF!</f>
        <v>#REF!</v>
      </c>
      <c r="BG206" s="156"/>
      <c r="BH206" s="156"/>
      <c r="BI206" s="156"/>
      <c r="BJ206" s="156"/>
      <c r="BK206" s="156"/>
      <c r="BL206" s="156"/>
    </row>
    <row r="207" spans="3:64" hidden="1" x14ac:dyDescent="0.15"/>
    <row r="208" spans="3:64" hidden="1" x14ac:dyDescent="0.15">
      <c r="C208" s="163" t="s">
        <v>428</v>
      </c>
    </row>
    <row r="209" spans="3:64" hidden="1" x14ac:dyDescent="0.15">
      <c r="C209" s="288" t="s">
        <v>436</v>
      </c>
      <c r="D209" s="161"/>
      <c r="E209" s="161">
        <f t="shared" ref="E209:BF209" si="51">D210</f>
        <v>0</v>
      </c>
      <c r="F209" s="161">
        <f t="shared" si="51"/>
        <v>0</v>
      </c>
      <c r="G209" s="161">
        <f t="shared" si="51"/>
        <v>0</v>
      </c>
      <c r="H209" s="161">
        <f t="shared" si="51"/>
        <v>0</v>
      </c>
      <c r="I209" s="161">
        <f t="shared" si="51"/>
        <v>0</v>
      </c>
      <c r="J209" s="161">
        <f t="shared" si="51"/>
        <v>0</v>
      </c>
      <c r="K209" s="161">
        <f t="shared" si="51"/>
        <v>0</v>
      </c>
      <c r="L209" s="161">
        <f t="shared" si="51"/>
        <v>0</v>
      </c>
      <c r="M209" s="161">
        <f t="shared" si="51"/>
        <v>0</v>
      </c>
      <c r="N209" s="161">
        <f t="shared" si="51"/>
        <v>0</v>
      </c>
      <c r="O209" s="161">
        <f t="shared" si="51"/>
        <v>0</v>
      </c>
      <c r="P209" s="161">
        <f t="shared" si="51"/>
        <v>0</v>
      </c>
      <c r="Q209" s="161">
        <f t="shared" si="51"/>
        <v>0</v>
      </c>
      <c r="R209" s="161">
        <f t="shared" si="51"/>
        <v>0</v>
      </c>
      <c r="S209" s="161">
        <f t="shared" si="51"/>
        <v>0</v>
      </c>
      <c r="T209" s="161">
        <f t="shared" si="51"/>
        <v>0</v>
      </c>
      <c r="U209" s="161">
        <f t="shared" si="51"/>
        <v>0</v>
      </c>
      <c r="V209" s="161">
        <f t="shared" si="51"/>
        <v>0</v>
      </c>
      <c r="W209" s="161">
        <f t="shared" si="51"/>
        <v>0</v>
      </c>
      <c r="X209" s="161">
        <f t="shared" si="51"/>
        <v>0</v>
      </c>
      <c r="Y209" s="161">
        <f t="shared" si="51"/>
        <v>0</v>
      </c>
      <c r="Z209" s="161">
        <f t="shared" si="51"/>
        <v>0</v>
      </c>
      <c r="AA209" s="161">
        <f t="shared" si="51"/>
        <v>0</v>
      </c>
      <c r="AB209" s="161">
        <f t="shared" si="51"/>
        <v>0</v>
      </c>
      <c r="AC209" s="161">
        <f t="shared" si="51"/>
        <v>0</v>
      </c>
      <c r="AD209" s="161">
        <f t="shared" si="51"/>
        <v>0</v>
      </c>
      <c r="AE209" s="161">
        <f t="shared" si="51"/>
        <v>0</v>
      </c>
      <c r="AF209" s="161">
        <f t="shared" si="51"/>
        <v>0</v>
      </c>
      <c r="AG209" s="161">
        <f t="shared" si="51"/>
        <v>0</v>
      </c>
      <c r="AH209" s="161">
        <f t="shared" si="51"/>
        <v>0</v>
      </c>
      <c r="AI209" s="161">
        <f t="shared" si="51"/>
        <v>0</v>
      </c>
      <c r="AJ209" s="161">
        <f t="shared" si="51"/>
        <v>0</v>
      </c>
      <c r="AK209" s="161">
        <f t="shared" si="51"/>
        <v>0</v>
      </c>
      <c r="AL209" s="161">
        <f t="shared" si="51"/>
        <v>0</v>
      </c>
      <c r="AM209" s="161">
        <f t="shared" si="51"/>
        <v>0</v>
      </c>
      <c r="AN209" s="161">
        <f t="shared" si="51"/>
        <v>0</v>
      </c>
      <c r="AO209" s="161">
        <f t="shared" si="51"/>
        <v>0</v>
      </c>
      <c r="AP209" s="161">
        <f t="shared" si="51"/>
        <v>0</v>
      </c>
      <c r="AQ209" s="161">
        <f t="shared" si="51"/>
        <v>0</v>
      </c>
      <c r="AR209" s="161">
        <f t="shared" si="51"/>
        <v>0</v>
      </c>
      <c r="AS209" s="161">
        <f t="shared" si="51"/>
        <v>0</v>
      </c>
      <c r="AT209" s="161">
        <f t="shared" si="51"/>
        <v>0</v>
      </c>
      <c r="AU209" s="161">
        <f t="shared" si="51"/>
        <v>0</v>
      </c>
      <c r="AV209" s="161">
        <f t="shared" si="51"/>
        <v>0</v>
      </c>
      <c r="AW209" s="161">
        <f t="shared" si="51"/>
        <v>0</v>
      </c>
      <c r="AX209" s="161">
        <f t="shared" si="51"/>
        <v>0</v>
      </c>
      <c r="AY209" s="161">
        <f t="shared" si="51"/>
        <v>0</v>
      </c>
      <c r="AZ209" s="161">
        <f t="shared" si="51"/>
        <v>0</v>
      </c>
      <c r="BA209" s="161">
        <f t="shared" si="51"/>
        <v>0</v>
      </c>
      <c r="BB209" s="161">
        <f t="shared" si="51"/>
        <v>0</v>
      </c>
      <c r="BC209" s="161">
        <f t="shared" si="51"/>
        <v>0</v>
      </c>
      <c r="BD209" s="161">
        <f t="shared" si="51"/>
        <v>0</v>
      </c>
      <c r="BE209" s="161">
        <f t="shared" si="51"/>
        <v>0</v>
      </c>
      <c r="BF209" s="161">
        <f t="shared" si="51"/>
        <v>0</v>
      </c>
      <c r="BG209" s="161"/>
      <c r="BH209" s="161"/>
      <c r="BI209" s="161"/>
      <c r="BJ209" s="161"/>
      <c r="BK209" s="161"/>
      <c r="BL209" s="161"/>
    </row>
    <row r="210" spans="3:64" hidden="1" x14ac:dyDescent="0.15">
      <c r="C210" s="288" t="s">
        <v>437</v>
      </c>
      <c r="D210" s="161"/>
      <c r="E210" s="161">
        <f>IFERROR(#REF!*E197/SUM(E197,E205),0)</f>
        <v>0</v>
      </c>
      <c r="F210" s="161">
        <f>IFERROR(#REF!*F197/SUM(F197,F205),0)</f>
        <v>0</v>
      </c>
      <c r="G210" s="161">
        <f>IFERROR(#REF!*G197/SUM(G197,G205),0)</f>
        <v>0</v>
      </c>
      <c r="H210" s="161">
        <f>IFERROR(#REF!*H197/SUM(H197,H205),0)</f>
        <v>0</v>
      </c>
      <c r="I210" s="161">
        <f>IFERROR(#REF!*I197/SUM(I197,I205),0)</f>
        <v>0</v>
      </c>
      <c r="J210" s="161">
        <f>IFERROR(#REF!*J197/SUM(J197,J205),0)</f>
        <v>0</v>
      </c>
      <c r="K210" s="161">
        <f>IFERROR(#REF!*K197/SUM(K197,K205),0)</f>
        <v>0</v>
      </c>
      <c r="L210" s="161">
        <f>IFERROR(#REF!*L197/SUM(L197,L205),0)</f>
        <v>0</v>
      </c>
      <c r="M210" s="161">
        <f>IFERROR(#REF!*M197/SUM(M197,M205),0)</f>
        <v>0</v>
      </c>
      <c r="N210" s="161">
        <f>IFERROR(#REF!*N197/SUM(N197,N205),0)</f>
        <v>0</v>
      </c>
      <c r="O210" s="161">
        <f>IFERROR(#REF!*O197/SUM(O197,O205),0)</f>
        <v>0</v>
      </c>
      <c r="P210" s="161">
        <f>IFERROR(#REF!*P197/SUM(P197,P205),0)</f>
        <v>0</v>
      </c>
      <c r="Q210" s="161">
        <f>IFERROR(#REF!*Q197/SUM(Q197,Q205),0)</f>
        <v>0</v>
      </c>
      <c r="R210" s="161">
        <f>IFERROR(#REF!*R197/SUM(R197,R205),0)</f>
        <v>0</v>
      </c>
      <c r="S210" s="161">
        <f>IFERROR(#REF!*S197/SUM(S197,S205),0)</f>
        <v>0</v>
      </c>
      <c r="T210" s="161">
        <f>IFERROR(#REF!*T197/SUM(T197,T205),0)</f>
        <v>0</v>
      </c>
      <c r="U210" s="161">
        <f>IFERROR(#REF!*U197/SUM(U197,U205),0)</f>
        <v>0</v>
      </c>
      <c r="V210" s="161">
        <f>IFERROR(#REF!*V197/SUM(V197,V205),0)</f>
        <v>0</v>
      </c>
      <c r="W210" s="161">
        <f>IFERROR(#REF!*W197/SUM(W197,W205),0)</f>
        <v>0</v>
      </c>
      <c r="X210" s="161">
        <f>IFERROR(#REF!*X197/SUM(X197,X205),0)</f>
        <v>0</v>
      </c>
      <c r="Y210" s="161">
        <f>IFERROR(#REF!*Y197/SUM(Y197,Y205),0)</f>
        <v>0</v>
      </c>
      <c r="Z210" s="161">
        <f>IFERROR(#REF!*Z197/SUM(Z197,Z205),0)</f>
        <v>0</v>
      </c>
      <c r="AA210" s="161">
        <f>IFERROR(#REF!*AA197/SUM(AA197,AA205),0)</f>
        <v>0</v>
      </c>
      <c r="AB210" s="161">
        <f>IFERROR(#REF!*AB197/SUM(AB197,AB205),0)</f>
        <v>0</v>
      </c>
      <c r="AC210" s="161">
        <f>IFERROR(#REF!*AC197/SUM(AC197,AC205),0)</f>
        <v>0</v>
      </c>
      <c r="AD210" s="161">
        <f>IFERROR(#REF!*AD197/SUM(AD197,AD205),0)</f>
        <v>0</v>
      </c>
      <c r="AE210" s="161">
        <f>IFERROR(#REF!*AE197/SUM(AE197,AE205),0)</f>
        <v>0</v>
      </c>
      <c r="AF210" s="161">
        <f>IFERROR(#REF!*AF197/SUM(AF197,AF205),0)</f>
        <v>0</v>
      </c>
      <c r="AG210" s="161">
        <f>IFERROR(#REF!*AG197/SUM(AG197,AG205),0)</f>
        <v>0</v>
      </c>
      <c r="AH210" s="161">
        <f>IFERROR(#REF!*AH197/SUM(AH197,AH205),0)</f>
        <v>0</v>
      </c>
      <c r="AI210" s="161">
        <f>IFERROR(#REF!*AI197/SUM(AI197,AI205),0)</f>
        <v>0</v>
      </c>
      <c r="AJ210" s="161">
        <f>IFERROR(#REF!*AJ197/SUM(AJ197,AJ205),0)</f>
        <v>0</v>
      </c>
      <c r="AK210" s="161">
        <f>IFERROR(#REF!*AK197/SUM(AK197,AK205),0)</f>
        <v>0</v>
      </c>
      <c r="AL210" s="161">
        <f>IFERROR(#REF!*AL197/SUM(AL197,AL205),0)</f>
        <v>0</v>
      </c>
      <c r="AM210" s="161">
        <f>IFERROR(#REF!*AM197/SUM(AM197,AM205),0)</f>
        <v>0</v>
      </c>
      <c r="AN210" s="161">
        <f>IFERROR(#REF!*AN197/SUM(AN197,AN205),0)</f>
        <v>0</v>
      </c>
      <c r="AO210" s="161">
        <f>IFERROR(#REF!*AO197/SUM(AO197,AO205),0)</f>
        <v>0</v>
      </c>
      <c r="AP210" s="161">
        <f>IFERROR(#REF!*AP197/SUM(AP197,AP205),0)</f>
        <v>0</v>
      </c>
      <c r="AQ210" s="161">
        <f>IFERROR(#REF!*AQ197/SUM(AQ197,AQ205),0)</f>
        <v>0</v>
      </c>
      <c r="AR210" s="161">
        <f>IFERROR(#REF!*AR197/SUM(AR197,AR205),0)</f>
        <v>0</v>
      </c>
      <c r="AS210" s="161">
        <f>IFERROR(#REF!*AS197/SUM(AS197,AS205),0)</f>
        <v>0</v>
      </c>
      <c r="AT210" s="161">
        <f>IFERROR(#REF!*AT197/SUM(AT197,AT205),0)</f>
        <v>0</v>
      </c>
      <c r="AU210" s="161">
        <f>IFERROR(#REF!*AU197/SUM(AU197,AU205),0)</f>
        <v>0</v>
      </c>
      <c r="AV210" s="161">
        <f>IFERROR(#REF!*AV197/SUM(AV197,AV205),0)</f>
        <v>0</v>
      </c>
      <c r="AW210" s="161">
        <f>IFERROR(#REF!*AW197/SUM(AW197,AW205),0)</f>
        <v>0</v>
      </c>
      <c r="AX210" s="161">
        <f>IFERROR(#REF!*AX197/SUM(AX197,AX205),0)</f>
        <v>0</v>
      </c>
      <c r="AY210" s="161">
        <f>IFERROR(#REF!*AY197/SUM(AY197,AY205),0)</f>
        <v>0</v>
      </c>
      <c r="AZ210" s="161">
        <f>IFERROR(#REF!*AZ197/SUM(AZ197,AZ205),0)</f>
        <v>0</v>
      </c>
      <c r="BA210" s="161">
        <f>IFERROR(#REF!*BA197/SUM(BA197,BA205),0)</f>
        <v>0</v>
      </c>
      <c r="BB210" s="161">
        <f>IFERROR(#REF!*BB197/SUM(BB197,BB205),0)</f>
        <v>0</v>
      </c>
      <c r="BC210" s="161">
        <f>IFERROR(#REF!*BC197/SUM(BC197,BC205),0)</f>
        <v>0</v>
      </c>
      <c r="BD210" s="161">
        <f>IFERROR(#REF!*BD197/SUM(BD197,BD205),0)</f>
        <v>0</v>
      </c>
      <c r="BE210" s="161">
        <f>IFERROR(#REF!*BE197/SUM(BE197,BE205),0)</f>
        <v>0</v>
      </c>
      <c r="BF210" s="161">
        <f>IFERROR(#REF!*BF197/SUM(BF197,BF205),0)</f>
        <v>0</v>
      </c>
      <c r="BG210" s="161"/>
      <c r="BH210" s="161"/>
      <c r="BI210" s="161"/>
      <c r="BJ210" s="161"/>
      <c r="BK210" s="161"/>
      <c r="BL210" s="161"/>
    </row>
    <row r="211" spans="3:64" hidden="1" x14ac:dyDescent="0.15"/>
    <row r="212" spans="3:64" hidden="1" x14ac:dyDescent="0.15">
      <c r="C212" s="163" t="s">
        <v>434</v>
      </c>
    </row>
    <row r="213" spans="3:64" hidden="1" x14ac:dyDescent="0.15">
      <c r="C213" s="288" t="s">
        <v>436</v>
      </c>
      <c r="E213" s="161">
        <f t="shared" ref="E213:BF213" si="52">D214</f>
        <v>0</v>
      </c>
      <c r="F213" s="161">
        <f t="shared" si="52"/>
        <v>0</v>
      </c>
      <c r="G213" s="161">
        <f t="shared" si="52"/>
        <v>0</v>
      </c>
      <c r="H213" s="161">
        <f t="shared" si="52"/>
        <v>0</v>
      </c>
      <c r="I213" s="161">
        <f t="shared" si="52"/>
        <v>0</v>
      </c>
      <c r="J213" s="161">
        <f t="shared" si="52"/>
        <v>0</v>
      </c>
      <c r="K213" s="161">
        <f t="shared" si="52"/>
        <v>0</v>
      </c>
      <c r="L213" s="161">
        <f t="shared" si="52"/>
        <v>0</v>
      </c>
      <c r="M213" s="161">
        <f t="shared" si="52"/>
        <v>0</v>
      </c>
      <c r="N213" s="161">
        <f t="shared" si="52"/>
        <v>0</v>
      </c>
      <c r="O213" s="161">
        <f t="shared" si="52"/>
        <v>0</v>
      </c>
      <c r="P213" s="161">
        <f t="shared" si="52"/>
        <v>0</v>
      </c>
      <c r="Q213" s="161">
        <f t="shared" si="52"/>
        <v>0</v>
      </c>
      <c r="R213" s="161">
        <f t="shared" si="52"/>
        <v>0</v>
      </c>
      <c r="S213" s="161">
        <f t="shared" si="52"/>
        <v>0</v>
      </c>
      <c r="T213" s="161">
        <f t="shared" si="52"/>
        <v>0</v>
      </c>
      <c r="U213" s="161">
        <f t="shared" si="52"/>
        <v>0</v>
      </c>
      <c r="V213" s="161">
        <f t="shared" si="52"/>
        <v>0</v>
      </c>
      <c r="W213" s="161">
        <f t="shared" si="52"/>
        <v>0</v>
      </c>
      <c r="X213" s="161">
        <f t="shared" si="52"/>
        <v>0</v>
      </c>
      <c r="Y213" s="161">
        <f t="shared" si="52"/>
        <v>0</v>
      </c>
      <c r="Z213" s="161">
        <f t="shared" si="52"/>
        <v>0</v>
      </c>
      <c r="AA213" s="161">
        <f t="shared" si="52"/>
        <v>0</v>
      </c>
      <c r="AB213" s="161">
        <f t="shared" si="52"/>
        <v>0</v>
      </c>
      <c r="AC213" s="161">
        <f t="shared" si="52"/>
        <v>0</v>
      </c>
      <c r="AD213" s="161">
        <f t="shared" si="52"/>
        <v>0</v>
      </c>
      <c r="AE213" s="161">
        <f t="shared" si="52"/>
        <v>0</v>
      </c>
      <c r="AF213" s="161">
        <f t="shared" si="52"/>
        <v>0</v>
      </c>
      <c r="AG213" s="161">
        <f t="shared" si="52"/>
        <v>0</v>
      </c>
      <c r="AH213" s="161">
        <f t="shared" si="52"/>
        <v>0</v>
      </c>
      <c r="AI213" s="161">
        <f t="shared" si="52"/>
        <v>0</v>
      </c>
      <c r="AJ213" s="161">
        <f t="shared" si="52"/>
        <v>0</v>
      </c>
      <c r="AK213" s="161">
        <f t="shared" si="52"/>
        <v>0</v>
      </c>
      <c r="AL213" s="161">
        <f t="shared" si="52"/>
        <v>0</v>
      </c>
      <c r="AM213" s="161">
        <f t="shared" si="52"/>
        <v>0</v>
      </c>
      <c r="AN213" s="161">
        <f t="shared" si="52"/>
        <v>0</v>
      </c>
      <c r="AO213" s="161">
        <f t="shared" si="52"/>
        <v>0</v>
      </c>
      <c r="AP213" s="161">
        <f t="shared" si="52"/>
        <v>0</v>
      </c>
      <c r="AQ213" s="161">
        <f t="shared" si="52"/>
        <v>0</v>
      </c>
      <c r="AR213" s="161">
        <f t="shared" si="52"/>
        <v>0</v>
      </c>
      <c r="AS213" s="161">
        <f t="shared" si="52"/>
        <v>0</v>
      </c>
      <c r="AT213" s="161">
        <f t="shared" si="52"/>
        <v>0</v>
      </c>
      <c r="AU213" s="161">
        <f t="shared" si="52"/>
        <v>0</v>
      </c>
      <c r="AV213" s="161">
        <f t="shared" si="52"/>
        <v>0</v>
      </c>
      <c r="AW213" s="161">
        <f t="shared" si="52"/>
        <v>0</v>
      </c>
      <c r="AX213" s="161">
        <f t="shared" si="52"/>
        <v>0</v>
      </c>
      <c r="AY213" s="161">
        <f t="shared" si="52"/>
        <v>0</v>
      </c>
      <c r="AZ213" s="161">
        <f t="shared" si="52"/>
        <v>0</v>
      </c>
      <c r="BA213" s="161">
        <f t="shared" si="52"/>
        <v>0</v>
      </c>
      <c r="BB213" s="161">
        <f t="shared" si="52"/>
        <v>0</v>
      </c>
      <c r="BC213" s="161">
        <f t="shared" si="52"/>
        <v>0</v>
      </c>
      <c r="BD213" s="161">
        <f t="shared" si="52"/>
        <v>0</v>
      </c>
      <c r="BE213" s="161">
        <f t="shared" si="52"/>
        <v>0</v>
      </c>
      <c r="BF213" s="161">
        <f t="shared" si="52"/>
        <v>0</v>
      </c>
      <c r="BG213" s="161"/>
      <c r="BH213" s="161"/>
      <c r="BI213" s="161"/>
      <c r="BJ213" s="161"/>
      <c r="BK213" s="161"/>
      <c r="BL213" s="161"/>
    </row>
    <row r="214" spans="3:64" hidden="1" x14ac:dyDescent="0.15">
      <c r="C214" s="288" t="s">
        <v>437</v>
      </c>
      <c r="E214" s="161">
        <f>IFERROR(#REF!*E205/SUM(E197,E205),0)</f>
        <v>0</v>
      </c>
      <c r="F214" s="161">
        <f>IFERROR(#REF!*F205/SUM(F197,F205),0)</f>
        <v>0</v>
      </c>
      <c r="G214" s="161">
        <f>IFERROR(#REF!*G205/SUM(G197,G205),0)</f>
        <v>0</v>
      </c>
      <c r="H214" s="161">
        <f>IFERROR(#REF!*H205/SUM(H197,H205),0)</f>
        <v>0</v>
      </c>
      <c r="I214" s="161">
        <f>IFERROR(#REF!*I205/SUM(I197,I205),0)</f>
        <v>0</v>
      </c>
      <c r="J214" s="161">
        <f>IFERROR(#REF!*J205/SUM(J197,J205),0)</f>
        <v>0</v>
      </c>
      <c r="K214" s="161">
        <f>IFERROR(#REF!*K205/SUM(K197,K205),0)</f>
        <v>0</v>
      </c>
      <c r="L214" s="161">
        <f>IFERROR(#REF!*L205/SUM(L197,L205),0)</f>
        <v>0</v>
      </c>
      <c r="M214" s="161">
        <f>IFERROR(#REF!*M205/SUM(M197,M205),0)</f>
        <v>0</v>
      </c>
      <c r="N214" s="161">
        <f>IFERROR(#REF!*N205/SUM(N197,N205),0)</f>
        <v>0</v>
      </c>
      <c r="O214" s="161">
        <f>IFERROR(#REF!*O205/SUM(O197,O205),0)</f>
        <v>0</v>
      </c>
      <c r="P214" s="161">
        <f>IFERROR(#REF!*P205/SUM(P197,P205),0)</f>
        <v>0</v>
      </c>
      <c r="Q214" s="161">
        <f>IFERROR(#REF!*Q205/SUM(Q197,Q205),0)</f>
        <v>0</v>
      </c>
      <c r="R214" s="161">
        <f>IFERROR(#REF!*R205/SUM(R197,R205),0)</f>
        <v>0</v>
      </c>
      <c r="S214" s="161">
        <f>IFERROR(#REF!*S205/SUM(S197,S205),0)</f>
        <v>0</v>
      </c>
      <c r="T214" s="161">
        <f>IFERROR(#REF!*T205/SUM(T197,T205),0)</f>
        <v>0</v>
      </c>
      <c r="U214" s="161">
        <f>IFERROR(#REF!*U205/SUM(U197,U205),0)</f>
        <v>0</v>
      </c>
      <c r="V214" s="161">
        <f>IFERROR(#REF!*V205/SUM(V197,V205),0)</f>
        <v>0</v>
      </c>
      <c r="W214" s="161">
        <f>IFERROR(#REF!*W205/SUM(W197,W205),0)</f>
        <v>0</v>
      </c>
      <c r="X214" s="161">
        <f>IFERROR(#REF!*X205/SUM(X197,X205),0)</f>
        <v>0</v>
      </c>
      <c r="Y214" s="161">
        <f>IFERROR(#REF!*Y205/SUM(Y197,Y205),0)</f>
        <v>0</v>
      </c>
      <c r="Z214" s="161">
        <f>IFERROR(#REF!*Z205/SUM(Z197,Z205),0)</f>
        <v>0</v>
      </c>
      <c r="AA214" s="161">
        <f>IFERROR(#REF!*AA205/SUM(AA197,AA205),0)</f>
        <v>0</v>
      </c>
      <c r="AB214" s="161">
        <f>IFERROR(#REF!*AB205/SUM(AB197,AB205),0)</f>
        <v>0</v>
      </c>
      <c r="AC214" s="161">
        <f>IFERROR(#REF!*AC205/SUM(AC197,AC205),0)</f>
        <v>0</v>
      </c>
      <c r="AD214" s="161">
        <f>IFERROR(#REF!*AD205/SUM(AD197,AD205),0)</f>
        <v>0</v>
      </c>
      <c r="AE214" s="161">
        <f>IFERROR(#REF!*AE205/SUM(AE197,AE205),0)</f>
        <v>0</v>
      </c>
      <c r="AF214" s="161">
        <f>IFERROR(#REF!*AF205/SUM(AF197,AF205),0)</f>
        <v>0</v>
      </c>
      <c r="AG214" s="161">
        <f>IFERROR(#REF!*AG205/SUM(AG197,AG205),0)</f>
        <v>0</v>
      </c>
      <c r="AH214" s="161">
        <f>IFERROR(#REF!*AH205/SUM(AH197,AH205),0)</f>
        <v>0</v>
      </c>
      <c r="AI214" s="161">
        <f>IFERROR(#REF!*AI205/SUM(AI197,AI205),0)</f>
        <v>0</v>
      </c>
      <c r="AJ214" s="161">
        <f>IFERROR(#REF!*AJ205/SUM(AJ197,AJ205),0)</f>
        <v>0</v>
      </c>
      <c r="AK214" s="161">
        <f>IFERROR(#REF!*AK205/SUM(AK197,AK205),0)</f>
        <v>0</v>
      </c>
      <c r="AL214" s="161">
        <f>IFERROR(#REF!*AL205/SUM(AL197,AL205),0)</f>
        <v>0</v>
      </c>
      <c r="AM214" s="161">
        <f>IFERROR(#REF!*AM205/SUM(AM197,AM205),0)</f>
        <v>0</v>
      </c>
      <c r="AN214" s="161">
        <f>IFERROR(#REF!*AN205/SUM(AN197,AN205),0)</f>
        <v>0</v>
      </c>
      <c r="AO214" s="161">
        <f>IFERROR(#REF!*AO205/SUM(AO197,AO205),0)</f>
        <v>0</v>
      </c>
      <c r="AP214" s="161">
        <f>IFERROR(#REF!*AP205/SUM(AP197,AP205),0)</f>
        <v>0</v>
      </c>
      <c r="AQ214" s="161">
        <f>IFERROR(#REF!*AQ205/SUM(AQ197,AQ205),0)</f>
        <v>0</v>
      </c>
      <c r="AR214" s="161">
        <f>IFERROR(#REF!*AR205/SUM(AR197,AR205),0)</f>
        <v>0</v>
      </c>
      <c r="AS214" s="161">
        <f>IFERROR(#REF!*AS205/SUM(AS197,AS205),0)</f>
        <v>0</v>
      </c>
      <c r="AT214" s="161">
        <f>IFERROR(#REF!*AT205/SUM(AT197,AT205),0)</f>
        <v>0</v>
      </c>
      <c r="AU214" s="161">
        <f>IFERROR(#REF!*AU205/SUM(AU197,AU205),0)</f>
        <v>0</v>
      </c>
      <c r="AV214" s="161">
        <f>IFERROR(#REF!*AV205/SUM(AV197,AV205),0)</f>
        <v>0</v>
      </c>
      <c r="AW214" s="161">
        <f>IFERROR(#REF!*AW205/SUM(AW197,AW205),0)</f>
        <v>0</v>
      </c>
      <c r="AX214" s="161">
        <f>IFERROR(#REF!*AX205/SUM(AX197,AX205),0)</f>
        <v>0</v>
      </c>
      <c r="AY214" s="161">
        <f>IFERROR(#REF!*AY205/SUM(AY197,AY205),0)</f>
        <v>0</v>
      </c>
      <c r="AZ214" s="161">
        <f>IFERROR(#REF!*AZ205/SUM(AZ197,AZ205),0)</f>
        <v>0</v>
      </c>
      <c r="BA214" s="161">
        <f>IFERROR(#REF!*BA205/SUM(BA197,BA205),0)</f>
        <v>0</v>
      </c>
      <c r="BB214" s="161">
        <f>IFERROR(#REF!*BB205/SUM(BB197,BB205),0)</f>
        <v>0</v>
      </c>
      <c r="BC214" s="161">
        <f>IFERROR(#REF!*BC205/SUM(BC197,BC205),0)</f>
        <v>0</v>
      </c>
      <c r="BD214" s="161">
        <f>IFERROR(#REF!*BD205/SUM(BD197,BD205),0)</f>
        <v>0</v>
      </c>
      <c r="BE214" s="161">
        <f>IFERROR(#REF!*BE205/SUM(BE197,BE205),0)</f>
        <v>0</v>
      </c>
      <c r="BF214" s="161">
        <f>IFERROR(#REF!*BF205/SUM(BF197,BF205),0)</f>
        <v>0</v>
      </c>
      <c r="BG214" s="161"/>
      <c r="BH214" s="161"/>
      <c r="BI214" s="161"/>
      <c r="BJ214" s="161"/>
      <c r="BK214" s="161"/>
      <c r="BL214" s="161"/>
    </row>
    <row r="215" spans="3:64" hidden="1" x14ac:dyDescent="0.15">
      <c r="C215" s="288" t="s">
        <v>435</v>
      </c>
      <c r="E215" s="156" t="e">
        <f>E214+E210-#REF!</f>
        <v>#REF!</v>
      </c>
      <c r="F215" s="156" t="e">
        <f>F214+F210-#REF!</f>
        <v>#REF!</v>
      </c>
      <c r="G215" s="156" t="e">
        <f>G214+G210-#REF!</f>
        <v>#REF!</v>
      </c>
      <c r="H215" s="156" t="e">
        <f>H214+H210-#REF!</f>
        <v>#REF!</v>
      </c>
      <c r="I215" s="156" t="e">
        <f>I214+I210-#REF!</f>
        <v>#REF!</v>
      </c>
      <c r="J215" s="156" t="e">
        <f>J214+J210-#REF!</f>
        <v>#REF!</v>
      </c>
      <c r="K215" s="156" t="e">
        <f>K214+K210-#REF!</f>
        <v>#REF!</v>
      </c>
      <c r="L215" s="156" t="e">
        <f>L214+L210-#REF!</f>
        <v>#REF!</v>
      </c>
      <c r="M215" s="156" t="e">
        <f>M214+M210-#REF!</f>
        <v>#REF!</v>
      </c>
      <c r="N215" s="156" t="e">
        <f>N214+N210-#REF!</f>
        <v>#REF!</v>
      </c>
      <c r="O215" s="156" t="e">
        <f>O214+O210-#REF!</f>
        <v>#REF!</v>
      </c>
      <c r="P215" s="156" t="e">
        <f>P214+P210-#REF!</f>
        <v>#REF!</v>
      </c>
      <c r="Q215" s="156" t="e">
        <f>Q214+Q210-#REF!</f>
        <v>#REF!</v>
      </c>
      <c r="R215" s="156" t="e">
        <f>R214+R210-#REF!</f>
        <v>#REF!</v>
      </c>
      <c r="S215" s="156" t="e">
        <f>S214+S210-#REF!</f>
        <v>#REF!</v>
      </c>
      <c r="T215" s="156" t="e">
        <f>T214+T210-#REF!</f>
        <v>#REF!</v>
      </c>
      <c r="U215" s="156" t="e">
        <f>U214+U210-#REF!</f>
        <v>#REF!</v>
      </c>
      <c r="V215" s="156" t="e">
        <f>V214+V210-#REF!</f>
        <v>#REF!</v>
      </c>
      <c r="W215" s="156" t="e">
        <f>W214+W210-#REF!</f>
        <v>#REF!</v>
      </c>
      <c r="X215" s="156" t="e">
        <f>X214+X210-#REF!</f>
        <v>#REF!</v>
      </c>
      <c r="Y215" s="156" t="e">
        <f>Y214+Y210-#REF!</f>
        <v>#REF!</v>
      </c>
      <c r="Z215" s="156" t="e">
        <f>Z214+Z210-#REF!</f>
        <v>#REF!</v>
      </c>
      <c r="AA215" s="156" t="e">
        <f>AA214+AA210-#REF!</f>
        <v>#REF!</v>
      </c>
      <c r="AB215" s="156" t="e">
        <f>AB214+AB210-#REF!</f>
        <v>#REF!</v>
      </c>
      <c r="AC215" s="156" t="e">
        <f>AC214+AC210-#REF!</f>
        <v>#REF!</v>
      </c>
      <c r="AD215" s="156" t="e">
        <f>AD214+AD210-#REF!</f>
        <v>#REF!</v>
      </c>
      <c r="AE215" s="156" t="e">
        <f>AE214+AE210-#REF!</f>
        <v>#REF!</v>
      </c>
      <c r="AF215" s="156" t="e">
        <f>AF214+AF210-#REF!</f>
        <v>#REF!</v>
      </c>
      <c r="AG215" s="156" t="e">
        <f>AG214+AG210-#REF!</f>
        <v>#REF!</v>
      </c>
      <c r="AH215" s="156" t="e">
        <f>AH214+AH210-#REF!</f>
        <v>#REF!</v>
      </c>
      <c r="AI215" s="156" t="e">
        <f>AI214+AI210-#REF!</f>
        <v>#REF!</v>
      </c>
      <c r="AJ215" s="156" t="e">
        <f>AJ214+AJ210-#REF!</f>
        <v>#REF!</v>
      </c>
      <c r="AK215" s="156" t="e">
        <f>AK214+AK210-#REF!</f>
        <v>#REF!</v>
      </c>
      <c r="AL215" s="156" t="e">
        <f>AL214+AL210-#REF!</f>
        <v>#REF!</v>
      </c>
      <c r="AM215" s="156" t="e">
        <f>AM214+AM210-#REF!</f>
        <v>#REF!</v>
      </c>
      <c r="AN215" s="156" t="e">
        <f>AN214+AN210-#REF!</f>
        <v>#REF!</v>
      </c>
      <c r="AO215" s="156" t="e">
        <f>AO214+AO210-#REF!</f>
        <v>#REF!</v>
      </c>
      <c r="AP215" s="156" t="e">
        <f>AP214+AP210-#REF!</f>
        <v>#REF!</v>
      </c>
      <c r="AQ215" s="156" t="e">
        <f>AQ214+AQ210-#REF!</f>
        <v>#REF!</v>
      </c>
      <c r="AR215" s="156" t="e">
        <f>AR214+AR210-#REF!</f>
        <v>#REF!</v>
      </c>
      <c r="AS215" s="156" t="e">
        <f>AS214+AS210-#REF!</f>
        <v>#REF!</v>
      </c>
      <c r="AT215" s="156" t="e">
        <f>AT214+AT210-#REF!</f>
        <v>#REF!</v>
      </c>
      <c r="AU215" s="156" t="e">
        <f>AU214+AU210-#REF!</f>
        <v>#REF!</v>
      </c>
      <c r="AV215" s="156" t="e">
        <f>AV214+AV210-#REF!</f>
        <v>#REF!</v>
      </c>
      <c r="AW215" s="156" t="e">
        <f>AW214+AW210-#REF!</f>
        <v>#REF!</v>
      </c>
      <c r="AX215" s="156" t="e">
        <f>AX214+AX210-#REF!</f>
        <v>#REF!</v>
      </c>
      <c r="AY215" s="156" t="e">
        <f>AY214+AY210-#REF!</f>
        <v>#REF!</v>
      </c>
      <c r="AZ215" s="156" t="e">
        <f>AZ214+AZ210-#REF!</f>
        <v>#REF!</v>
      </c>
      <c r="BA215" s="156" t="e">
        <f>BA214+BA210-#REF!</f>
        <v>#REF!</v>
      </c>
      <c r="BB215" s="156" t="e">
        <f>BB214+BB210-#REF!</f>
        <v>#REF!</v>
      </c>
      <c r="BC215" s="156" t="e">
        <f>BC214+BC210-#REF!</f>
        <v>#REF!</v>
      </c>
      <c r="BD215" s="156" t="e">
        <f>BD214+BD210-#REF!</f>
        <v>#REF!</v>
      </c>
      <c r="BE215" s="156" t="e">
        <f>BE214+BE210-#REF!</f>
        <v>#REF!</v>
      </c>
      <c r="BF215" s="156" t="e">
        <f>BF214+BF210-#REF!</f>
        <v>#REF!</v>
      </c>
      <c r="BG215" s="156"/>
      <c r="BH215" s="156"/>
      <c r="BI215" s="156"/>
      <c r="BJ215" s="156"/>
      <c r="BK215" s="156"/>
      <c r="BL215" s="15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4724-9767-D04E-B47E-A3F5BF637C27}">
  <sheetPr codeName="Sheet7">
    <tabColor rgb="FFFFFF00"/>
  </sheetPr>
  <dimension ref="A1:BQ34"/>
  <sheetViews>
    <sheetView showGridLines="0" topLeftCell="A4" zoomScale="119" zoomScaleNormal="85" zoomScaleSheetLayoutView="70" workbookViewId="0">
      <selection activeCell="J1" sqref="J1"/>
    </sheetView>
  </sheetViews>
  <sheetFormatPr baseColWidth="10" defaultColWidth="10.1640625" defaultRowHeight="11" outlineLevelRow="1" x14ac:dyDescent="0.15"/>
  <cols>
    <col min="1" max="1" width="2.5" style="261" customWidth="1"/>
    <col min="2" max="2" width="3.33203125" style="169" customWidth="1"/>
    <col min="3" max="3" width="28" style="169" customWidth="1"/>
    <col min="4" max="39" width="10.5" style="169" customWidth="1"/>
    <col min="40" max="16384" width="10.1640625" style="169"/>
  </cols>
  <sheetData>
    <row r="1" spans="1:69" ht="23" x14ac:dyDescent="0.25">
      <c r="C1" s="289" t="s">
        <v>438</v>
      </c>
      <c r="D1" s="290"/>
    </row>
    <row r="2" spans="1:69" s="292" customFormat="1" ht="14" thickBot="1" x14ac:dyDescent="0.2">
      <c r="A2" s="291"/>
      <c r="C2" s="293" t="s">
        <v>439</v>
      </c>
      <c r="D2" s="294" t="s">
        <v>440</v>
      </c>
      <c r="E2" s="294"/>
      <c r="F2" s="294"/>
      <c r="G2" s="294"/>
      <c r="H2" s="294"/>
      <c r="I2" s="294"/>
      <c r="J2" s="294"/>
      <c r="K2" s="294"/>
      <c r="L2" s="294"/>
      <c r="M2" s="294"/>
      <c r="N2" s="294"/>
      <c r="O2" s="294"/>
      <c r="P2" s="294"/>
    </row>
    <row r="3" spans="1:69" s="292" customFormat="1" ht="13" x14ac:dyDescent="0.15">
      <c r="A3" s="295"/>
      <c r="B3" s="296"/>
      <c r="P3" s="297"/>
      <c r="Q3" s="297"/>
    </row>
    <row r="4" spans="1:69" s="292" customFormat="1" ht="13" x14ac:dyDescent="0.15">
      <c r="A4" s="291"/>
      <c r="B4" s="298"/>
      <c r="C4" s="299" t="s">
        <v>441</v>
      </c>
      <c r="D4" s="300">
        <v>45658</v>
      </c>
      <c r="E4" s="301">
        <f t="shared" ref="E4:BL4" si="0">EOMONTH(D4,1)</f>
        <v>45716</v>
      </c>
      <c r="F4" s="301">
        <f t="shared" si="0"/>
        <v>45747</v>
      </c>
      <c r="G4" s="301">
        <f t="shared" si="0"/>
        <v>45777</v>
      </c>
      <c r="H4" s="301">
        <f t="shared" si="0"/>
        <v>45808</v>
      </c>
      <c r="I4" s="301">
        <f t="shared" si="0"/>
        <v>45838</v>
      </c>
      <c r="J4" s="301">
        <f t="shared" si="0"/>
        <v>45869</v>
      </c>
      <c r="K4" s="301">
        <f t="shared" si="0"/>
        <v>45900</v>
      </c>
      <c r="L4" s="301">
        <f t="shared" si="0"/>
        <v>45930</v>
      </c>
      <c r="M4" s="301">
        <f t="shared" si="0"/>
        <v>45961</v>
      </c>
      <c r="N4" s="301">
        <f t="shared" si="0"/>
        <v>45991</v>
      </c>
      <c r="O4" s="301">
        <f t="shared" si="0"/>
        <v>46022</v>
      </c>
      <c r="P4" s="301">
        <f t="shared" si="0"/>
        <v>46053</v>
      </c>
      <c r="Q4" s="301">
        <f t="shared" si="0"/>
        <v>46081</v>
      </c>
      <c r="R4" s="301">
        <f t="shared" si="0"/>
        <v>46112</v>
      </c>
      <c r="S4" s="301">
        <f t="shared" si="0"/>
        <v>46142</v>
      </c>
      <c r="T4" s="301">
        <f t="shared" si="0"/>
        <v>46173</v>
      </c>
      <c r="U4" s="301">
        <f t="shared" si="0"/>
        <v>46203</v>
      </c>
      <c r="V4" s="301">
        <f t="shared" si="0"/>
        <v>46234</v>
      </c>
      <c r="W4" s="301">
        <f t="shared" si="0"/>
        <v>46265</v>
      </c>
      <c r="X4" s="301">
        <f t="shared" si="0"/>
        <v>46295</v>
      </c>
      <c r="Y4" s="301">
        <f t="shared" si="0"/>
        <v>46326</v>
      </c>
      <c r="Z4" s="301">
        <f t="shared" si="0"/>
        <v>46356</v>
      </c>
      <c r="AA4" s="301">
        <f t="shared" si="0"/>
        <v>46387</v>
      </c>
      <c r="AB4" s="301">
        <f t="shared" si="0"/>
        <v>46418</v>
      </c>
      <c r="AC4" s="301">
        <f t="shared" si="0"/>
        <v>46446</v>
      </c>
      <c r="AD4" s="301">
        <f t="shared" si="0"/>
        <v>46477</v>
      </c>
      <c r="AE4" s="301">
        <f t="shared" si="0"/>
        <v>46507</v>
      </c>
      <c r="AF4" s="301">
        <f t="shared" si="0"/>
        <v>46538</v>
      </c>
      <c r="AG4" s="301">
        <f t="shared" si="0"/>
        <v>46568</v>
      </c>
      <c r="AH4" s="301">
        <f t="shared" si="0"/>
        <v>46599</v>
      </c>
      <c r="AI4" s="301">
        <f t="shared" si="0"/>
        <v>46630</v>
      </c>
      <c r="AJ4" s="301">
        <f t="shared" si="0"/>
        <v>46660</v>
      </c>
      <c r="AK4" s="301">
        <f t="shared" si="0"/>
        <v>46691</v>
      </c>
      <c r="AL4" s="301">
        <f t="shared" si="0"/>
        <v>46721</v>
      </c>
      <c r="AM4" s="301">
        <f t="shared" si="0"/>
        <v>46752</v>
      </c>
      <c r="AN4" s="301">
        <f t="shared" si="0"/>
        <v>46783</v>
      </c>
      <c r="AO4" s="301">
        <f t="shared" si="0"/>
        <v>46812</v>
      </c>
      <c r="AP4" s="301">
        <f t="shared" si="0"/>
        <v>46843</v>
      </c>
      <c r="AQ4" s="301">
        <f t="shared" si="0"/>
        <v>46873</v>
      </c>
      <c r="AR4" s="301">
        <f t="shared" si="0"/>
        <v>46904</v>
      </c>
      <c r="AS4" s="301">
        <f t="shared" si="0"/>
        <v>46934</v>
      </c>
      <c r="AT4" s="301">
        <f t="shared" si="0"/>
        <v>46965</v>
      </c>
      <c r="AU4" s="301">
        <f t="shared" si="0"/>
        <v>46996</v>
      </c>
      <c r="AV4" s="301">
        <f t="shared" si="0"/>
        <v>47026</v>
      </c>
      <c r="AW4" s="301">
        <f t="shared" si="0"/>
        <v>47057</v>
      </c>
      <c r="AX4" s="301">
        <f t="shared" si="0"/>
        <v>47087</v>
      </c>
      <c r="AY4" s="301">
        <f t="shared" si="0"/>
        <v>47118</v>
      </c>
      <c r="AZ4" s="301">
        <f t="shared" si="0"/>
        <v>47149</v>
      </c>
      <c r="BA4" s="301">
        <f t="shared" si="0"/>
        <v>47177</v>
      </c>
      <c r="BB4" s="301">
        <f t="shared" si="0"/>
        <v>47208</v>
      </c>
      <c r="BC4" s="301">
        <f t="shared" si="0"/>
        <v>47238</v>
      </c>
      <c r="BD4" s="301">
        <f t="shared" si="0"/>
        <v>47269</v>
      </c>
      <c r="BE4" s="301">
        <f t="shared" si="0"/>
        <v>47299</v>
      </c>
      <c r="BF4" s="301">
        <f t="shared" si="0"/>
        <v>47330</v>
      </c>
      <c r="BG4" s="301">
        <f t="shared" si="0"/>
        <v>47361</v>
      </c>
      <c r="BH4" s="301">
        <f t="shared" si="0"/>
        <v>47391</v>
      </c>
      <c r="BI4" s="301">
        <f t="shared" si="0"/>
        <v>47422</v>
      </c>
      <c r="BJ4" s="301">
        <f t="shared" si="0"/>
        <v>47452</v>
      </c>
      <c r="BK4" s="301">
        <f t="shared" si="0"/>
        <v>47483</v>
      </c>
      <c r="BL4" s="301">
        <f t="shared" si="0"/>
        <v>47514</v>
      </c>
      <c r="BM4" s="297"/>
      <c r="BN4" s="297"/>
      <c r="BO4" s="297"/>
      <c r="BP4" s="297"/>
      <c r="BQ4" s="297"/>
    </row>
    <row r="5" spans="1:69" s="75" customFormat="1" ht="13" x14ac:dyDescent="0.15">
      <c r="A5" s="302"/>
      <c r="C5" s="303" t="s">
        <v>442</v>
      </c>
      <c r="D5" s="304">
        <f t="shared" ref="D5:BL5" si="1">YEAR(D4)</f>
        <v>2025</v>
      </c>
      <c r="E5" s="304">
        <f t="shared" si="1"/>
        <v>2025</v>
      </c>
      <c r="F5" s="304">
        <f t="shared" si="1"/>
        <v>2025</v>
      </c>
      <c r="G5" s="304">
        <f t="shared" si="1"/>
        <v>2025</v>
      </c>
      <c r="H5" s="304">
        <f t="shared" si="1"/>
        <v>2025</v>
      </c>
      <c r="I5" s="304">
        <f t="shared" si="1"/>
        <v>2025</v>
      </c>
      <c r="J5" s="304">
        <f t="shared" si="1"/>
        <v>2025</v>
      </c>
      <c r="K5" s="304">
        <f t="shared" si="1"/>
        <v>2025</v>
      </c>
      <c r="L5" s="304">
        <f t="shared" si="1"/>
        <v>2025</v>
      </c>
      <c r="M5" s="304">
        <f t="shared" si="1"/>
        <v>2025</v>
      </c>
      <c r="N5" s="304">
        <f t="shared" si="1"/>
        <v>2025</v>
      </c>
      <c r="O5" s="304">
        <f t="shared" si="1"/>
        <v>2025</v>
      </c>
      <c r="P5" s="304">
        <f t="shared" si="1"/>
        <v>2026</v>
      </c>
      <c r="Q5" s="304">
        <f t="shared" si="1"/>
        <v>2026</v>
      </c>
      <c r="R5" s="304">
        <f t="shared" si="1"/>
        <v>2026</v>
      </c>
      <c r="S5" s="304">
        <f t="shared" si="1"/>
        <v>2026</v>
      </c>
      <c r="T5" s="304">
        <f t="shared" si="1"/>
        <v>2026</v>
      </c>
      <c r="U5" s="304">
        <f t="shared" si="1"/>
        <v>2026</v>
      </c>
      <c r="V5" s="304">
        <f t="shared" si="1"/>
        <v>2026</v>
      </c>
      <c r="W5" s="304">
        <f t="shared" si="1"/>
        <v>2026</v>
      </c>
      <c r="X5" s="304">
        <f t="shared" si="1"/>
        <v>2026</v>
      </c>
      <c r="Y5" s="304">
        <f t="shared" si="1"/>
        <v>2026</v>
      </c>
      <c r="Z5" s="304">
        <f t="shared" si="1"/>
        <v>2026</v>
      </c>
      <c r="AA5" s="304">
        <f t="shared" si="1"/>
        <v>2026</v>
      </c>
      <c r="AB5" s="304">
        <f t="shared" si="1"/>
        <v>2027</v>
      </c>
      <c r="AC5" s="304">
        <f t="shared" si="1"/>
        <v>2027</v>
      </c>
      <c r="AD5" s="304">
        <f t="shared" si="1"/>
        <v>2027</v>
      </c>
      <c r="AE5" s="304">
        <f t="shared" si="1"/>
        <v>2027</v>
      </c>
      <c r="AF5" s="304">
        <f t="shared" si="1"/>
        <v>2027</v>
      </c>
      <c r="AG5" s="304">
        <f t="shared" si="1"/>
        <v>2027</v>
      </c>
      <c r="AH5" s="304">
        <f t="shared" si="1"/>
        <v>2027</v>
      </c>
      <c r="AI5" s="304">
        <f t="shared" si="1"/>
        <v>2027</v>
      </c>
      <c r="AJ5" s="304">
        <f t="shared" si="1"/>
        <v>2027</v>
      </c>
      <c r="AK5" s="304">
        <f t="shared" si="1"/>
        <v>2027</v>
      </c>
      <c r="AL5" s="304">
        <f t="shared" si="1"/>
        <v>2027</v>
      </c>
      <c r="AM5" s="304">
        <f t="shared" si="1"/>
        <v>2027</v>
      </c>
      <c r="AN5" s="304">
        <f t="shared" si="1"/>
        <v>2028</v>
      </c>
      <c r="AO5" s="304">
        <f t="shared" si="1"/>
        <v>2028</v>
      </c>
      <c r="AP5" s="304">
        <f t="shared" si="1"/>
        <v>2028</v>
      </c>
      <c r="AQ5" s="304">
        <f t="shared" si="1"/>
        <v>2028</v>
      </c>
      <c r="AR5" s="304">
        <f t="shared" si="1"/>
        <v>2028</v>
      </c>
      <c r="AS5" s="304">
        <f t="shared" si="1"/>
        <v>2028</v>
      </c>
      <c r="AT5" s="304">
        <f t="shared" si="1"/>
        <v>2028</v>
      </c>
      <c r="AU5" s="304">
        <f t="shared" si="1"/>
        <v>2028</v>
      </c>
      <c r="AV5" s="304">
        <f t="shared" si="1"/>
        <v>2028</v>
      </c>
      <c r="AW5" s="304">
        <f t="shared" si="1"/>
        <v>2028</v>
      </c>
      <c r="AX5" s="304">
        <f t="shared" si="1"/>
        <v>2028</v>
      </c>
      <c r="AY5" s="304">
        <f t="shared" si="1"/>
        <v>2028</v>
      </c>
      <c r="AZ5" s="304">
        <f t="shared" si="1"/>
        <v>2029</v>
      </c>
      <c r="BA5" s="304">
        <f t="shared" si="1"/>
        <v>2029</v>
      </c>
      <c r="BB5" s="304">
        <f t="shared" si="1"/>
        <v>2029</v>
      </c>
      <c r="BC5" s="304">
        <f t="shared" si="1"/>
        <v>2029</v>
      </c>
      <c r="BD5" s="304">
        <f t="shared" si="1"/>
        <v>2029</v>
      </c>
      <c r="BE5" s="304">
        <f t="shared" si="1"/>
        <v>2029</v>
      </c>
      <c r="BF5" s="304">
        <f t="shared" si="1"/>
        <v>2029</v>
      </c>
      <c r="BG5" s="304">
        <f t="shared" si="1"/>
        <v>2029</v>
      </c>
      <c r="BH5" s="304">
        <f t="shared" si="1"/>
        <v>2029</v>
      </c>
      <c r="BI5" s="304">
        <f t="shared" si="1"/>
        <v>2029</v>
      </c>
      <c r="BJ5" s="304">
        <f t="shared" si="1"/>
        <v>2029</v>
      </c>
      <c r="BK5" s="304">
        <f t="shared" si="1"/>
        <v>2029</v>
      </c>
      <c r="BL5" s="304">
        <f t="shared" si="1"/>
        <v>2030</v>
      </c>
      <c r="BM5" s="305"/>
      <c r="BN5" s="305"/>
      <c r="BO5" s="305"/>
      <c r="BP5" s="305"/>
      <c r="BQ5" s="305"/>
    </row>
    <row r="6" spans="1:69" s="292" customFormat="1" ht="13" x14ac:dyDescent="0.15">
      <c r="A6" s="291"/>
      <c r="C6" s="292" t="s">
        <v>443</v>
      </c>
      <c r="D6" s="306"/>
      <c r="E6" s="306"/>
      <c r="F6" s="306"/>
      <c r="G6" s="306">
        <f>DATA!D7/10^9</f>
        <v>236.66394</v>
      </c>
      <c r="H6" s="306">
        <f>DATA!D6/10^9</f>
        <v>314.00019600000002</v>
      </c>
      <c r="I6" s="306">
        <f>DATA!D5/10^9</f>
        <v>468.37399599999998</v>
      </c>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6"/>
      <c r="AJ6" s="306"/>
      <c r="AK6" s="306"/>
      <c r="AL6" s="306"/>
      <c r="AM6" s="306"/>
      <c r="AN6" s="307"/>
      <c r="AO6" s="307"/>
      <c r="AP6" s="307"/>
      <c r="AQ6" s="307"/>
      <c r="AR6" s="307"/>
      <c r="AS6" s="307"/>
      <c r="AT6" s="307"/>
      <c r="AU6" s="307"/>
      <c r="AV6" s="307"/>
      <c r="AW6" s="307"/>
      <c r="AX6" s="307"/>
      <c r="AY6" s="307"/>
      <c r="AZ6" s="307"/>
      <c r="BA6" s="307"/>
      <c r="BB6" s="307"/>
      <c r="BC6" s="307"/>
      <c r="BD6" s="307"/>
      <c r="BE6" s="307"/>
      <c r="BF6" s="307"/>
      <c r="BG6" s="307"/>
      <c r="BH6" s="307"/>
      <c r="BI6" s="307"/>
      <c r="BJ6" s="307"/>
      <c r="BK6" s="307"/>
      <c r="BL6" s="307"/>
    </row>
    <row r="7" spans="1:69" s="292" customFormat="1" ht="13" x14ac:dyDescent="0.15">
      <c r="A7" s="291"/>
      <c r="D7" s="298"/>
      <c r="E7" s="298"/>
      <c r="F7" s="298"/>
      <c r="G7" s="298"/>
      <c r="H7" s="298"/>
      <c r="I7" s="298"/>
      <c r="J7" s="298"/>
      <c r="K7" s="298"/>
      <c r="L7" s="298"/>
      <c r="M7" s="298"/>
      <c r="N7" s="298"/>
      <c r="O7" s="298"/>
      <c r="P7" s="298"/>
      <c r="Q7" s="298"/>
      <c r="R7" s="298"/>
      <c r="S7" s="298"/>
      <c r="T7" s="298"/>
      <c r="U7" s="298"/>
      <c r="V7" s="298"/>
      <c r="W7" s="298"/>
      <c r="X7" s="298"/>
      <c r="Y7" s="298"/>
      <c r="Z7" s="298"/>
      <c r="AA7" s="298"/>
      <c r="AB7" s="298"/>
      <c r="AC7" s="298"/>
      <c r="AD7" s="298"/>
      <c r="AE7" s="298"/>
      <c r="AF7" s="298"/>
      <c r="AG7" s="298"/>
      <c r="AH7" s="298"/>
      <c r="AI7" s="298"/>
      <c r="AJ7" s="298"/>
      <c r="AK7" s="298"/>
      <c r="AL7" s="298"/>
      <c r="AM7" s="298"/>
      <c r="AN7" s="298"/>
      <c r="AO7" s="298"/>
      <c r="AP7" s="298"/>
      <c r="AQ7" s="298"/>
      <c r="AR7" s="298"/>
      <c r="AS7" s="298"/>
      <c r="AT7" s="298"/>
      <c r="AU7" s="298"/>
      <c r="AV7" s="298"/>
      <c r="AW7" s="298"/>
      <c r="AX7" s="298"/>
      <c r="AY7" s="298"/>
      <c r="AZ7" s="298"/>
      <c r="BA7" s="298"/>
      <c r="BB7" s="298"/>
      <c r="BC7" s="298"/>
      <c r="BD7" s="298"/>
      <c r="BE7" s="298"/>
      <c r="BF7" s="298"/>
      <c r="BG7" s="298"/>
      <c r="BH7" s="298"/>
      <c r="BI7" s="298"/>
      <c r="BJ7" s="298"/>
      <c r="BK7" s="298"/>
      <c r="BL7" s="298"/>
    </row>
    <row r="8" spans="1:69" s="292" customFormat="1" ht="14" thickBot="1" x14ac:dyDescent="0.2">
      <c r="A8" s="291"/>
      <c r="C8" s="293" t="s">
        <v>444</v>
      </c>
      <c r="D8" s="294" t="s">
        <v>445</v>
      </c>
      <c r="E8" s="308"/>
      <c r="F8" s="308"/>
      <c r="G8" s="309"/>
      <c r="H8" s="309"/>
      <c r="I8" s="309"/>
      <c r="J8" s="309"/>
      <c r="K8" s="309"/>
      <c r="L8" s="309"/>
      <c r="M8" s="309"/>
      <c r="N8" s="309"/>
      <c r="O8" s="309"/>
      <c r="P8" s="309"/>
      <c r="Q8" s="297"/>
      <c r="R8" s="297"/>
      <c r="S8" s="297"/>
      <c r="T8" s="297"/>
    </row>
    <row r="9" spans="1:69" s="292" customFormat="1" ht="13" x14ac:dyDescent="0.15">
      <c r="A9" s="295"/>
      <c r="B9" s="296"/>
      <c r="G9" s="297"/>
      <c r="H9" s="297"/>
      <c r="I9" s="297"/>
      <c r="J9" s="297"/>
      <c r="K9" s="297"/>
      <c r="L9" s="297"/>
      <c r="M9" s="297"/>
      <c r="N9" s="297"/>
      <c r="O9" s="297"/>
      <c r="P9" s="297"/>
      <c r="Q9" s="297"/>
      <c r="R9" s="297"/>
      <c r="S9" s="297"/>
      <c r="T9" s="297"/>
    </row>
    <row r="10" spans="1:69" s="292" customFormat="1" ht="13" x14ac:dyDescent="0.15">
      <c r="A10" s="295"/>
      <c r="B10" s="296"/>
      <c r="C10" s="296" t="s">
        <v>446</v>
      </c>
      <c r="E10" s="310" t="s">
        <v>447</v>
      </c>
      <c r="F10" s="310">
        <f>YEAR(D4)</f>
        <v>2025</v>
      </c>
      <c r="G10" s="310">
        <f>F10+1</f>
        <v>2026</v>
      </c>
      <c r="H10" s="310">
        <f>G10+1</f>
        <v>2027</v>
      </c>
      <c r="I10" s="310">
        <f>H10+1</f>
        <v>2028</v>
      </c>
      <c r="J10" s="310">
        <f>I10+1</f>
        <v>2029</v>
      </c>
      <c r="K10" s="310">
        <f>J10+1</f>
        <v>2030</v>
      </c>
      <c r="M10" s="297"/>
      <c r="O10" s="297"/>
      <c r="Q10" s="297"/>
      <c r="R10" s="297"/>
      <c r="S10" s="297"/>
      <c r="T10" s="297"/>
    </row>
    <row r="11" spans="1:69" s="292" customFormat="1" ht="13" x14ac:dyDescent="0.15">
      <c r="A11" s="295"/>
      <c r="B11" s="296"/>
      <c r="C11" s="311"/>
      <c r="E11" s="312" t="s">
        <v>448</v>
      </c>
      <c r="F11" s="312" t="s">
        <v>448</v>
      </c>
      <c r="G11" s="312" t="s">
        <v>448</v>
      </c>
      <c r="H11" s="312" t="s">
        <v>448</v>
      </c>
      <c r="I11" s="312" t="s">
        <v>448</v>
      </c>
      <c r="J11" s="312" t="s">
        <v>448</v>
      </c>
      <c r="K11" s="312" t="s">
        <v>448</v>
      </c>
      <c r="M11" s="297"/>
      <c r="O11" s="297"/>
      <c r="Q11" s="297"/>
      <c r="R11" s="297"/>
      <c r="S11" s="297"/>
      <c r="T11" s="297"/>
    </row>
    <row r="12" spans="1:69" s="292" customFormat="1" ht="13" x14ac:dyDescent="0.15">
      <c r="A12" s="295"/>
      <c r="B12" s="296"/>
      <c r="H12" s="297"/>
      <c r="I12" s="297"/>
      <c r="J12" s="297"/>
      <c r="K12" s="297"/>
      <c r="M12" s="297"/>
      <c r="O12" s="297"/>
      <c r="Q12" s="297"/>
      <c r="R12" s="297"/>
      <c r="S12" s="297"/>
      <c r="T12" s="297"/>
    </row>
    <row r="13" spans="1:69" s="292" customFormat="1" ht="13" x14ac:dyDescent="0.15">
      <c r="A13" s="291"/>
      <c r="C13" s="296" t="s">
        <v>449</v>
      </c>
      <c r="E13" s="313">
        <f>SUM(F13:O13)</f>
        <v>1019.0381319999999</v>
      </c>
      <c r="F13" s="314">
        <f t="shared" ref="F13:K13" si="2">SUMIF($D$5:$BL$5,F$10,$D$6:$BL$6)</f>
        <v>1019.0381319999999</v>
      </c>
      <c r="G13" s="314">
        <f t="shared" si="2"/>
        <v>0</v>
      </c>
      <c r="H13" s="314">
        <f t="shared" si="2"/>
        <v>0</v>
      </c>
      <c r="I13" s="314">
        <f t="shared" si="2"/>
        <v>0</v>
      </c>
      <c r="J13" s="314">
        <f t="shared" si="2"/>
        <v>0</v>
      </c>
      <c r="K13" s="314">
        <f t="shared" si="2"/>
        <v>0</v>
      </c>
      <c r="M13" s="315"/>
      <c r="O13" s="315"/>
      <c r="Q13" s="316"/>
      <c r="R13" s="316"/>
      <c r="S13" s="316"/>
      <c r="T13" s="316"/>
      <c r="U13" s="316"/>
      <c r="V13" s="316"/>
      <c r="W13" s="316"/>
      <c r="X13" s="316"/>
      <c r="Y13" s="316"/>
      <c r="Z13" s="316"/>
      <c r="AA13" s="316"/>
      <c r="AB13" s="316"/>
      <c r="AC13" s="316"/>
      <c r="AD13" s="316"/>
      <c r="AE13" s="316"/>
      <c r="AF13" s="316"/>
    </row>
    <row r="14" spans="1:69" s="292" customFormat="1" ht="13" x14ac:dyDescent="0.15">
      <c r="A14" s="291"/>
      <c r="C14" s="292" t="s">
        <v>450</v>
      </c>
      <c r="E14" s="317">
        <f>IFERROR(AVERAGE(D6:AM6),0)</f>
        <v>339.67937733333332</v>
      </c>
      <c r="F14" s="318">
        <f t="shared" ref="F14:K14" si="3">IFERROR(F13/COUNTIFS($D$5:$BL$5,F10,$D$6:$BL$6,"&lt;&gt;"&amp;""),0)</f>
        <v>339.67937733333332</v>
      </c>
      <c r="G14" s="318">
        <f t="shared" si="3"/>
        <v>0</v>
      </c>
      <c r="H14" s="318">
        <f t="shared" si="3"/>
        <v>0</v>
      </c>
      <c r="I14" s="318">
        <f t="shared" si="3"/>
        <v>0</v>
      </c>
      <c r="J14" s="318">
        <f t="shared" si="3"/>
        <v>0</v>
      </c>
      <c r="K14" s="318">
        <f t="shared" si="3"/>
        <v>0</v>
      </c>
      <c r="M14" s="319"/>
      <c r="O14" s="319"/>
      <c r="Q14" s="316"/>
      <c r="R14" s="316"/>
      <c r="S14" s="316"/>
      <c r="T14" s="316"/>
      <c r="U14" s="316"/>
      <c r="V14" s="316"/>
      <c r="W14" s="316"/>
      <c r="X14" s="316"/>
      <c r="Y14" s="316"/>
      <c r="Z14" s="316"/>
      <c r="AA14" s="316"/>
      <c r="AB14" s="316"/>
      <c r="AC14" s="316"/>
      <c r="AD14" s="316"/>
      <c r="AE14" s="316"/>
      <c r="AF14" s="316"/>
    </row>
    <row r="15" spans="1:69" s="292" customFormat="1" ht="13" x14ac:dyDescent="0.15">
      <c r="A15" s="291"/>
      <c r="C15" s="296"/>
      <c r="E15" s="320"/>
      <c r="F15" s="316"/>
      <c r="G15" s="316"/>
      <c r="H15" s="316"/>
      <c r="I15" s="316"/>
      <c r="J15" s="316"/>
      <c r="K15" s="316"/>
      <c r="M15" s="319"/>
      <c r="O15" s="319"/>
      <c r="Q15" s="316"/>
      <c r="R15" s="316"/>
      <c r="S15" s="316"/>
      <c r="T15" s="316"/>
      <c r="U15" s="316"/>
      <c r="V15" s="316"/>
      <c r="W15" s="316"/>
      <c r="X15" s="316"/>
      <c r="Y15" s="316"/>
      <c r="Z15" s="316"/>
      <c r="AA15" s="316"/>
      <c r="AB15" s="316"/>
      <c r="AC15" s="316"/>
      <c r="AD15" s="316"/>
      <c r="AE15" s="316"/>
      <c r="AF15" s="316"/>
    </row>
    <row r="16" spans="1:69" s="292" customFormat="1" ht="13" x14ac:dyDescent="0.15">
      <c r="A16" s="291"/>
      <c r="C16" s="296" t="s">
        <v>451</v>
      </c>
      <c r="E16" s="321"/>
      <c r="F16" s="321">
        <f ca="1">OFFSET(PnL_Speadsheet!$A$7,0,MATCH(DATE('Saleplan&amp;PnL'!F$10,12,31),PnL_Speadsheet!$B$4:$BI$4,0))/1000</f>
        <v>23.688784921308098</v>
      </c>
      <c r="G16" s="321">
        <f ca="1">OFFSET(PnL_Speadsheet!$A$7,0,MATCH(DATE('Saleplan&amp;PnL'!G$10,12,31),PnL_Speadsheet!$B$4:$BI$4,0))/1000</f>
        <v>0</v>
      </c>
      <c r="H16" s="321">
        <f ca="1">OFFSET(PnL_Speadsheet!$A$7,0,MATCH(DATE('Saleplan&amp;PnL'!H$10,12,31),PnL_Speadsheet!$B$4:$BI$4,0))/1000</f>
        <v>0</v>
      </c>
      <c r="I16" s="321">
        <f ca="1">OFFSET(PnL_Speadsheet!$A$7,0,MATCH(DATE('Saleplan&amp;PnL'!I$10,12,31),PnL_Speadsheet!$B$4:$BI$4,0))/1000</f>
        <v>0</v>
      </c>
      <c r="J16" s="321">
        <f ca="1">OFFSET(PnL_Speadsheet!$A$7,0,MATCH(DATE('Saleplan&amp;PnL'!J$10,12,31),PnL_Speadsheet!$B$4:$BI$4,0))/1000</f>
        <v>0</v>
      </c>
      <c r="K16" s="321">
        <f ca="1">IFERROR(OFFSET(PnL_Speadsheet!$A$7,0,MATCH(DATE('Saleplan&amp;PnL'!K$10,12,31),PnL_Speadsheet!$B$4:$BI$4,0))/1000,0)</f>
        <v>0</v>
      </c>
      <c r="M16" s="313"/>
      <c r="O16" s="313"/>
      <c r="Q16" s="316"/>
      <c r="R16" s="316"/>
      <c r="S16" s="316"/>
      <c r="T16" s="316"/>
      <c r="U16" s="316"/>
      <c r="V16" s="316"/>
      <c r="W16" s="316"/>
      <c r="X16" s="316"/>
      <c r="Y16" s="316"/>
      <c r="Z16" s="316"/>
      <c r="AA16" s="316"/>
      <c r="AB16" s="316"/>
      <c r="AC16" s="316"/>
      <c r="AD16" s="316"/>
      <c r="AE16" s="316"/>
      <c r="AF16" s="316"/>
    </row>
    <row r="17" spans="1:32" s="292" customFormat="1" ht="13" x14ac:dyDescent="0.15">
      <c r="A17" s="291"/>
      <c r="C17" s="296" t="s">
        <v>452</v>
      </c>
      <c r="E17" s="322">
        <f ca="1">IFERROR(SUM(PnL_Speadsheet!B8:AK8)/1000/COUNTIFS(PnL_Speadsheet!B8:BI8,"&lt;&gt;0"&amp;""),0)</f>
        <v>95.339417453789537</v>
      </c>
      <c r="F17" s="322">
        <f ca="1">IFERROR(SUMIF(PnL_Speadsheet!$B$3:$BI$3,F$10,PnL_Speadsheet!$B8:$BI8)/1000/COUNTIFS(PnL_Speadsheet!$B$3:$BI$3,'Saleplan&amp;PnL'!F$10,PnL_Speadsheet!$B$8:$BI$8,"&lt;&gt;0"),0)</f>
        <v>95.339417453789537</v>
      </c>
      <c r="G17" s="322">
        <f ca="1">IFERROR(SUMIF(PnL_Speadsheet!$B$3:$BI$3,G$10,PnL_Speadsheet!$B8:$BI8)/1000/COUNTIFS(PnL_Speadsheet!$B$3:$BI$3,'Saleplan&amp;PnL'!G$10,PnL_Speadsheet!$B$8:$BI$8,"&lt;&gt;0"),0)</f>
        <v>0</v>
      </c>
      <c r="H17" s="322">
        <f ca="1">IFERROR(SUMIF(PnL_Speadsheet!$B$3:$BI$3,H$10,PnL_Speadsheet!$B8:$BI8)/1000/COUNTIFS(PnL_Speadsheet!$B$3:$BI$3,'Saleplan&amp;PnL'!H$10,PnL_Speadsheet!$B$8:$BI$8,"&lt;&gt;0"),0)</f>
        <v>0</v>
      </c>
      <c r="I17" s="322">
        <f ca="1">IFERROR(SUMIF(PnL_Speadsheet!$B$3:$BI$3,I$10,PnL_Speadsheet!$B8:$BI8)/1000/COUNTIFS(PnL_Speadsheet!$B$3:$BI$3,'Saleplan&amp;PnL'!I$10,PnL_Speadsheet!$B$8:$BI$8,"&lt;&gt;0"),0)</f>
        <v>0</v>
      </c>
      <c r="J17" s="322">
        <f ca="1">IFERROR(SUMIF(PnL_Speadsheet!$B$3:$BI$3,J$10,PnL_Speadsheet!$B8:$BI8)/1000/COUNTIFS(PnL_Speadsheet!$B$3:$BI$3,'Saleplan&amp;PnL'!J$10,PnL_Speadsheet!$B$8:$BI$8,"&lt;&gt;0"),0)</f>
        <v>0</v>
      </c>
      <c r="K17" s="322">
        <f>IFERROR(SUMIF(PnL_Speadsheet!$B$3:$BI$3,K$10,PnL_Speadsheet!$B8:$BI8)/1000/COUNTIFS(PnL_Speadsheet!$B$3:$BI$3,'Saleplan&amp;PnL'!K$10,PnL_Speadsheet!$B$8:$BI$8,"&lt;&gt;0"),0)</f>
        <v>0</v>
      </c>
      <c r="M17" s="313"/>
      <c r="O17" s="313"/>
      <c r="Q17" s="316"/>
      <c r="R17" s="323"/>
      <c r="S17" s="323"/>
      <c r="T17" s="323"/>
      <c r="U17" s="323"/>
      <c r="V17" s="323"/>
      <c r="W17" s="323"/>
      <c r="X17" s="323"/>
      <c r="Y17" s="323"/>
      <c r="Z17" s="323"/>
      <c r="AA17" s="323"/>
      <c r="AB17" s="323"/>
      <c r="AC17" s="323"/>
      <c r="AD17" s="323"/>
      <c r="AE17" s="323"/>
      <c r="AF17" s="323"/>
    </row>
    <row r="18" spans="1:32" s="292" customFormat="1" ht="13" x14ac:dyDescent="0.15">
      <c r="A18" s="291"/>
      <c r="E18" s="324"/>
      <c r="F18" s="324"/>
      <c r="G18" s="324"/>
      <c r="H18" s="324"/>
      <c r="I18" s="324"/>
      <c r="J18" s="324"/>
      <c r="K18" s="324"/>
      <c r="M18" s="320"/>
      <c r="O18" s="320"/>
      <c r="Q18" s="316"/>
      <c r="R18" s="323"/>
      <c r="S18" s="323"/>
      <c r="T18" s="323"/>
      <c r="U18" s="323"/>
      <c r="V18" s="323"/>
      <c r="W18" s="323"/>
      <c r="X18" s="323"/>
      <c r="Y18" s="323"/>
      <c r="Z18" s="323"/>
      <c r="AA18" s="323"/>
      <c r="AB18" s="323"/>
      <c r="AC18" s="323"/>
      <c r="AD18" s="323"/>
      <c r="AE18" s="323"/>
      <c r="AF18" s="323"/>
    </row>
    <row r="19" spans="1:32" s="296" customFormat="1" ht="13" x14ac:dyDescent="0.15">
      <c r="A19" s="295"/>
      <c r="C19" s="296" t="s">
        <v>206</v>
      </c>
      <c r="E19" s="325">
        <f ca="1">SUM(F19:O19)</f>
        <v>106.46647491947402</v>
      </c>
      <c r="F19" s="321">
        <f ca="1">SUMIF(PnL_Speadsheet!$B$3:$BI$3,F$10,PnL_Speadsheet!$B9:$BI9)/1000</f>
        <v>106.46647491947402</v>
      </c>
      <c r="G19" s="321">
        <f ca="1">SUMIF(PnL_Speadsheet!$B$3:$BI$3,G$10,PnL_Speadsheet!$B9:$BI9)/1000</f>
        <v>0</v>
      </c>
      <c r="H19" s="321">
        <f ca="1">SUMIF(PnL_Speadsheet!$B$3:$BI$3,H$10,PnL_Speadsheet!$B9:$BI9)/1000</f>
        <v>0</v>
      </c>
      <c r="I19" s="321">
        <f ca="1">SUMIF(PnL_Speadsheet!$B$3:$BI$3,I$10,PnL_Speadsheet!$B9:$BI9)/1000</f>
        <v>0</v>
      </c>
      <c r="J19" s="321">
        <f ca="1">SUMIF(PnL_Speadsheet!$B$3:$BI$3,J$10,PnL_Speadsheet!$B9:$BI9)/1000</f>
        <v>0</v>
      </c>
      <c r="K19" s="321">
        <f>SUMIF(PnL_Speadsheet!$B$3:$BI$3,K$10,PnL_Speadsheet!$B9:$BI9)/1000</f>
        <v>0</v>
      </c>
      <c r="M19" s="315"/>
      <c r="O19" s="315"/>
      <c r="Q19" s="316"/>
      <c r="R19" s="326"/>
      <c r="S19" s="326"/>
      <c r="T19" s="326"/>
      <c r="U19" s="326"/>
      <c r="V19" s="326"/>
      <c r="W19" s="326"/>
      <c r="X19" s="326"/>
      <c r="Y19" s="326"/>
      <c r="Z19" s="326"/>
      <c r="AA19" s="326"/>
      <c r="AB19" s="326"/>
      <c r="AC19" s="326"/>
      <c r="AD19" s="326"/>
      <c r="AE19" s="326"/>
      <c r="AF19" s="326"/>
    </row>
    <row r="20" spans="1:32" s="292" customFormat="1" ht="13" outlineLevel="1" x14ac:dyDescent="0.15">
      <c r="A20" s="291"/>
      <c r="C20" s="327" t="s">
        <v>453</v>
      </c>
      <c r="E20" s="324">
        <f t="shared" ref="E20:E31" ca="1" si="4">SUM(F20:O20)</f>
        <v>41.965315287474048</v>
      </c>
      <c r="F20" s="328">
        <f ca="1">SUMIF(PnL_Speadsheet!$B$3:$BI$3,F$10,PnL_Speadsheet!$B11:$BI11)/1000</f>
        <v>41.965315287474048</v>
      </c>
      <c r="G20" s="328">
        <f ca="1">SUMIF(PnL_Speadsheet!$B$3:$BI$3,G$10,PnL_Speadsheet!$B11:$BI11)/1000</f>
        <v>0</v>
      </c>
      <c r="H20" s="328">
        <f ca="1">SUMIF(PnL_Speadsheet!$B$3:$BI$3,H$10,PnL_Speadsheet!$B11:$BI11)/1000</f>
        <v>0</v>
      </c>
      <c r="I20" s="328">
        <f ca="1">SUMIF(PnL_Speadsheet!$B$3:$BI$3,I$10,PnL_Speadsheet!$B11:$BI11)/1000</f>
        <v>0</v>
      </c>
      <c r="J20" s="328">
        <f ca="1">SUMIF(PnL_Speadsheet!$B$3:$BI$3,J$10,PnL_Speadsheet!$B11:$BI11)/1000</f>
        <v>0</v>
      </c>
      <c r="K20" s="328">
        <f>SUMIF(PnL_Speadsheet!$B$3:$BI$3,K$10,PnL_Speadsheet!$B11:$BI11)/1000</f>
        <v>0</v>
      </c>
      <c r="M20" s="319"/>
      <c r="O20" s="319"/>
      <c r="Q20" s="316"/>
    </row>
    <row r="21" spans="1:32" s="292" customFormat="1" ht="13" outlineLevel="1" x14ac:dyDescent="0.15">
      <c r="A21" s="291"/>
      <c r="C21" s="327" t="s">
        <v>454</v>
      </c>
      <c r="E21" s="324">
        <f t="shared" ca="1" si="4"/>
        <v>64.501159631999982</v>
      </c>
      <c r="F21" s="328">
        <f ca="1">SUMIF(PnL_Speadsheet!$B$3:$BI$3,F$10,PnL_Speadsheet!$B14:$BI14)/1000</f>
        <v>64.501159631999982</v>
      </c>
      <c r="G21" s="328">
        <f ca="1">SUMIF(PnL_Speadsheet!$B$3:$BI$3,G$10,PnL_Speadsheet!$B14:$BI14)/1000</f>
        <v>0</v>
      </c>
      <c r="H21" s="328">
        <f ca="1">SUMIF(PnL_Speadsheet!$B$3:$BI$3,H$10,PnL_Speadsheet!$B14:$BI14)/1000</f>
        <v>0</v>
      </c>
      <c r="I21" s="328">
        <f ca="1">SUMIF(PnL_Speadsheet!$B$3:$BI$3,I$10,PnL_Speadsheet!$B14:$BI14)/1000</f>
        <v>0</v>
      </c>
      <c r="J21" s="328">
        <f ca="1">SUMIF(PnL_Speadsheet!$B$3:$BI$3,J$10,PnL_Speadsheet!$B14:$BI14)/1000</f>
        <v>0</v>
      </c>
      <c r="K21" s="328">
        <f>SUMIF(PnL_Speadsheet!$B$3:$BI$3,K$10,PnL_Speadsheet!$B14:$BI14)/1000</f>
        <v>0</v>
      </c>
      <c r="M21" s="319"/>
      <c r="O21" s="319"/>
      <c r="Q21" s="316"/>
    </row>
    <row r="22" spans="1:32" s="292" customFormat="1" ht="13" outlineLevel="1" x14ac:dyDescent="0.15">
      <c r="A22" s="291"/>
      <c r="C22" s="327" t="s">
        <v>455</v>
      </c>
      <c r="E22" s="324">
        <f t="shared" ca="1" si="4"/>
        <v>0</v>
      </c>
      <c r="F22" s="328">
        <f ca="1">SUMIF(PnL_Speadsheet!$B$3:$BI$3,F$10,PnL_Speadsheet!$B17:$BI17)/1000</f>
        <v>0</v>
      </c>
      <c r="G22" s="328">
        <f ca="1">SUMIF(PnL_Speadsheet!$B$3:$BI$3,G$10,PnL_Speadsheet!$B17:$BI17)/1000</f>
        <v>0</v>
      </c>
      <c r="H22" s="328">
        <f ca="1">SUMIF(PnL_Speadsheet!$B$3:$BI$3,H$10,PnL_Speadsheet!$B17:$BI17)/1000</f>
        <v>0</v>
      </c>
      <c r="I22" s="328">
        <f ca="1">SUMIF(PnL_Speadsheet!$B$3:$BI$3,I$10,PnL_Speadsheet!$B17:$BI17)/1000</f>
        <v>0</v>
      </c>
      <c r="J22" s="328">
        <f ca="1">SUMIF(PnL_Speadsheet!$B$3:$BI$3,J$10,PnL_Speadsheet!$B17:$BI17)/1000</f>
        <v>0</v>
      </c>
      <c r="K22" s="328">
        <f>SUMIF(PnL_Speadsheet!$B$3:$BI$3,K$10,PnL_Speadsheet!$B17:$BI17)/1000</f>
        <v>0</v>
      </c>
      <c r="M22" s="319"/>
      <c r="O22" s="319"/>
      <c r="Q22" s="316"/>
    </row>
    <row r="23" spans="1:32" s="296" customFormat="1" ht="13" x14ac:dyDescent="0.15">
      <c r="A23" s="295"/>
      <c r="C23" s="296" t="s">
        <v>210</v>
      </c>
      <c r="E23" s="325">
        <f t="shared" ca="1" si="4"/>
        <v>-48.023368960026545</v>
      </c>
      <c r="F23" s="321">
        <f ca="1">SUMIF(PnL_Speadsheet!$B$3:$BI$3,F$10,PnL_Speadsheet!$B30:$BI30)/1000</f>
        <v>-48.023368960026545</v>
      </c>
      <c r="G23" s="321">
        <f ca="1">SUMIF(PnL_Speadsheet!$B$3:$BI$3,G$10,PnL_Speadsheet!$B30:$BI30)/1000</f>
        <v>0</v>
      </c>
      <c r="H23" s="321">
        <f ca="1">SUMIF(PnL_Speadsheet!$B$3:$BI$3,H$10,PnL_Speadsheet!$B30:$BI30)/1000</f>
        <v>0</v>
      </c>
      <c r="I23" s="321">
        <f ca="1">SUMIF(PnL_Speadsheet!$B$3:$BI$3,I$10,PnL_Speadsheet!$B30:$BI30)/1000</f>
        <v>0</v>
      </c>
      <c r="J23" s="321">
        <f ca="1">SUMIF(PnL_Speadsheet!$B$3:$BI$3,J$10,PnL_Speadsheet!$B30:$BI30)/1000</f>
        <v>0</v>
      </c>
      <c r="K23" s="321">
        <f>SUMIF(PnL_Speadsheet!$B$3:$BI$3,K$10,PnL_Speadsheet!$B30:$BI30)/1000</f>
        <v>0</v>
      </c>
      <c r="M23" s="315"/>
      <c r="O23" s="315"/>
      <c r="Q23" s="316"/>
    </row>
    <row r="24" spans="1:32" s="296" customFormat="1" ht="13" x14ac:dyDescent="0.15">
      <c r="A24" s="295"/>
      <c r="C24" s="296" t="s">
        <v>213</v>
      </c>
      <c r="E24" s="325">
        <f t="shared" ca="1" si="4"/>
        <v>-44.140995206194773</v>
      </c>
      <c r="F24" s="321">
        <f ca="1">SUMIF(PnL_Speadsheet!$B$3:$BI$3,F$10,PnL_Speadsheet!$B18:$BI18)/1000</f>
        <v>-44.140995206194773</v>
      </c>
      <c r="G24" s="321">
        <f ca="1">SUMIF(PnL_Speadsheet!$B$3:$BI$3,G$10,PnL_Speadsheet!$B18:$BI18)/1000</f>
        <v>0</v>
      </c>
      <c r="H24" s="321">
        <f ca="1">SUMIF(PnL_Speadsheet!$B$3:$BI$3,H$10,PnL_Speadsheet!$B18:$BI18)/1000</f>
        <v>0</v>
      </c>
      <c r="I24" s="321">
        <f ca="1">SUMIF(PnL_Speadsheet!$B$3:$BI$3,I$10,PnL_Speadsheet!$B18:$BI18)/1000</f>
        <v>0</v>
      </c>
      <c r="J24" s="321">
        <f ca="1">SUMIF(PnL_Speadsheet!$B$3:$BI$3,J$10,PnL_Speadsheet!$B18:$BI18)/1000</f>
        <v>0</v>
      </c>
      <c r="K24" s="321">
        <f>SUMIF(PnL_Speadsheet!$B$3:$BI$3,K$10,PnL_Speadsheet!$B18:$BI18)/1000</f>
        <v>0</v>
      </c>
      <c r="M24" s="315"/>
      <c r="O24" s="315"/>
      <c r="Q24" s="316"/>
    </row>
    <row r="25" spans="1:32" s="292" customFormat="1" ht="13" outlineLevel="1" x14ac:dyDescent="0.15">
      <c r="A25" s="291"/>
      <c r="C25" s="327" t="s">
        <v>456</v>
      </c>
      <c r="E25" s="324">
        <f t="shared" ca="1" si="4"/>
        <v>-7.5602163372512476E-3</v>
      </c>
      <c r="F25" s="328">
        <f ca="1">SUMIF(PnL_Speadsheet!$B$3:$BI$3,F$10,PnL_Speadsheet!$B20:$BI21)/1000</f>
        <v>-7.5602163372512476E-3</v>
      </c>
      <c r="G25" s="328">
        <f ca="1">SUMIF(PnL_Speadsheet!$B$3:$BI$3,G$10,PnL_Speadsheet!$B20:$BI21)/1000</f>
        <v>0</v>
      </c>
      <c r="H25" s="328">
        <f ca="1">SUMIF(PnL_Speadsheet!$B$3:$BI$3,H$10,PnL_Speadsheet!$B20:$BI21)/1000</f>
        <v>0</v>
      </c>
      <c r="I25" s="328">
        <f ca="1">SUMIF(PnL_Speadsheet!$B$3:$BI$3,I$10,PnL_Speadsheet!$B20:$BI21)/1000</f>
        <v>0</v>
      </c>
      <c r="J25" s="328">
        <f ca="1">SUMIF(PnL_Speadsheet!$B$3:$BI$3,J$10,PnL_Speadsheet!$B20:$BI21)/1000</f>
        <v>0</v>
      </c>
      <c r="K25" s="328">
        <f>SUMIF(PnL_Speadsheet!$B$3:$BI$3,K$10,PnL_Speadsheet!$B20:$BI21)/1000</f>
        <v>0</v>
      </c>
      <c r="M25" s="319"/>
      <c r="O25" s="319"/>
      <c r="Q25" s="316"/>
    </row>
    <row r="26" spans="1:32" s="292" customFormat="1" ht="13" outlineLevel="1" x14ac:dyDescent="0.15">
      <c r="A26" s="291"/>
      <c r="C26" s="327" t="s">
        <v>235</v>
      </c>
      <c r="E26" s="324">
        <f t="shared" ca="1" si="4"/>
        <v>-17.302183638784786</v>
      </c>
      <c r="F26" s="328">
        <f ca="1">SUMIF(PnL_Speadsheet!$B$3:$BI$3,F$10,PnL_Speadsheet!$B21:$BI21)/1000</f>
        <v>-17.302183638784786</v>
      </c>
      <c r="G26" s="328">
        <f ca="1">SUMIF(PnL_Speadsheet!$B$3:$BI$3,G$10,PnL_Speadsheet!$B21:$BI21)/1000</f>
        <v>0</v>
      </c>
      <c r="H26" s="328">
        <f ca="1">SUMIF(PnL_Speadsheet!$B$3:$BI$3,H$10,PnL_Speadsheet!$B21:$BI21)/1000</f>
        <v>0</v>
      </c>
      <c r="I26" s="328">
        <f ca="1">SUMIF(PnL_Speadsheet!$B$3:$BI$3,I$10,PnL_Speadsheet!$B21:$BI21)/1000</f>
        <v>0</v>
      </c>
      <c r="J26" s="328">
        <f ca="1">SUMIF(PnL_Speadsheet!$B$3:$BI$3,J$10,PnL_Speadsheet!$B21:$BI21)/1000</f>
        <v>0</v>
      </c>
      <c r="K26" s="328">
        <f>SUMIF(PnL_Speadsheet!$B$3:$BI$3,K$10,PnL_Speadsheet!$B21:$BI21)/1000</f>
        <v>0</v>
      </c>
      <c r="M26" s="319"/>
      <c r="O26" s="319"/>
      <c r="Q26" s="316"/>
    </row>
    <row r="27" spans="1:32" s="292" customFormat="1" ht="13" outlineLevel="1" x14ac:dyDescent="0.15">
      <c r="A27" s="291"/>
      <c r="C27" s="327" t="s">
        <v>216</v>
      </c>
      <c r="E27" s="324">
        <f t="shared" ca="1" si="4"/>
        <v>-5.4603004030000015</v>
      </c>
      <c r="F27" s="328">
        <f ca="1">SUMIF(PnL_Speadsheet!$B$3:$BI$3,F$10,PnL_Speadsheet!$B23:$BI23)/1000</f>
        <v>-5.4603004030000015</v>
      </c>
      <c r="G27" s="328">
        <f ca="1">SUMIF(PnL_Speadsheet!$B$3:$BI$3,G$10,PnL_Speadsheet!$B23:$BI23)/1000</f>
        <v>0</v>
      </c>
      <c r="H27" s="328">
        <f ca="1">SUMIF(PnL_Speadsheet!$B$3:$BI$3,H$10,PnL_Speadsheet!$B23:$BI23)/1000</f>
        <v>0</v>
      </c>
      <c r="I27" s="328">
        <f ca="1">SUMIF(PnL_Speadsheet!$B$3:$BI$3,I$10,PnL_Speadsheet!$B23:$BI23)/1000</f>
        <v>0</v>
      </c>
      <c r="J27" s="328">
        <f ca="1">SUMIF(PnL_Speadsheet!$B$3:$BI$3,J$10,PnL_Speadsheet!$B23:$BI23)/1000</f>
        <v>0</v>
      </c>
      <c r="K27" s="328">
        <f>SUMIF(PnL_Speadsheet!$B$3:$BI$3,K$10,PnL_Speadsheet!$B23:$BI23)/1000</f>
        <v>0</v>
      </c>
      <c r="M27" s="319"/>
      <c r="O27" s="319"/>
      <c r="Q27" s="316"/>
    </row>
    <row r="28" spans="1:32" s="292" customFormat="1" ht="13" outlineLevel="1" x14ac:dyDescent="0.15">
      <c r="A28" s="291"/>
      <c r="C28" s="327" t="s">
        <v>144</v>
      </c>
      <c r="E28" s="324">
        <f t="shared" ca="1" si="4"/>
        <v>-1.9310384812325638</v>
      </c>
      <c r="F28" s="328">
        <f ca="1">SUMIF(PnL_Speadsheet!$B$3:$BI$3,F$10,PnL_Speadsheet!$B27:$BI27)/1000</f>
        <v>-1.9310384812325638</v>
      </c>
      <c r="G28" s="328">
        <f ca="1">SUMIF(PnL_Speadsheet!$B$3:$BI$3,G$10,PnL_Speadsheet!$B27:$BI27)/1000</f>
        <v>0</v>
      </c>
      <c r="H28" s="328">
        <f ca="1">SUMIF(PnL_Speadsheet!$B$3:$BI$3,H$10,PnL_Speadsheet!$B27:$BI27)/1000</f>
        <v>0</v>
      </c>
      <c r="I28" s="328">
        <f ca="1">SUMIF(PnL_Speadsheet!$B$3:$BI$3,I$10,PnL_Speadsheet!$B27:$BI27)/1000</f>
        <v>0</v>
      </c>
      <c r="J28" s="328">
        <f ca="1">SUMIF(PnL_Speadsheet!$B$3:$BI$3,J$10,PnL_Speadsheet!$B27:$BI27)/1000</f>
        <v>0</v>
      </c>
      <c r="K28" s="328">
        <f>SUMIF(PnL_Speadsheet!$B$3:$BI$3,K$10,PnL_Speadsheet!$B27:$BI27)/1000</f>
        <v>0</v>
      </c>
      <c r="M28" s="319"/>
      <c r="O28" s="319"/>
      <c r="Q28" s="316"/>
    </row>
    <row r="29" spans="1:32" s="292" customFormat="1" ht="13" outlineLevel="1" x14ac:dyDescent="0.15">
      <c r="A29" s="291"/>
      <c r="C29" s="327" t="s">
        <v>457</v>
      </c>
      <c r="E29" s="324">
        <f t="shared" ca="1" si="4"/>
        <v>-0.29333700000000001</v>
      </c>
      <c r="F29" s="328">
        <f ca="1">SUMIF(PnL_Speadsheet!$B$3:$BI$3,F$10,PnL_Speadsheet!$B28:$BI28)/1000</f>
        <v>-0.29333700000000001</v>
      </c>
      <c r="G29" s="328">
        <f ca="1">SUMIF(PnL_Speadsheet!$B$3:$BI$3,G$10,PnL_Speadsheet!$B28:$BI28)/1000</f>
        <v>0</v>
      </c>
      <c r="H29" s="328">
        <f ca="1">SUMIF(PnL_Speadsheet!$B$3:$BI$3,H$10,PnL_Speadsheet!$B28:$BI28)/1000</f>
        <v>0</v>
      </c>
      <c r="I29" s="328">
        <f ca="1">SUMIF(PnL_Speadsheet!$B$3:$BI$3,I$10,PnL_Speadsheet!$B28:$BI28)/1000</f>
        <v>0</v>
      </c>
      <c r="J29" s="328">
        <f ca="1">SUMIF(PnL_Speadsheet!$B$3:$BI$3,J$10,PnL_Speadsheet!$B28:$BI28)/1000</f>
        <v>0</v>
      </c>
      <c r="K29" s="328">
        <f>SUMIF(PnL_Speadsheet!$B$3:$BI$3,K$10,PnL_Speadsheet!$B28:$BI28)/1000</f>
        <v>0</v>
      </c>
      <c r="M29" s="319"/>
      <c r="O29" s="319"/>
      <c r="Q29" s="316"/>
    </row>
    <row r="30" spans="1:32" s="292" customFormat="1" ht="13" outlineLevel="1" x14ac:dyDescent="0.15">
      <c r="A30" s="291"/>
      <c r="C30" s="327" t="s">
        <v>247</v>
      </c>
      <c r="E30" s="324">
        <f t="shared" ca="1" si="4"/>
        <v>-18.963346559840161</v>
      </c>
      <c r="F30" s="328">
        <f ca="1">SUMIF(PnL_Speadsheet!$B$3:$BI$3,F$10,PnL_Speadsheet!$B29:$BI29)/1000</f>
        <v>-18.963346559840161</v>
      </c>
      <c r="G30" s="328">
        <f ca="1">SUMIF(PnL_Speadsheet!$B$3:$BI$3,G$10,PnL_Speadsheet!$B29:$BI29)/1000</f>
        <v>0</v>
      </c>
      <c r="H30" s="328">
        <f ca="1">SUMIF(PnL_Speadsheet!$B$3:$BI$3,H$10,PnL_Speadsheet!$B29:$BI29)/1000</f>
        <v>0</v>
      </c>
      <c r="I30" s="328">
        <f ca="1">SUMIF(PnL_Speadsheet!$B$3:$BI$3,I$10,PnL_Speadsheet!$B29:$BI29)/1000</f>
        <v>0</v>
      </c>
      <c r="J30" s="328">
        <f ca="1">SUMIF(PnL_Speadsheet!$B$3:$BI$3,J$10,PnL_Speadsheet!$B29:$BI29)/1000</f>
        <v>0</v>
      </c>
      <c r="K30" s="328">
        <f>SUMIF(PnL_Speadsheet!$B$3:$BI$3,K$10,PnL_Speadsheet!$B29:$BI29)/1000</f>
        <v>0</v>
      </c>
      <c r="M30" s="319"/>
      <c r="O30" s="319"/>
      <c r="Q30" s="316"/>
    </row>
    <row r="31" spans="1:32" s="296" customFormat="1" ht="13" x14ac:dyDescent="0.15">
      <c r="A31" s="295"/>
      <c r="C31" s="296" t="s">
        <v>220</v>
      </c>
      <c r="E31" s="322">
        <f t="shared" ca="1" si="4"/>
        <v>14.30211075325272</v>
      </c>
      <c r="F31" s="322">
        <f ca="1">SUMIF(PnL_Speadsheet!$B$3:$BI$3,F$10,PnL_Speadsheet!$B31:$BI31)/1000</f>
        <v>14.30211075325272</v>
      </c>
      <c r="G31" s="322">
        <f ca="1">SUMIF(PnL_Speadsheet!$B$3:$BI$3,G$10,PnL_Speadsheet!$B31:$BI31)/1000</f>
        <v>0</v>
      </c>
      <c r="H31" s="322">
        <f ca="1">SUMIF(PnL_Speadsheet!$B$3:$BI$3,H$10,PnL_Speadsheet!$B31:$BI31)/1000</f>
        <v>0</v>
      </c>
      <c r="I31" s="322">
        <f ca="1">SUMIF(PnL_Speadsheet!$B$3:$BI$3,I$10,PnL_Speadsheet!$B31:$BI31)/1000</f>
        <v>0</v>
      </c>
      <c r="J31" s="322">
        <f ca="1">SUMIF(PnL_Speadsheet!$B$3:$BI$3,J$10,PnL_Speadsheet!$B31:$BI31)/1000</f>
        <v>0</v>
      </c>
      <c r="K31" s="322">
        <f>SUMIF(PnL_Speadsheet!$B$3:$BI$3,K$10,PnL_Speadsheet!$B31:$BI31)/1000</f>
        <v>0</v>
      </c>
      <c r="M31" s="315"/>
      <c r="O31" s="315"/>
      <c r="Q31" s="316"/>
    </row>
    <row r="32" spans="1:32" s="292" customFormat="1" ht="13" x14ac:dyDescent="0.15">
      <c r="A32" s="291"/>
      <c r="C32" s="292" t="s">
        <v>458</v>
      </c>
      <c r="E32" s="329">
        <f t="shared" ref="E32:K32" ca="1" si="5">E19+E23+SUM(E25:E29)</f>
        <v>33.448686220092881</v>
      </c>
      <c r="F32" s="329">
        <f t="shared" ca="1" si="5"/>
        <v>33.448686220092881</v>
      </c>
      <c r="G32" s="329">
        <f t="shared" ca="1" si="5"/>
        <v>0</v>
      </c>
      <c r="H32" s="329">
        <f t="shared" ca="1" si="5"/>
        <v>0</v>
      </c>
      <c r="I32" s="329">
        <f t="shared" ca="1" si="5"/>
        <v>0</v>
      </c>
      <c r="J32" s="329">
        <f t="shared" ca="1" si="5"/>
        <v>0</v>
      </c>
      <c r="K32" s="329">
        <f t="shared" si="5"/>
        <v>0</v>
      </c>
      <c r="M32" s="319"/>
      <c r="O32" s="319"/>
      <c r="Q32" s="316"/>
    </row>
    <row r="33" spans="3:17" x14ac:dyDescent="0.15">
      <c r="C33" s="330"/>
      <c r="D33" s="331"/>
      <c r="F33" s="331"/>
      <c r="H33" s="331"/>
      <c r="J33" s="331"/>
      <c r="L33" s="331"/>
      <c r="N33" s="331"/>
      <c r="P33" s="331"/>
      <c r="Q33" s="332"/>
    </row>
    <row r="34" spans="3:17" x14ac:dyDescent="0.15">
      <c r="D34" s="331"/>
    </row>
  </sheetData>
  <pageMargins left="0.7" right="0.7" top="0.75" bottom="0.75" header="0.3" footer="0.3"/>
  <pageSetup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5B01-BECB-7449-BC9B-5609E2124294}">
  <sheetPr codeName="Sheet8">
    <tabColor theme="4" tint="0.59999389629810485"/>
  </sheetPr>
  <dimension ref="A1:BJ135"/>
  <sheetViews>
    <sheetView showGridLines="0" zoomScale="101" zoomScaleNormal="70" workbookViewId="0">
      <pane xSplit="1" ySplit="6" topLeftCell="AK7" activePane="bottomRight" state="frozen"/>
      <selection activeCell="J1" sqref="J1"/>
      <selection pane="topRight" activeCell="J1" sqref="J1"/>
      <selection pane="bottomLeft" activeCell="J1" sqref="J1"/>
      <selection pane="bottomRight" activeCell="J1" sqref="J1"/>
    </sheetView>
  </sheetViews>
  <sheetFormatPr baseColWidth="10" defaultColWidth="9" defaultRowHeight="11" outlineLevelRow="1" x14ac:dyDescent="0.15"/>
  <cols>
    <col min="1" max="1" width="19.33203125" style="333" bestFit="1" customWidth="1"/>
    <col min="2" max="2" width="7.6640625" style="334" bestFit="1" customWidth="1"/>
    <col min="3" max="10" width="8.83203125" style="334" bestFit="1" customWidth="1"/>
    <col min="11" max="11" width="9.83203125" style="334" bestFit="1" customWidth="1"/>
    <col min="12" max="23" width="8.83203125" style="334" bestFit="1" customWidth="1"/>
    <col min="24" max="26" width="11.5" style="334" customWidth="1"/>
    <col min="27" max="30" width="8.83203125" style="334" bestFit="1" customWidth="1"/>
    <col min="31" max="36" width="8.33203125" style="334" bestFit="1" customWidth="1"/>
    <col min="37" max="37" width="8.33203125" style="334" customWidth="1"/>
    <col min="38" max="16384" width="9" style="334"/>
  </cols>
  <sheetData>
    <row r="1" spans="1:61" x14ac:dyDescent="0.15">
      <c r="A1" s="333" t="s">
        <v>459</v>
      </c>
      <c r="K1" s="335"/>
    </row>
    <row r="2" spans="1:61" x14ac:dyDescent="0.15">
      <c r="A2" s="333" t="s">
        <v>460</v>
      </c>
    </row>
    <row r="3" spans="1:61" x14ac:dyDescent="0.15">
      <c r="B3" s="336">
        <f t="shared" ref="B3:BI3" si="0">YEAR(B4)</f>
        <v>2025</v>
      </c>
      <c r="C3" s="336">
        <f t="shared" si="0"/>
        <v>2025</v>
      </c>
      <c r="D3" s="336">
        <f t="shared" si="0"/>
        <v>2025</v>
      </c>
      <c r="E3" s="336">
        <f t="shared" si="0"/>
        <v>2025</v>
      </c>
      <c r="F3" s="336">
        <f t="shared" si="0"/>
        <v>2025</v>
      </c>
      <c r="G3" s="336">
        <f t="shared" si="0"/>
        <v>2025</v>
      </c>
      <c r="H3" s="336">
        <f t="shared" si="0"/>
        <v>2025</v>
      </c>
      <c r="I3" s="336">
        <f t="shared" si="0"/>
        <v>2025</v>
      </c>
      <c r="J3" s="336">
        <f t="shared" si="0"/>
        <v>2025</v>
      </c>
      <c r="K3" s="336">
        <f t="shared" si="0"/>
        <v>2025</v>
      </c>
      <c r="L3" s="336">
        <f t="shared" si="0"/>
        <v>2025</v>
      </c>
      <c r="M3" s="336">
        <f t="shared" si="0"/>
        <v>2025</v>
      </c>
      <c r="N3" s="336">
        <f t="shared" si="0"/>
        <v>2026</v>
      </c>
      <c r="O3" s="336">
        <f t="shared" si="0"/>
        <v>2026</v>
      </c>
      <c r="P3" s="336">
        <f t="shared" si="0"/>
        <v>2026</v>
      </c>
      <c r="Q3" s="336">
        <f t="shared" si="0"/>
        <v>2026</v>
      </c>
      <c r="R3" s="336">
        <f t="shared" si="0"/>
        <v>2026</v>
      </c>
      <c r="S3" s="336">
        <f t="shared" si="0"/>
        <v>2026</v>
      </c>
      <c r="T3" s="336">
        <f t="shared" si="0"/>
        <v>2026</v>
      </c>
      <c r="U3" s="336">
        <f t="shared" si="0"/>
        <v>2026</v>
      </c>
      <c r="V3" s="336">
        <f t="shared" si="0"/>
        <v>2026</v>
      </c>
      <c r="W3" s="336">
        <f t="shared" si="0"/>
        <v>2026</v>
      </c>
      <c r="X3" s="336">
        <f t="shared" si="0"/>
        <v>2026</v>
      </c>
      <c r="Y3" s="336">
        <f t="shared" si="0"/>
        <v>2026</v>
      </c>
      <c r="Z3" s="336">
        <f t="shared" si="0"/>
        <v>2027</v>
      </c>
      <c r="AA3" s="336">
        <f t="shared" si="0"/>
        <v>2027</v>
      </c>
      <c r="AB3" s="336">
        <f t="shared" si="0"/>
        <v>2027</v>
      </c>
      <c r="AC3" s="336">
        <f t="shared" si="0"/>
        <v>2027</v>
      </c>
      <c r="AD3" s="336">
        <f t="shared" si="0"/>
        <v>2027</v>
      </c>
      <c r="AE3" s="336">
        <f t="shared" si="0"/>
        <v>2027</v>
      </c>
      <c r="AF3" s="336">
        <f t="shared" si="0"/>
        <v>2027</v>
      </c>
      <c r="AG3" s="336">
        <f t="shared" si="0"/>
        <v>2027</v>
      </c>
      <c r="AH3" s="336">
        <f t="shared" si="0"/>
        <v>2027</v>
      </c>
      <c r="AI3" s="336">
        <f t="shared" si="0"/>
        <v>2027</v>
      </c>
      <c r="AJ3" s="336">
        <f t="shared" si="0"/>
        <v>2027</v>
      </c>
      <c r="AK3" s="336">
        <f t="shared" si="0"/>
        <v>2027</v>
      </c>
      <c r="AL3" s="336">
        <f t="shared" si="0"/>
        <v>2028</v>
      </c>
      <c r="AM3" s="336">
        <f t="shared" si="0"/>
        <v>2028</v>
      </c>
      <c r="AN3" s="336">
        <f t="shared" si="0"/>
        <v>2028</v>
      </c>
      <c r="AO3" s="336">
        <f t="shared" si="0"/>
        <v>2028</v>
      </c>
      <c r="AP3" s="336">
        <f t="shared" si="0"/>
        <v>2028</v>
      </c>
      <c r="AQ3" s="336">
        <f t="shared" si="0"/>
        <v>2028</v>
      </c>
      <c r="AR3" s="336">
        <f t="shared" si="0"/>
        <v>2028</v>
      </c>
      <c r="AS3" s="336">
        <f t="shared" si="0"/>
        <v>2028</v>
      </c>
      <c r="AT3" s="336">
        <f t="shared" si="0"/>
        <v>2028</v>
      </c>
      <c r="AU3" s="336">
        <f t="shared" si="0"/>
        <v>2028</v>
      </c>
      <c r="AV3" s="336">
        <f t="shared" si="0"/>
        <v>2028</v>
      </c>
      <c r="AW3" s="336">
        <f t="shared" si="0"/>
        <v>2028</v>
      </c>
      <c r="AX3" s="336">
        <f t="shared" si="0"/>
        <v>2029</v>
      </c>
      <c r="AY3" s="336">
        <f t="shared" si="0"/>
        <v>2029</v>
      </c>
      <c r="AZ3" s="336">
        <f t="shared" si="0"/>
        <v>2029</v>
      </c>
      <c r="BA3" s="336">
        <f t="shared" si="0"/>
        <v>2029</v>
      </c>
      <c r="BB3" s="336">
        <f t="shared" si="0"/>
        <v>2029</v>
      </c>
      <c r="BC3" s="336">
        <f t="shared" si="0"/>
        <v>2029</v>
      </c>
      <c r="BD3" s="336">
        <f t="shared" si="0"/>
        <v>2029</v>
      </c>
      <c r="BE3" s="336">
        <f t="shared" si="0"/>
        <v>2029</v>
      </c>
      <c r="BF3" s="336">
        <f t="shared" si="0"/>
        <v>2029</v>
      </c>
      <c r="BG3" s="336">
        <f t="shared" si="0"/>
        <v>2029</v>
      </c>
      <c r="BH3" s="336">
        <f t="shared" si="0"/>
        <v>2029</v>
      </c>
      <c r="BI3" s="336">
        <f t="shared" si="0"/>
        <v>2029</v>
      </c>
    </row>
    <row r="4" spans="1:61" x14ac:dyDescent="0.15">
      <c r="A4" s="337" t="s">
        <v>441</v>
      </c>
      <c r="B4" s="338">
        <f>'Saleplan&amp;PnL'!D4</f>
        <v>45658</v>
      </c>
      <c r="C4" s="338">
        <f>'Saleplan&amp;PnL'!E4</f>
        <v>45716</v>
      </c>
      <c r="D4" s="338">
        <f>'Saleplan&amp;PnL'!F4</f>
        <v>45747</v>
      </c>
      <c r="E4" s="338">
        <f>'Saleplan&amp;PnL'!G4</f>
        <v>45777</v>
      </c>
      <c r="F4" s="338">
        <f>'Saleplan&amp;PnL'!H4</f>
        <v>45808</v>
      </c>
      <c r="G4" s="338">
        <f>'Saleplan&amp;PnL'!I4</f>
        <v>45838</v>
      </c>
      <c r="H4" s="338">
        <f>'Saleplan&amp;PnL'!J4</f>
        <v>45869</v>
      </c>
      <c r="I4" s="338">
        <f>'Saleplan&amp;PnL'!K4</f>
        <v>45900</v>
      </c>
      <c r="J4" s="338">
        <f>'Saleplan&amp;PnL'!L4</f>
        <v>45930</v>
      </c>
      <c r="K4" s="338">
        <f>'Saleplan&amp;PnL'!M4</f>
        <v>45961</v>
      </c>
      <c r="L4" s="338">
        <f>'Saleplan&amp;PnL'!N4</f>
        <v>45991</v>
      </c>
      <c r="M4" s="338">
        <f>'Saleplan&amp;PnL'!O4</f>
        <v>46022</v>
      </c>
      <c r="N4" s="338">
        <f>'Saleplan&amp;PnL'!P4</f>
        <v>46053</v>
      </c>
      <c r="O4" s="338">
        <f>'Saleplan&amp;PnL'!Q4</f>
        <v>46081</v>
      </c>
      <c r="P4" s="338">
        <f>'Saleplan&amp;PnL'!R4</f>
        <v>46112</v>
      </c>
      <c r="Q4" s="338">
        <f>'Saleplan&amp;PnL'!S4</f>
        <v>46142</v>
      </c>
      <c r="R4" s="338">
        <f>'Saleplan&amp;PnL'!T4</f>
        <v>46173</v>
      </c>
      <c r="S4" s="338">
        <f>'Saleplan&amp;PnL'!U4</f>
        <v>46203</v>
      </c>
      <c r="T4" s="338">
        <f>'Saleplan&amp;PnL'!V4</f>
        <v>46234</v>
      </c>
      <c r="U4" s="338">
        <f>'Saleplan&amp;PnL'!W4</f>
        <v>46265</v>
      </c>
      <c r="V4" s="338">
        <f>'Saleplan&amp;PnL'!X4</f>
        <v>46295</v>
      </c>
      <c r="W4" s="338">
        <f>'Saleplan&amp;PnL'!Y4</f>
        <v>46326</v>
      </c>
      <c r="X4" s="338">
        <f>'Saleplan&amp;PnL'!Z4</f>
        <v>46356</v>
      </c>
      <c r="Y4" s="338">
        <f>'Saleplan&amp;PnL'!AA4</f>
        <v>46387</v>
      </c>
      <c r="Z4" s="338">
        <f>'Saleplan&amp;PnL'!AB4</f>
        <v>46418</v>
      </c>
      <c r="AA4" s="338">
        <f>'Saleplan&amp;PnL'!AC4</f>
        <v>46446</v>
      </c>
      <c r="AB4" s="338">
        <f>'Saleplan&amp;PnL'!AD4</f>
        <v>46477</v>
      </c>
      <c r="AC4" s="338">
        <f>'Saleplan&amp;PnL'!AE4</f>
        <v>46507</v>
      </c>
      <c r="AD4" s="338">
        <f>'Saleplan&amp;PnL'!AF4</f>
        <v>46538</v>
      </c>
      <c r="AE4" s="338">
        <f>'Saleplan&amp;PnL'!AG4</f>
        <v>46568</v>
      </c>
      <c r="AF4" s="338">
        <f>'Saleplan&amp;PnL'!AH4</f>
        <v>46599</v>
      </c>
      <c r="AG4" s="338">
        <f>'Saleplan&amp;PnL'!AI4</f>
        <v>46630</v>
      </c>
      <c r="AH4" s="338">
        <f>'Saleplan&amp;PnL'!AJ4</f>
        <v>46660</v>
      </c>
      <c r="AI4" s="338">
        <f>'Saleplan&amp;PnL'!AK4</f>
        <v>46691</v>
      </c>
      <c r="AJ4" s="338">
        <f>'Saleplan&amp;PnL'!AL4</f>
        <v>46721</v>
      </c>
      <c r="AK4" s="338">
        <f>'Saleplan&amp;PnL'!AM4</f>
        <v>46752</v>
      </c>
      <c r="AL4" s="338">
        <f>'Saleplan&amp;PnL'!AN4</f>
        <v>46783</v>
      </c>
      <c r="AM4" s="338">
        <f>'Saleplan&amp;PnL'!AO4</f>
        <v>46812</v>
      </c>
      <c r="AN4" s="338">
        <f>'Saleplan&amp;PnL'!AP4</f>
        <v>46843</v>
      </c>
      <c r="AO4" s="338">
        <f>'Saleplan&amp;PnL'!AQ4</f>
        <v>46873</v>
      </c>
      <c r="AP4" s="338">
        <f>'Saleplan&amp;PnL'!AR4</f>
        <v>46904</v>
      </c>
      <c r="AQ4" s="338">
        <f>'Saleplan&amp;PnL'!AS4</f>
        <v>46934</v>
      </c>
      <c r="AR4" s="338">
        <f>'Saleplan&amp;PnL'!AT4</f>
        <v>46965</v>
      </c>
      <c r="AS4" s="338">
        <f>'Saleplan&amp;PnL'!AU4</f>
        <v>46996</v>
      </c>
      <c r="AT4" s="338">
        <f>'Saleplan&amp;PnL'!AV4</f>
        <v>47026</v>
      </c>
      <c r="AU4" s="338">
        <f>'Saleplan&amp;PnL'!AW4</f>
        <v>47057</v>
      </c>
      <c r="AV4" s="338">
        <f>'Saleplan&amp;PnL'!AX4</f>
        <v>47087</v>
      </c>
      <c r="AW4" s="338">
        <f>'Saleplan&amp;PnL'!AY4</f>
        <v>47118</v>
      </c>
      <c r="AX4" s="338">
        <f>'Saleplan&amp;PnL'!AZ4</f>
        <v>47149</v>
      </c>
      <c r="AY4" s="338">
        <f>'Saleplan&amp;PnL'!BA4</f>
        <v>47177</v>
      </c>
      <c r="AZ4" s="338">
        <f>'Saleplan&amp;PnL'!BB4</f>
        <v>47208</v>
      </c>
      <c r="BA4" s="338">
        <f>'Saleplan&amp;PnL'!BC4</f>
        <v>47238</v>
      </c>
      <c r="BB4" s="338">
        <f>'Saleplan&amp;PnL'!BD4</f>
        <v>47269</v>
      </c>
      <c r="BC4" s="338">
        <f>'Saleplan&amp;PnL'!BE4</f>
        <v>47299</v>
      </c>
      <c r="BD4" s="338">
        <f>'Saleplan&amp;PnL'!BF4</f>
        <v>47330</v>
      </c>
      <c r="BE4" s="338">
        <f>'Saleplan&amp;PnL'!BG4</f>
        <v>47361</v>
      </c>
      <c r="BF4" s="338">
        <f>'Saleplan&amp;PnL'!BH4</f>
        <v>47391</v>
      </c>
      <c r="BG4" s="338">
        <f>'Saleplan&amp;PnL'!BI4</f>
        <v>47422</v>
      </c>
      <c r="BH4" s="338">
        <f>'Saleplan&amp;PnL'!BJ4</f>
        <v>47452</v>
      </c>
      <c r="BI4" s="338">
        <f>'Saleplan&amp;PnL'!BK4</f>
        <v>47483</v>
      </c>
    </row>
    <row r="5" spans="1:61" s="333" customFormat="1" outlineLevel="1" x14ac:dyDescent="0.15">
      <c r="A5" s="339" t="s">
        <v>461</v>
      </c>
      <c r="B5" s="339">
        <v>1</v>
      </c>
      <c r="C5" s="339">
        <v>2</v>
      </c>
      <c r="D5" s="339">
        <v>3</v>
      </c>
      <c r="E5" s="339">
        <v>4</v>
      </c>
      <c r="F5" s="339">
        <v>5</v>
      </c>
      <c r="G5" s="339">
        <v>6</v>
      </c>
      <c r="H5" s="339">
        <v>7</v>
      </c>
      <c r="I5" s="339">
        <v>8</v>
      </c>
      <c r="J5" s="339">
        <v>9</v>
      </c>
      <c r="K5" s="339">
        <v>10</v>
      </c>
      <c r="L5" s="339">
        <v>11</v>
      </c>
      <c r="M5" s="339">
        <v>12</v>
      </c>
      <c r="N5" s="339">
        <v>13</v>
      </c>
      <c r="O5" s="339">
        <v>14</v>
      </c>
      <c r="P5" s="339">
        <v>15</v>
      </c>
      <c r="Q5" s="339">
        <v>16</v>
      </c>
      <c r="R5" s="339">
        <v>17</v>
      </c>
      <c r="S5" s="339">
        <v>18</v>
      </c>
      <c r="T5" s="339">
        <v>19</v>
      </c>
      <c r="U5" s="339">
        <v>20</v>
      </c>
      <c r="V5" s="339">
        <v>21</v>
      </c>
      <c r="W5" s="339">
        <v>22</v>
      </c>
      <c r="X5" s="339">
        <v>23</v>
      </c>
      <c r="Y5" s="339">
        <v>24</v>
      </c>
      <c r="Z5" s="339">
        <v>25</v>
      </c>
      <c r="AA5" s="339">
        <v>26</v>
      </c>
      <c r="AB5" s="339">
        <v>27</v>
      </c>
      <c r="AC5" s="339">
        <v>28</v>
      </c>
      <c r="AD5" s="339">
        <v>29</v>
      </c>
      <c r="AE5" s="339">
        <v>30</v>
      </c>
      <c r="AF5" s="339">
        <v>31</v>
      </c>
      <c r="AG5" s="339">
        <v>32</v>
      </c>
      <c r="AH5" s="339">
        <v>33</v>
      </c>
      <c r="AI5" s="339">
        <v>34</v>
      </c>
      <c r="AJ5" s="339">
        <v>35</v>
      </c>
      <c r="AK5" s="339">
        <v>36</v>
      </c>
      <c r="AL5" s="339">
        <f t="shared" ref="AL5:BI5" si="1">AK5+1</f>
        <v>37</v>
      </c>
      <c r="AM5" s="339">
        <f t="shared" si="1"/>
        <v>38</v>
      </c>
      <c r="AN5" s="339">
        <f t="shared" si="1"/>
        <v>39</v>
      </c>
      <c r="AO5" s="339">
        <f t="shared" si="1"/>
        <v>40</v>
      </c>
      <c r="AP5" s="339">
        <f t="shared" si="1"/>
        <v>41</v>
      </c>
      <c r="AQ5" s="339">
        <f t="shared" si="1"/>
        <v>42</v>
      </c>
      <c r="AR5" s="339">
        <f t="shared" si="1"/>
        <v>43</v>
      </c>
      <c r="AS5" s="339">
        <f t="shared" si="1"/>
        <v>44</v>
      </c>
      <c r="AT5" s="339">
        <f t="shared" si="1"/>
        <v>45</v>
      </c>
      <c r="AU5" s="339">
        <f t="shared" si="1"/>
        <v>46</v>
      </c>
      <c r="AV5" s="339">
        <f t="shared" si="1"/>
        <v>47</v>
      </c>
      <c r="AW5" s="339">
        <f t="shared" si="1"/>
        <v>48</v>
      </c>
      <c r="AX5" s="339">
        <f t="shared" si="1"/>
        <v>49</v>
      </c>
      <c r="AY5" s="339">
        <f t="shared" si="1"/>
        <v>50</v>
      </c>
      <c r="AZ5" s="339">
        <f t="shared" si="1"/>
        <v>51</v>
      </c>
      <c r="BA5" s="339">
        <f t="shared" si="1"/>
        <v>52</v>
      </c>
      <c r="BB5" s="339">
        <f t="shared" si="1"/>
        <v>53</v>
      </c>
      <c r="BC5" s="339">
        <f t="shared" si="1"/>
        <v>54</v>
      </c>
      <c r="BD5" s="339">
        <f t="shared" si="1"/>
        <v>55</v>
      </c>
      <c r="BE5" s="339">
        <f t="shared" si="1"/>
        <v>56</v>
      </c>
      <c r="BF5" s="339">
        <f t="shared" si="1"/>
        <v>57</v>
      </c>
      <c r="BG5" s="339">
        <f t="shared" si="1"/>
        <v>58</v>
      </c>
      <c r="BH5" s="339">
        <f t="shared" si="1"/>
        <v>59</v>
      </c>
      <c r="BI5" s="339">
        <f t="shared" si="1"/>
        <v>60</v>
      </c>
    </row>
    <row r="6" spans="1:61" x14ac:dyDescent="0.15">
      <c r="A6" s="334" t="s">
        <v>462</v>
      </c>
      <c r="K6" s="335"/>
    </row>
    <row r="7" spans="1:61" s="333" customFormat="1" x14ac:dyDescent="0.15">
      <c r="A7" s="333" t="s">
        <v>390</v>
      </c>
      <c r="B7" s="340" cm="1">
        <f t="array" aca="1" ref="B7" ca="1">SUMPRODUCT(B$54:B$113,TRANSPOSE(SAP_Speadsheet!$E$42:$BL$42))</f>
        <v>0</v>
      </c>
      <c r="C7" s="340" cm="1">
        <f t="array" aca="1" ref="C7" ca="1">SUMPRODUCT(C$54:C$113,TRANSPOSE(SAP_Speadsheet!$E$42:$BL$42))</f>
        <v>0</v>
      </c>
      <c r="D7" s="340" cm="1">
        <f t="array" aca="1" ref="D7" ca="1">SUMPRODUCT(D$54:D$113,TRANSPOSE(SAP_Speadsheet!$E$42:$BL$42))</f>
        <v>0</v>
      </c>
      <c r="E7" s="340" cm="1">
        <f t="array" aca="1" ref="E7" ca="1">SUMPRODUCT(E$54:E$113,TRANSPOSE(SAP_Speadsheet!$E$42:$BL$42))</f>
        <v>17986.377199023649</v>
      </c>
      <c r="F7" s="340" cm="1">
        <f t="array" aca="1" ref="F7" ca="1">SUMPRODUCT(F$54:F$113,TRANSPOSE(SAP_Speadsheet!$E$42:$BL$42))</f>
        <v>37713.505685643075</v>
      </c>
      <c r="G7" s="340" cm="1">
        <f t="array" aca="1" ref="G7" ca="1">SUMPRODUCT(G$54:G$113,TRANSPOSE(SAP_Speadsheet!$E$42:$BL$42))</f>
        <v>66625.389263239573</v>
      </c>
      <c r="H7" s="340" cm="1">
        <f t="array" aca="1" ref="H7" ca="1">SUMPRODUCT(H$54:H$113,TRANSPOSE(SAP_Speadsheet!$E$42:$BL$42))</f>
        <v>56471.85192219037</v>
      </c>
      <c r="I7" s="340" cm="1">
        <f t="array" aca="1" ref="I7" ca="1">SUMPRODUCT(I$54:I$113,TRANSPOSE(SAP_Speadsheet!$E$42:$BL$42))</f>
        <v>53478.625124824714</v>
      </c>
      <c r="J7" s="340" cm="1">
        <f t="array" aca="1" ref="J7" ca="1">SUMPRODUCT(J$54:J$113,TRANSPOSE(SAP_Speadsheet!$E$42:$BL$42))</f>
        <v>52442.988990984726</v>
      </c>
      <c r="K7" s="340" cm="1">
        <f t="array" aca="1" ref="K7" ca="1">SUMPRODUCT(K$54:K$113,TRANSPOSE(SAP_Speadsheet!$E$42:$BL$42))</f>
        <v>51978.707738672812</v>
      </c>
      <c r="L7" s="340" cm="1">
        <f t="array" aca="1" ref="L7" ca="1">SUMPRODUCT(L$54:L$113,TRANSPOSE(SAP_Speadsheet!$E$42:$BL$42))</f>
        <v>39688.841676837576</v>
      </c>
      <c r="M7" s="340" cm="1">
        <f t="array" aca="1" ref="M7" ca="1">SUMPRODUCT(M$54:M$113,TRANSPOSE(SAP_Speadsheet!$E$42:$BL$42))</f>
        <v>23688.784921308099</v>
      </c>
      <c r="N7" s="340" cm="1">
        <f t="array" aca="1" ref="N7" ca="1">SUMPRODUCT(N$54:N$113,TRANSPOSE(SAP_Speadsheet!$E$42:$BL$42))</f>
        <v>0</v>
      </c>
      <c r="O7" s="340" cm="1">
        <f t="array" aca="1" ref="O7" ca="1">SUMPRODUCT(O$54:O$113,TRANSPOSE(SAP_Speadsheet!$E$42:$BL$42))</f>
        <v>0</v>
      </c>
      <c r="P7" s="340" cm="1">
        <f t="array" aca="1" ref="P7" ca="1">SUMPRODUCT(P$54:P$113,TRANSPOSE(SAP_Speadsheet!$E$42:$BL$42))</f>
        <v>0</v>
      </c>
      <c r="Q7" s="340" cm="1">
        <f t="array" aca="1" ref="Q7" ca="1">SUMPRODUCT(Q$54:Q$113,TRANSPOSE(SAP_Speadsheet!$E$42:$BL$42))</f>
        <v>0</v>
      </c>
      <c r="R7" s="340" cm="1">
        <f t="array" aca="1" ref="R7" ca="1">SUMPRODUCT(R$54:R$113,TRANSPOSE(SAP_Speadsheet!$E$42:$BL$42))</f>
        <v>0</v>
      </c>
      <c r="S7" s="340" cm="1">
        <f t="array" aca="1" ref="S7" ca="1">SUMPRODUCT(S$54:S$113,TRANSPOSE(SAP_Speadsheet!$E$42:$BL$42))</f>
        <v>0</v>
      </c>
      <c r="T7" s="340" cm="1">
        <f t="array" aca="1" ref="T7" ca="1">SUMPRODUCT(T$54:T$113,TRANSPOSE(SAP_Speadsheet!$E$42:$BL$42))</f>
        <v>0</v>
      </c>
      <c r="U7" s="340" cm="1">
        <f t="array" aca="1" ref="U7" ca="1">SUMPRODUCT(U$54:U$113,TRANSPOSE(SAP_Speadsheet!$E$42:$BL$42))</f>
        <v>0</v>
      </c>
      <c r="V7" s="340" cm="1">
        <f t="array" aca="1" ref="V7" ca="1">SUMPRODUCT(V$54:V$113,TRANSPOSE(SAP_Speadsheet!$E$42:$BL$42))</f>
        <v>0</v>
      </c>
      <c r="W7" s="340" cm="1">
        <f t="array" aca="1" ref="W7" ca="1">SUMPRODUCT(W$54:W$113,TRANSPOSE(SAP_Speadsheet!$E$42:$BL$42))</f>
        <v>0</v>
      </c>
      <c r="X7" s="340" cm="1">
        <f t="array" aca="1" ref="X7" ca="1">SUMPRODUCT(X$54:X$113,TRANSPOSE(SAP_Speadsheet!$E$42:$BL$42))</f>
        <v>0</v>
      </c>
      <c r="Y7" s="340" cm="1">
        <f t="array" aca="1" ref="Y7" ca="1">SUMPRODUCT(Y$54:Y$113,TRANSPOSE(SAP_Speadsheet!$E$42:$BL$42))</f>
        <v>0</v>
      </c>
      <c r="Z7" s="340" cm="1">
        <f t="array" aca="1" ref="Z7" ca="1">SUMPRODUCT(Z$54:Z$113,TRANSPOSE(SAP_Speadsheet!$E$42:$BL$42))</f>
        <v>0</v>
      </c>
      <c r="AA7" s="340" cm="1">
        <f t="array" aca="1" ref="AA7" ca="1">SUMPRODUCT(AA$54:AA$113,TRANSPOSE(SAP_Speadsheet!$E$42:$BL$42))</f>
        <v>0</v>
      </c>
      <c r="AB7" s="340" cm="1">
        <f t="array" aca="1" ref="AB7" ca="1">SUMPRODUCT(AB$54:AB$113,TRANSPOSE(SAP_Speadsheet!$E$42:$BL$42))</f>
        <v>0</v>
      </c>
      <c r="AC7" s="340" cm="1">
        <f t="array" aca="1" ref="AC7" ca="1">SUMPRODUCT(AC$54:AC$113,TRANSPOSE(SAP_Speadsheet!$E$42:$BL$42))</f>
        <v>0</v>
      </c>
      <c r="AD7" s="340" cm="1">
        <f t="array" aca="1" ref="AD7" ca="1">SUMPRODUCT(AD$54:AD$113,TRANSPOSE(SAP_Speadsheet!$E$42:$BL$42))</f>
        <v>0</v>
      </c>
      <c r="AE7" s="340" cm="1">
        <f t="array" aca="1" ref="AE7" ca="1">SUMPRODUCT(AE$54:AE$113,TRANSPOSE(SAP_Speadsheet!$E$42:$BL$42))</f>
        <v>0</v>
      </c>
      <c r="AF7" s="340" cm="1">
        <f t="array" aca="1" ref="AF7" ca="1">SUMPRODUCT(AF$54:AF$113,TRANSPOSE(SAP_Speadsheet!$E$42:$BL$42))</f>
        <v>0</v>
      </c>
      <c r="AG7" s="340" cm="1">
        <f t="array" aca="1" ref="AG7" ca="1">SUMPRODUCT(AG$54:AG$113,TRANSPOSE(SAP_Speadsheet!$E$42:$BL$42))</f>
        <v>0</v>
      </c>
      <c r="AH7" s="340" cm="1">
        <f t="array" aca="1" ref="AH7" ca="1">SUMPRODUCT(AH$54:AH$113,TRANSPOSE(SAP_Speadsheet!$E$42:$BL$42))</f>
        <v>0</v>
      </c>
      <c r="AI7" s="340" cm="1">
        <f t="array" aca="1" ref="AI7" ca="1">SUMPRODUCT(AI$54:AI$113,TRANSPOSE(SAP_Speadsheet!$E$42:$BL$42))</f>
        <v>0</v>
      </c>
      <c r="AJ7" s="340" cm="1">
        <f t="array" aca="1" ref="AJ7" ca="1">SUMPRODUCT(AJ$54:AJ$113,TRANSPOSE(SAP_Speadsheet!$E$42:$BL$42))</f>
        <v>0</v>
      </c>
      <c r="AK7" s="340" cm="1">
        <f t="array" aca="1" ref="AK7" ca="1">SUMPRODUCT(AK$54:AK$113,TRANSPOSE(SAP_Speadsheet!$E$42:$BL$42))</f>
        <v>0</v>
      </c>
      <c r="AL7" s="340" cm="1">
        <f t="array" aca="1" ref="AL7" ca="1">SUMPRODUCT(AL$54:AL$113,TRANSPOSE(SAP_Speadsheet!$E$42:$BL$42))</f>
        <v>0</v>
      </c>
      <c r="AM7" s="340" cm="1">
        <f t="array" aca="1" ref="AM7" ca="1">SUMPRODUCT(AM$54:AM$113,TRANSPOSE(SAP_Speadsheet!$E$42:$BL$42))</f>
        <v>0</v>
      </c>
      <c r="AN7" s="340" cm="1">
        <f t="array" aca="1" ref="AN7" ca="1">SUMPRODUCT(AN$54:AN$113,TRANSPOSE(SAP_Speadsheet!$E$42:$BL$42))</f>
        <v>0</v>
      </c>
      <c r="AO7" s="340" cm="1">
        <f t="array" aca="1" ref="AO7" ca="1">SUMPRODUCT(AO$54:AO$113,TRANSPOSE(SAP_Speadsheet!$E$42:$BL$42))</f>
        <v>0</v>
      </c>
      <c r="AP7" s="340" cm="1">
        <f t="array" aca="1" ref="AP7" ca="1">SUMPRODUCT(AP$54:AP$113,TRANSPOSE(SAP_Speadsheet!$E$42:$BL$42))</f>
        <v>0</v>
      </c>
      <c r="AQ7" s="340" cm="1">
        <f t="array" aca="1" ref="AQ7" ca="1">SUMPRODUCT(AQ$54:AQ$113,TRANSPOSE(SAP_Speadsheet!$E$42:$BL$42))</f>
        <v>0</v>
      </c>
      <c r="AR7" s="340" cm="1">
        <f t="array" aca="1" ref="AR7" ca="1">SUMPRODUCT(AR$54:AR$113,TRANSPOSE(SAP_Speadsheet!$E$42:$BL$42))</f>
        <v>0</v>
      </c>
      <c r="AS7" s="340" cm="1">
        <f t="array" aca="1" ref="AS7" ca="1">SUMPRODUCT(AS$54:AS$113,TRANSPOSE(SAP_Speadsheet!$E$42:$BL$42))</f>
        <v>0</v>
      </c>
      <c r="AT7" s="340" cm="1">
        <f t="array" aca="1" ref="AT7" ca="1">SUMPRODUCT(AT$54:AT$113,TRANSPOSE(SAP_Speadsheet!$E$42:$BL$42))</f>
        <v>0</v>
      </c>
      <c r="AU7" s="340" cm="1">
        <f t="array" aca="1" ref="AU7" ca="1">SUMPRODUCT(AU$54:AU$113,TRANSPOSE(SAP_Speadsheet!$E$42:$BL$42))</f>
        <v>0</v>
      </c>
      <c r="AV7" s="340" cm="1">
        <f t="array" aca="1" ref="AV7" ca="1">SUMPRODUCT(AV$54:AV$113,TRANSPOSE(SAP_Speadsheet!$E$42:$BL$42))</f>
        <v>0</v>
      </c>
      <c r="AW7" s="340" cm="1">
        <f t="array" aca="1" ref="AW7" ca="1">SUMPRODUCT(AW$54:AW$113,TRANSPOSE(SAP_Speadsheet!$E$42:$BL$42))</f>
        <v>0</v>
      </c>
      <c r="AX7" s="340" cm="1">
        <f t="array" aca="1" ref="AX7" ca="1">SUMPRODUCT(AX$54:AX$113,TRANSPOSE(SAP_Speadsheet!$E$42:$BL$42))</f>
        <v>0</v>
      </c>
      <c r="AY7" s="340" cm="1">
        <f t="array" aca="1" ref="AY7" ca="1">SUMPRODUCT(AY$54:AY$113,TRANSPOSE(SAP_Speadsheet!$E$42:$BL$42))</f>
        <v>0</v>
      </c>
      <c r="AZ7" s="340" cm="1">
        <f t="array" aca="1" ref="AZ7" ca="1">SUMPRODUCT(AZ$54:AZ$113,TRANSPOSE(SAP_Speadsheet!$E$42:$BL$42))</f>
        <v>0</v>
      </c>
      <c r="BA7" s="340" cm="1">
        <f t="array" aca="1" ref="BA7" ca="1">SUMPRODUCT(BA$54:BA$113,TRANSPOSE(SAP_Speadsheet!$E$42:$BL$42))</f>
        <v>0</v>
      </c>
      <c r="BB7" s="340" cm="1">
        <f t="array" aca="1" ref="BB7" ca="1">SUMPRODUCT(BB$54:BB$113,TRANSPOSE(SAP_Speadsheet!$E$42:$BL$42))</f>
        <v>0</v>
      </c>
      <c r="BC7" s="340" cm="1">
        <f t="array" aca="1" ref="BC7" ca="1">SUMPRODUCT(BC$54:BC$113,TRANSPOSE(SAP_Speadsheet!$E$42:$BL$42))</f>
        <v>0</v>
      </c>
      <c r="BD7" s="340" cm="1">
        <f t="array" aca="1" ref="BD7" ca="1">SUMPRODUCT(BD$54:BD$113,TRANSPOSE(SAP_Speadsheet!$E$42:$BL$42))</f>
        <v>0</v>
      </c>
      <c r="BE7" s="340" cm="1">
        <f t="array" aca="1" ref="BE7" ca="1">SUMPRODUCT(BE$54:BE$113,TRANSPOSE(SAP_Speadsheet!$E$42:$BL$42))</f>
        <v>0</v>
      </c>
      <c r="BF7" s="340" cm="1">
        <f t="array" aca="1" ref="BF7" ca="1">SUMPRODUCT(BF$54:BF$113,TRANSPOSE(SAP_Speadsheet!$E$42:$BL$42))</f>
        <v>0</v>
      </c>
      <c r="BG7" s="340" cm="1">
        <f t="array" aca="1" ref="BG7" ca="1">SUMPRODUCT(BG$54:BG$113,TRANSPOSE(SAP_Speadsheet!$E$42:$BL$42))</f>
        <v>0</v>
      </c>
      <c r="BH7" s="340" cm="1">
        <f t="array" aca="1" ref="BH7" ca="1">SUMPRODUCT(BH$54:BH$113,TRANSPOSE(SAP_Speadsheet!$E$42:$BL$42))</f>
        <v>0</v>
      </c>
      <c r="BI7" s="340" cm="1">
        <f t="array" aca="1" ref="BI7" ca="1">SUMPRODUCT(BI$54:BI$113,TRANSPOSE(SAP_Speadsheet!$E$42:$BL$42))</f>
        <v>0</v>
      </c>
    </row>
    <row r="8" spans="1:61" s="333" customFormat="1" x14ac:dyDescent="0.15">
      <c r="A8" s="333" t="s">
        <v>205</v>
      </c>
      <c r="B8" s="340" cm="1">
        <f t="array" aca="1" ref="B8" ca="1">SUMPRODUCT(B$54:B$113,TRANSPOSE(SAP_Speadsheet!$E$48:$BL$48))</f>
        <v>0</v>
      </c>
      <c r="C8" s="340" cm="1">
        <f t="array" aca="1" ref="C8" ca="1">SUMPRODUCT(C$54:C$113,TRANSPOSE(SAP_Speadsheet!$E$48:$BL$48))</f>
        <v>0</v>
      </c>
      <c r="D8" s="340" cm="1">
        <f t="array" aca="1" ref="D8" ca="1">SUMPRODUCT(D$54:D$113,TRANSPOSE(SAP_Speadsheet!$E$48:$BL$48))</f>
        <v>0</v>
      </c>
      <c r="E8" s="340" cm="1">
        <f t="array" aca="1" ref="E8" ca="1">SUMPRODUCT(E$54:E$113,TRANSPOSE(SAP_Speadsheet!$E$48:$BL$48))</f>
        <v>127324.61754045688</v>
      </c>
      <c r="F8" s="340" cm="1">
        <f t="array" aca="1" ref="F8" ca="1">SUMPRODUCT(F$54:F$113,TRANSPOSE(SAP_Speadsheet!$E$48:$BL$48))</f>
        <v>184849.91014229963</v>
      </c>
      <c r="G8" s="340" cm="1">
        <f t="array" aca="1" ref="G8" ca="1">SUMPRODUCT(G$54:G$113,TRANSPOSE(SAP_Speadsheet!$E$48:$BL$48))</f>
        <v>286357.11583353003</v>
      </c>
      <c r="H8" s="340" cm="1">
        <f t="array" aca="1" ref="H8" ca="1">SUMPRODUCT(H$54:H$113,TRANSPOSE(SAP_Speadsheet!$E$48:$BL$48))</f>
        <v>61548.620592714971</v>
      </c>
      <c r="I8" s="340" cm="1">
        <f t="array" aca="1" ref="I8" ca="1">SUMPRODUCT(I$54:I$113,TRANSPOSE(SAP_Speadsheet!$E$48:$BL$48))</f>
        <v>54975.238523507534</v>
      </c>
      <c r="J8" s="340" cm="1">
        <f t="array" aca="1" ref="J8" ca="1">SUMPRODUCT(J$54:J$113,TRANSPOSE(SAP_Speadsheet!$E$48:$BL$48))</f>
        <v>52960.807057904713</v>
      </c>
      <c r="K8" s="340" cm="1">
        <f t="array" aca="1" ref="K8" ca="1">SUMPRODUCT(K$54:K$113,TRANSPOSE(SAP_Speadsheet!$E$48:$BL$48))</f>
        <v>46226.058923834462</v>
      </c>
      <c r="L8" s="340" cm="1">
        <f t="array" aca="1" ref="L8" ca="1">SUMPRODUCT(L$54:L$113,TRANSPOSE(SAP_Speadsheet!$E$48:$BL$48))</f>
        <v>31908.476449099941</v>
      </c>
      <c r="M8" s="340" cm="1">
        <f t="array" aca="1" ref="M8" ca="1">SUMPRODUCT(M$54:M$113,TRANSPOSE(SAP_Speadsheet!$E$48:$BL$48))</f>
        <v>11903.912020757838</v>
      </c>
      <c r="N8" s="340" cm="1">
        <f t="array" aca="1" ref="N8" ca="1">SUMPRODUCT(N$54:N$113,TRANSPOSE(SAP_Speadsheet!$E$48:$BL$48))</f>
        <v>0</v>
      </c>
      <c r="O8" s="340" cm="1">
        <f t="array" aca="1" ref="O8" ca="1">SUMPRODUCT(O$54:O$113,TRANSPOSE(SAP_Speadsheet!$E$48:$BL$48))</f>
        <v>0</v>
      </c>
      <c r="P8" s="340" cm="1">
        <f t="array" aca="1" ref="P8" ca="1">SUMPRODUCT(P$54:P$113,TRANSPOSE(SAP_Speadsheet!$E$48:$BL$48))</f>
        <v>0</v>
      </c>
      <c r="Q8" s="340" cm="1">
        <f t="array" aca="1" ref="Q8" ca="1">SUMPRODUCT(Q$54:Q$113,TRANSPOSE(SAP_Speadsheet!$E$48:$BL$48))</f>
        <v>0</v>
      </c>
      <c r="R8" s="340" cm="1">
        <f t="array" aca="1" ref="R8" ca="1">SUMPRODUCT(R$54:R$113,TRANSPOSE(SAP_Speadsheet!$E$48:$BL$48))</f>
        <v>0</v>
      </c>
      <c r="S8" s="340" cm="1">
        <f t="array" aca="1" ref="S8" ca="1">SUMPRODUCT(S$54:S$113,TRANSPOSE(SAP_Speadsheet!$E$48:$BL$48))</f>
        <v>0</v>
      </c>
      <c r="T8" s="340" cm="1">
        <f t="array" aca="1" ref="T8" ca="1">SUMPRODUCT(T$54:T$113,TRANSPOSE(SAP_Speadsheet!$E$48:$BL$48))</f>
        <v>0</v>
      </c>
      <c r="U8" s="340" cm="1">
        <f t="array" aca="1" ref="U8" ca="1">SUMPRODUCT(U$54:U$113,TRANSPOSE(SAP_Speadsheet!$E$48:$BL$48))</f>
        <v>0</v>
      </c>
      <c r="V8" s="340" cm="1">
        <f t="array" aca="1" ref="V8" ca="1">SUMPRODUCT(V$54:V$113,TRANSPOSE(SAP_Speadsheet!$E$48:$BL$48))</f>
        <v>0</v>
      </c>
      <c r="W8" s="340" cm="1">
        <f t="array" aca="1" ref="W8" ca="1">SUMPRODUCT(W$54:W$113,TRANSPOSE(SAP_Speadsheet!$E$48:$BL$48))</f>
        <v>0</v>
      </c>
      <c r="X8" s="340" cm="1">
        <f t="array" aca="1" ref="X8" ca="1">SUMPRODUCT(X$54:X$113,TRANSPOSE(SAP_Speadsheet!$E$48:$BL$48))</f>
        <v>0</v>
      </c>
      <c r="Y8" s="340" cm="1">
        <f t="array" aca="1" ref="Y8" ca="1">SUMPRODUCT(Y$54:Y$113,TRANSPOSE(SAP_Speadsheet!$E$48:$BL$48))</f>
        <v>0</v>
      </c>
      <c r="Z8" s="340" cm="1">
        <f t="array" aca="1" ref="Z8" ca="1">SUMPRODUCT(Z$54:Z$113,TRANSPOSE(SAP_Speadsheet!$E$48:$BL$48))</f>
        <v>0</v>
      </c>
      <c r="AA8" s="340" cm="1">
        <f t="array" aca="1" ref="AA8" ca="1">SUMPRODUCT(AA$54:AA$113,TRANSPOSE(SAP_Speadsheet!$E$48:$BL$48))</f>
        <v>0</v>
      </c>
      <c r="AB8" s="340" cm="1">
        <f t="array" aca="1" ref="AB8" ca="1">SUMPRODUCT(AB$54:AB$113,TRANSPOSE(SAP_Speadsheet!$E$48:$BL$48))</f>
        <v>0</v>
      </c>
      <c r="AC8" s="340" cm="1">
        <f t="array" aca="1" ref="AC8" ca="1">SUMPRODUCT(AC$54:AC$113,TRANSPOSE(SAP_Speadsheet!$E$48:$BL$48))</f>
        <v>0</v>
      </c>
      <c r="AD8" s="340" cm="1">
        <f t="array" aca="1" ref="AD8" ca="1">SUMPRODUCT(AD$54:AD$113,TRANSPOSE(SAP_Speadsheet!$E$48:$BL$48))</f>
        <v>0</v>
      </c>
      <c r="AE8" s="340" cm="1">
        <f t="array" aca="1" ref="AE8" ca="1">SUMPRODUCT(AE$54:AE$113,TRANSPOSE(SAP_Speadsheet!$E$48:$BL$48))</f>
        <v>0</v>
      </c>
      <c r="AF8" s="340" cm="1">
        <f t="array" aca="1" ref="AF8" ca="1">SUMPRODUCT(AF$54:AF$113,TRANSPOSE(SAP_Speadsheet!$E$48:$BL$48))</f>
        <v>0</v>
      </c>
      <c r="AG8" s="340" cm="1">
        <f t="array" aca="1" ref="AG8" ca="1">SUMPRODUCT(AG$54:AG$113,TRANSPOSE(SAP_Speadsheet!$E$48:$BL$48))</f>
        <v>0</v>
      </c>
      <c r="AH8" s="340" cm="1">
        <f t="array" aca="1" ref="AH8" ca="1">SUMPRODUCT(AH$54:AH$113,TRANSPOSE(SAP_Speadsheet!$E$48:$BL$48))</f>
        <v>0</v>
      </c>
      <c r="AI8" s="340" cm="1">
        <f t="array" aca="1" ref="AI8" ca="1">SUMPRODUCT(AI$54:AI$113,TRANSPOSE(SAP_Speadsheet!$E$48:$BL$48))</f>
        <v>0</v>
      </c>
      <c r="AJ8" s="340" cm="1">
        <f t="array" aca="1" ref="AJ8" ca="1">SUMPRODUCT(AJ$54:AJ$113,TRANSPOSE(SAP_Speadsheet!$E$48:$BL$48))</f>
        <v>0</v>
      </c>
      <c r="AK8" s="340" cm="1">
        <f t="array" aca="1" ref="AK8" ca="1">SUMPRODUCT(AK$54:AK$113,TRANSPOSE(SAP_Speadsheet!$E$48:$BL$48))</f>
        <v>0</v>
      </c>
      <c r="AL8" s="340" cm="1">
        <f t="array" aca="1" ref="AL8" ca="1">SUMPRODUCT(AL$54:AL$113,TRANSPOSE(SAP_Speadsheet!$E$48:$BL$48))</f>
        <v>0</v>
      </c>
      <c r="AM8" s="340" cm="1">
        <f t="array" aca="1" ref="AM8" ca="1">SUMPRODUCT(AM$54:AM$113,TRANSPOSE(SAP_Speadsheet!$E$48:$BL$48))</f>
        <v>0</v>
      </c>
      <c r="AN8" s="340" cm="1">
        <f t="array" aca="1" ref="AN8" ca="1">SUMPRODUCT(AN$54:AN$113,TRANSPOSE(SAP_Speadsheet!$E$48:$BL$48))</f>
        <v>0</v>
      </c>
      <c r="AO8" s="340" cm="1">
        <f t="array" aca="1" ref="AO8" ca="1">SUMPRODUCT(AO$54:AO$113,TRANSPOSE(SAP_Speadsheet!$E$48:$BL$48))</f>
        <v>0</v>
      </c>
      <c r="AP8" s="340" cm="1">
        <f t="array" aca="1" ref="AP8" ca="1">SUMPRODUCT(AP$54:AP$113,TRANSPOSE(SAP_Speadsheet!$E$48:$BL$48))</f>
        <v>0</v>
      </c>
      <c r="AQ8" s="340" cm="1">
        <f t="array" aca="1" ref="AQ8" ca="1">SUMPRODUCT(AQ$54:AQ$113,TRANSPOSE(SAP_Speadsheet!$E$48:$BL$48))</f>
        <v>0</v>
      </c>
      <c r="AR8" s="340" cm="1">
        <f t="array" aca="1" ref="AR8" ca="1">SUMPRODUCT(AR$54:AR$113,TRANSPOSE(SAP_Speadsheet!$E$48:$BL$48))</f>
        <v>0</v>
      </c>
      <c r="AS8" s="340" cm="1">
        <f t="array" aca="1" ref="AS8" ca="1">SUMPRODUCT(AS$54:AS$113,TRANSPOSE(SAP_Speadsheet!$E$48:$BL$48))</f>
        <v>0</v>
      </c>
      <c r="AT8" s="340" cm="1">
        <f t="array" aca="1" ref="AT8" ca="1">SUMPRODUCT(AT$54:AT$113,TRANSPOSE(SAP_Speadsheet!$E$48:$BL$48))</f>
        <v>0</v>
      </c>
      <c r="AU8" s="340" cm="1">
        <f t="array" aca="1" ref="AU8" ca="1">SUMPRODUCT(AU$54:AU$113,TRANSPOSE(SAP_Speadsheet!$E$48:$BL$48))</f>
        <v>0</v>
      </c>
      <c r="AV8" s="340" cm="1">
        <f t="array" aca="1" ref="AV8" ca="1">SUMPRODUCT(AV$54:AV$113,TRANSPOSE(SAP_Speadsheet!$E$48:$BL$48))</f>
        <v>0</v>
      </c>
      <c r="AW8" s="340" cm="1">
        <f t="array" aca="1" ref="AW8" ca="1">SUMPRODUCT(AW$54:AW$113,TRANSPOSE(SAP_Speadsheet!$E$48:$BL$48))</f>
        <v>0</v>
      </c>
      <c r="AX8" s="340" cm="1">
        <f t="array" aca="1" ref="AX8" ca="1">SUMPRODUCT(AX$54:AX$113,TRANSPOSE(SAP_Speadsheet!$E$48:$BL$48))</f>
        <v>0</v>
      </c>
      <c r="AY8" s="340" cm="1">
        <f t="array" aca="1" ref="AY8" ca="1">SUMPRODUCT(AY$54:AY$113,TRANSPOSE(SAP_Speadsheet!$E$48:$BL$48))</f>
        <v>0</v>
      </c>
      <c r="AZ8" s="340" cm="1">
        <f t="array" aca="1" ref="AZ8" ca="1">SUMPRODUCT(AZ$54:AZ$113,TRANSPOSE(SAP_Speadsheet!$E$48:$BL$48))</f>
        <v>0</v>
      </c>
      <c r="BA8" s="340" cm="1">
        <f t="array" aca="1" ref="BA8" ca="1">SUMPRODUCT(BA$54:BA$113,TRANSPOSE(SAP_Speadsheet!$E$48:$BL$48))</f>
        <v>0</v>
      </c>
      <c r="BB8" s="340" cm="1">
        <f t="array" aca="1" ref="BB8" ca="1">SUMPRODUCT(BB$54:BB$113,TRANSPOSE(SAP_Speadsheet!$E$48:$BL$48))</f>
        <v>0</v>
      </c>
      <c r="BC8" s="340" cm="1">
        <f t="array" aca="1" ref="BC8" ca="1">SUMPRODUCT(BC$54:BC$113,TRANSPOSE(SAP_Speadsheet!$E$48:$BL$48))</f>
        <v>0</v>
      </c>
      <c r="BD8" s="340" cm="1">
        <f t="array" aca="1" ref="BD8" ca="1">SUMPRODUCT(BD$54:BD$113,TRANSPOSE(SAP_Speadsheet!$E$48:$BL$48))</f>
        <v>0</v>
      </c>
      <c r="BE8" s="340" cm="1">
        <f t="array" aca="1" ref="BE8" ca="1">SUMPRODUCT(BE$54:BE$113,TRANSPOSE(SAP_Speadsheet!$E$48:$BL$48))</f>
        <v>0</v>
      </c>
      <c r="BF8" s="340" cm="1">
        <f t="array" aca="1" ref="BF8" ca="1">SUMPRODUCT(BF$54:BF$113,TRANSPOSE(SAP_Speadsheet!$E$48:$BL$48))</f>
        <v>0</v>
      </c>
      <c r="BG8" s="340" cm="1">
        <f t="array" aca="1" ref="BG8" ca="1">SUMPRODUCT(BG$54:BG$113,TRANSPOSE(SAP_Speadsheet!$E$48:$BL$48))</f>
        <v>0</v>
      </c>
      <c r="BH8" s="340" cm="1">
        <f t="array" aca="1" ref="BH8" ca="1">SUMPRODUCT(BH$54:BH$113,TRANSPOSE(SAP_Speadsheet!$E$48:$BL$48))</f>
        <v>0</v>
      </c>
      <c r="BI8" s="340" cm="1">
        <f t="array" aca="1" ref="BI8" ca="1">SUMPRODUCT(BI$54:BI$113,TRANSPOSE(SAP_Speadsheet!$E$48:$BL$48))</f>
        <v>0</v>
      </c>
    </row>
    <row r="9" spans="1:61" s="333" customFormat="1" x14ac:dyDescent="0.15">
      <c r="A9" s="333" t="s">
        <v>206</v>
      </c>
      <c r="B9" s="340" cm="1">
        <f t="array" aca="1" ref="B9" ca="1">SUMPRODUCT(B$54:B$113,TRANSPOSE(SAP_Speadsheet!$E$53:$BL$53))</f>
        <v>0</v>
      </c>
      <c r="C9" s="340" cm="1">
        <f t="array" aca="1" ref="C9" ca="1">SUMPRODUCT(C$54:C$113,TRANSPOSE(SAP_Speadsheet!$E$53:$BL$53))</f>
        <v>0</v>
      </c>
      <c r="D9" s="340" cm="1">
        <f t="array" aca="1" ref="D9" ca="1">SUMPRODUCT(D$54:D$113,TRANSPOSE(SAP_Speadsheet!$E$53:$BL$53))</f>
        <v>0</v>
      </c>
      <c r="E9" s="340" cm="1">
        <f t="array" aca="1" ref="E9" ca="1">SUMPRODUCT(E$54:E$113,TRANSPOSE(SAP_Speadsheet!$E$53:$BL$53))</f>
        <v>24859.227014835735</v>
      </c>
      <c r="F9" s="340" cm="1">
        <f t="array" aca="1" ref="F9" ca="1">SUMPRODUCT(F$54:F$113,TRANSPOSE(SAP_Speadsheet!$E$53:$BL$53))</f>
        <v>33107.460756621615</v>
      </c>
      <c r="G9" s="340" cm="1">
        <f t="array" aca="1" ref="G9" ca="1">SUMPRODUCT(G$54:G$113,TRANSPOSE(SAP_Speadsheet!$E$53:$BL$53))</f>
        <v>49302.890488393736</v>
      </c>
      <c r="H9" s="340" cm="1">
        <f t="array" aca="1" ref="H9" ca="1">SUMPRODUCT(H$54:H$113,TRANSPOSE(SAP_Speadsheet!$E$53:$BL$53))</f>
        <v>108.4398820063559</v>
      </c>
      <c r="I9" s="340" cm="1">
        <f t="array" aca="1" ref="I9" ca="1">SUMPRODUCT(I$54:I$113,TRANSPOSE(SAP_Speadsheet!$E$53:$BL$53))</f>
        <v>-253.12506334498545</v>
      </c>
      <c r="J9" s="340" cm="1">
        <f t="array" aca="1" ref="J9" ca="1">SUMPRODUCT(J$54:J$113,TRANSPOSE(SAP_Speadsheet!$E$53:$BL$53))</f>
        <v>-243.84992228094427</v>
      </c>
      <c r="K9" s="340" cm="1">
        <f t="array" aca="1" ref="K9" ca="1">SUMPRODUCT(K$54:K$113,TRANSPOSE(SAP_Speadsheet!$E$53:$BL$53))</f>
        <v>-212.84080628920356</v>
      </c>
      <c r="L9" s="340" cm="1">
        <f t="array" aca="1" ref="L9" ca="1">SUMPRODUCT(L$54:L$113,TRANSPOSE(SAP_Speadsheet!$E$53:$BL$53))</f>
        <v>-146.91769129781449</v>
      </c>
      <c r="M9" s="340" cm="1">
        <f t="array" aca="1" ref="M9" ca="1">SUMPRODUCT(M$54:M$113,TRANSPOSE(SAP_Speadsheet!$E$53:$BL$53))</f>
        <v>-54.80973917046343</v>
      </c>
      <c r="N9" s="340" cm="1">
        <f t="array" aca="1" ref="N9" ca="1">SUMPRODUCT(N$54:N$113,TRANSPOSE(SAP_Speadsheet!$E$53:$BL$53))</f>
        <v>0</v>
      </c>
      <c r="O9" s="340" cm="1">
        <f t="array" aca="1" ref="O9" ca="1">SUMPRODUCT(O$54:O$113,TRANSPOSE(SAP_Speadsheet!$E$53:$BL$53))</f>
        <v>0</v>
      </c>
      <c r="P9" s="340" cm="1">
        <f t="array" aca="1" ref="P9" ca="1">SUMPRODUCT(P$54:P$113,TRANSPOSE(SAP_Speadsheet!$E$53:$BL$53))</f>
        <v>0</v>
      </c>
      <c r="Q9" s="340" cm="1">
        <f t="array" aca="1" ref="Q9" ca="1">SUMPRODUCT(Q$54:Q$113,TRANSPOSE(SAP_Speadsheet!$E$53:$BL$53))</f>
        <v>0</v>
      </c>
      <c r="R9" s="340" cm="1">
        <f t="array" aca="1" ref="R9" ca="1">SUMPRODUCT(R$54:R$113,TRANSPOSE(SAP_Speadsheet!$E$53:$BL$53))</f>
        <v>0</v>
      </c>
      <c r="S9" s="340" cm="1">
        <f t="array" aca="1" ref="S9" ca="1">SUMPRODUCT(S$54:S$113,TRANSPOSE(SAP_Speadsheet!$E$53:$BL$53))</f>
        <v>0</v>
      </c>
      <c r="T9" s="340" cm="1">
        <f t="array" aca="1" ref="T9" ca="1">SUMPRODUCT(T$54:T$113,TRANSPOSE(SAP_Speadsheet!$E$53:$BL$53))</f>
        <v>0</v>
      </c>
      <c r="U9" s="340" cm="1">
        <f t="array" aca="1" ref="U9" ca="1">SUMPRODUCT(U$54:U$113,TRANSPOSE(SAP_Speadsheet!$E$53:$BL$53))</f>
        <v>0</v>
      </c>
      <c r="V9" s="340" cm="1">
        <f t="array" aca="1" ref="V9" ca="1">SUMPRODUCT(V$54:V$113,TRANSPOSE(SAP_Speadsheet!$E$53:$BL$53))</f>
        <v>0</v>
      </c>
      <c r="W9" s="340" cm="1">
        <f t="array" aca="1" ref="W9" ca="1">SUMPRODUCT(W$54:W$113,TRANSPOSE(SAP_Speadsheet!$E$53:$BL$53))</f>
        <v>0</v>
      </c>
      <c r="X9" s="340" cm="1">
        <f t="array" aca="1" ref="X9" ca="1">SUMPRODUCT(X$54:X$113,TRANSPOSE(SAP_Speadsheet!$E$53:$BL$53))</f>
        <v>0</v>
      </c>
      <c r="Y9" s="340" cm="1">
        <f t="array" aca="1" ref="Y9" ca="1">SUMPRODUCT(Y$54:Y$113,TRANSPOSE(SAP_Speadsheet!$E$53:$BL$53))</f>
        <v>0</v>
      </c>
      <c r="Z9" s="340" cm="1">
        <f t="array" aca="1" ref="Z9" ca="1">SUMPRODUCT(Z$54:Z$113,TRANSPOSE(SAP_Speadsheet!$E$53:$BL$53))</f>
        <v>0</v>
      </c>
      <c r="AA9" s="340" cm="1">
        <f t="array" aca="1" ref="AA9" ca="1">SUMPRODUCT(AA$54:AA$113,TRANSPOSE(SAP_Speadsheet!$E$53:$BL$53))</f>
        <v>0</v>
      </c>
      <c r="AB9" s="340" cm="1">
        <f t="array" aca="1" ref="AB9" ca="1">SUMPRODUCT(AB$54:AB$113,TRANSPOSE(SAP_Speadsheet!$E$53:$BL$53))</f>
        <v>0</v>
      </c>
      <c r="AC9" s="340" cm="1">
        <f t="array" aca="1" ref="AC9" ca="1">SUMPRODUCT(AC$54:AC$113,TRANSPOSE(SAP_Speadsheet!$E$53:$BL$53))</f>
        <v>0</v>
      </c>
      <c r="AD9" s="340" cm="1">
        <f t="array" aca="1" ref="AD9" ca="1">SUMPRODUCT(AD$54:AD$113,TRANSPOSE(SAP_Speadsheet!$E$53:$BL$53))</f>
        <v>0</v>
      </c>
      <c r="AE9" s="340" cm="1">
        <f t="array" aca="1" ref="AE9" ca="1">SUMPRODUCT(AE$54:AE$113,TRANSPOSE(SAP_Speadsheet!$E$53:$BL$53))</f>
        <v>0</v>
      </c>
      <c r="AF9" s="340" cm="1">
        <f t="array" aca="1" ref="AF9" ca="1">SUMPRODUCT(AF$54:AF$113,TRANSPOSE(SAP_Speadsheet!$E$53:$BL$53))</f>
        <v>0</v>
      </c>
      <c r="AG9" s="340" cm="1">
        <f t="array" aca="1" ref="AG9" ca="1">SUMPRODUCT(AG$54:AG$113,TRANSPOSE(SAP_Speadsheet!$E$53:$BL$53))</f>
        <v>0</v>
      </c>
      <c r="AH9" s="340" cm="1">
        <f t="array" aca="1" ref="AH9" ca="1">SUMPRODUCT(AH$54:AH$113,TRANSPOSE(SAP_Speadsheet!$E$53:$BL$53))</f>
        <v>0</v>
      </c>
      <c r="AI9" s="340" cm="1">
        <f t="array" aca="1" ref="AI9" ca="1">SUMPRODUCT(AI$54:AI$113,TRANSPOSE(SAP_Speadsheet!$E$53:$BL$53))</f>
        <v>0</v>
      </c>
      <c r="AJ9" s="340" cm="1">
        <f t="array" aca="1" ref="AJ9" ca="1">SUMPRODUCT(AJ$54:AJ$113,TRANSPOSE(SAP_Speadsheet!$E$53:$BL$53))</f>
        <v>0</v>
      </c>
      <c r="AK9" s="340" cm="1">
        <f t="array" aca="1" ref="AK9" ca="1">SUMPRODUCT(AK$54:AK$113,TRANSPOSE(SAP_Speadsheet!$E$53:$BL$53))</f>
        <v>0</v>
      </c>
      <c r="AL9" s="340" cm="1">
        <f t="array" aca="1" ref="AL9" ca="1">SUMPRODUCT(AL$54:AL$113,TRANSPOSE(SAP_Speadsheet!$E$53:$BL$53))</f>
        <v>0</v>
      </c>
      <c r="AM9" s="340" cm="1">
        <f t="array" aca="1" ref="AM9" ca="1">SUMPRODUCT(AM$54:AM$113,TRANSPOSE(SAP_Speadsheet!$E$53:$BL$53))</f>
        <v>0</v>
      </c>
      <c r="AN9" s="340" cm="1">
        <f t="array" aca="1" ref="AN9" ca="1">SUMPRODUCT(AN$54:AN$113,TRANSPOSE(SAP_Speadsheet!$E$53:$BL$53))</f>
        <v>0</v>
      </c>
      <c r="AO9" s="340" cm="1">
        <f t="array" aca="1" ref="AO9" ca="1">SUMPRODUCT(AO$54:AO$113,TRANSPOSE(SAP_Speadsheet!$E$53:$BL$53))</f>
        <v>0</v>
      </c>
      <c r="AP9" s="340" cm="1">
        <f t="array" aca="1" ref="AP9" ca="1">SUMPRODUCT(AP$54:AP$113,TRANSPOSE(SAP_Speadsheet!$E$53:$BL$53))</f>
        <v>0</v>
      </c>
      <c r="AQ9" s="340" cm="1">
        <f t="array" aca="1" ref="AQ9" ca="1">SUMPRODUCT(AQ$54:AQ$113,TRANSPOSE(SAP_Speadsheet!$E$53:$BL$53))</f>
        <v>0</v>
      </c>
      <c r="AR9" s="340" cm="1">
        <f t="array" aca="1" ref="AR9" ca="1">SUMPRODUCT(AR$54:AR$113,TRANSPOSE(SAP_Speadsheet!$E$53:$BL$53))</f>
        <v>0</v>
      </c>
      <c r="AS9" s="340" cm="1">
        <f t="array" aca="1" ref="AS9" ca="1">SUMPRODUCT(AS$54:AS$113,TRANSPOSE(SAP_Speadsheet!$E$53:$BL$53))</f>
        <v>0</v>
      </c>
      <c r="AT9" s="340" cm="1">
        <f t="array" aca="1" ref="AT9" ca="1">SUMPRODUCT(AT$54:AT$113,TRANSPOSE(SAP_Speadsheet!$E$53:$BL$53))</f>
        <v>0</v>
      </c>
      <c r="AU9" s="340" cm="1">
        <f t="array" aca="1" ref="AU9" ca="1">SUMPRODUCT(AU$54:AU$113,TRANSPOSE(SAP_Speadsheet!$E$53:$BL$53))</f>
        <v>0</v>
      </c>
      <c r="AV9" s="340" cm="1">
        <f t="array" aca="1" ref="AV9" ca="1">SUMPRODUCT(AV$54:AV$113,TRANSPOSE(SAP_Speadsheet!$E$53:$BL$53))</f>
        <v>0</v>
      </c>
      <c r="AW9" s="340" cm="1">
        <f t="array" aca="1" ref="AW9" ca="1">SUMPRODUCT(AW$54:AW$113,TRANSPOSE(SAP_Speadsheet!$E$53:$BL$53))</f>
        <v>0</v>
      </c>
      <c r="AX9" s="340" cm="1">
        <f t="array" aca="1" ref="AX9" ca="1">SUMPRODUCT(AX$54:AX$113,TRANSPOSE(SAP_Speadsheet!$E$53:$BL$53))</f>
        <v>0</v>
      </c>
      <c r="AY9" s="340" cm="1">
        <f t="array" aca="1" ref="AY9" ca="1">SUMPRODUCT(AY$54:AY$113,TRANSPOSE(SAP_Speadsheet!$E$53:$BL$53))</f>
        <v>0</v>
      </c>
      <c r="AZ9" s="340" cm="1">
        <f t="array" aca="1" ref="AZ9" ca="1">SUMPRODUCT(AZ$54:AZ$113,TRANSPOSE(SAP_Speadsheet!$E$53:$BL$53))</f>
        <v>0</v>
      </c>
      <c r="BA9" s="340" cm="1">
        <f t="array" aca="1" ref="BA9" ca="1">SUMPRODUCT(BA$54:BA$113,TRANSPOSE(SAP_Speadsheet!$E$53:$BL$53))</f>
        <v>0</v>
      </c>
      <c r="BB9" s="340" cm="1">
        <f t="array" aca="1" ref="BB9" ca="1">SUMPRODUCT(BB$54:BB$113,TRANSPOSE(SAP_Speadsheet!$E$53:$BL$53))</f>
        <v>0</v>
      </c>
      <c r="BC9" s="340" cm="1">
        <f t="array" aca="1" ref="BC9" ca="1">SUMPRODUCT(BC$54:BC$113,TRANSPOSE(SAP_Speadsheet!$E$53:$BL$53))</f>
        <v>0</v>
      </c>
      <c r="BD9" s="340" cm="1">
        <f t="array" aca="1" ref="BD9" ca="1">SUMPRODUCT(BD$54:BD$113,TRANSPOSE(SAP_Speadsheet!$E$53:$BL$53))</f>
        <v>0</v>
      </c>
      <c r="BE9" s="340" cm="1">
        <f t="array" aca="1" ref="BE9" ca="1">SUMPRODUCT(BE$54:BE$113,TRANSPOSE(SAP_Speadsheet!$E$53:$BL$53))</f>
        <v>0</v>
      </c>
      <c r="BF9" s="340" cm="1">
        <f t="array" aca="1" ref="BF9" ca="1">SUMPRODUCT(BF$54:BF$113,TRANSPOSE(SAP_Speadsheet!$E$53:$BL$53))</f>
        <v>0</v>
      </c>
      <c r="BG9" s="340" cm="1">
        <f t="array" aca="1" ref="BG9" ca="1">SUMPRODUCT(BG$54:BG$113,TRANSPOSE(SAP_Speadsheet!$E$53:$BL$53))</f>
        <v>0</v>
      </c>
      <c r="BH9" s="340" cm="1">
        <f t="array" aca="1" ref="BH9" ca="1">SUMPRODUCT(BH$54:BH$113,TRANSPOSE(SAP_Speadsheet!$E$53:$BL$53))</f>
        <v>0</v>
      </c>
      <c r="BI9" s="340" cm="1">
        <f t="array" aca="1" ref="BI9" ca="1">SUMPRODUCT(BI$54:BI$113,TRANSPOSE(SAP_Speadsheet!$E$53:$BL$53))</f>
        <v>0</v>
      </c>
    </row>
    <row r="10" spans="1:61" s="343" customFormat="1" x14ac:dyDescent="0.15">
      <c r="A10" s="341" t="s">
        <v>435</v>
      </c>
      <c r="B10" s="342">
        <f t="shared" ref="B10:BI10" ca="1" si="2">B9-B11-B14</f>
        <v>0</v>
      </c>
      <c r="C10" s="342">
        <f t="shared" ca="1" si="2"/>
        <v>0</v>
      </c>
      <c r="D10" s="342">
        <f t="shared" ca="1" si="2"/>
        <v>0</v>
      </c>
      <c r="E10" s="342">
        <f t="shared" ca="1" si="2"/>
        <v>0</v>
      </c>
      <c r="F10" s="342">
        <f t="shared" ca="1" si="2"/>
        <v>0</v>
      </c>
      <c r="G10" s="342">
        <f t="shared" ca="1" si="2"/>
        <v>0</v>
      </c>
      <c r="H10" s="342">
        <f t="shared" ca="1" si="2"/>
        <v>0</v>
      </c>
      <c r="I10" s="342">
        <f t="shared" ca="1" si="2"/>
        <v>0</v>
      </c>
      <c r="J10" s="342">
        <f t="shared" ca="1" si="2"/>
        <v>0</v>
      </c>
      <c r="K10" s="342">
        <f t="shared" ca="1" si="2"/>
        <v>0</v>
      </c>
      <c r="L10" s="342">
        <f t="shared" ca="1" si="2"/>
        <v>0</v>
      </c>
      <c r="M10" s="342">
        <f t="shared" ca="1" si="2"/>
        <v>0</v>
      </c>
      <c r="N10" s="342">
        <f t="shared" ca="1" si="2"/>
        <v>0</v>
      </c>
      <c r="O10" s="342">
        <f t="shared" ca="1" si="2"/>
        <v>0</v>
      </c>
      <c r="P10" s="342">
        <f t="shared" ca="1" si="2"/>
        <v>0</v>
      </c>
      <c r="Q10" s="342">
        <f t="shared" ca="1" si="2"/>
        <v>0</v>
      </c>
      <c r="R10" s="342">
        <f t="shared" ca="1" si="2"/>
        <v>0</v>
      </c>
      <c r="S10" s="342">
        <f t="shared" ca="1" si="2"/>
        <v>0</v>
      </c>
      <c r="T10" s="342">
        <f t="shared" ca="1" si="2"/>
        <v>0</v>
      </c>
      <c r="U10" s="342">
        <f t="shared" ca="1" si="2"/>
        <v>0</v>
      </c>
      <c r="V10" s="342">
        <f t="shared" ca="1" si="2"/>
        <v>0</v>
      </c>
      <c r="W10" s="342">
        <f t="shared" ca="1" si="2"/>
        <v>0</v>
      </c>
      <c r="X10" s="342">
        <f t="shared" ca="1" si="2"/>
        <v>0</v>
      </c>
      <c r="Y10" s="342">
        <f t="shared" ca="1" si="2"/>
        <v>0</v>
      </c>
      <c r="Z10" s="342">
        <f t="shared" ca="1" si="2"/>
        <v>0</v>
      </c>
      <c r="AA10" s="342">
        <f t="shared" ca="1" si="2"/>
        <v>0</v>
      </c>
      <c r="AB10" s="342">
        <f t="shared" ca="1" si="2"/>
        <v>0</v>
      </c>
      <c r="AC10" s="342">
        <f t="shared" ca="1" si="2"/>
        <v>0</v>
      </c>
      <c r="AD10" s="342">
        <f t="shared" ca="1" si="2"/>
        <v>0</v>
      </c>
      <c r="AE10" s="342">
        <f t="shared" ca="1" si="2"/>
        <v>0</v>
      </c>
      <c r="AF10" s="342">
        <f t="shared" ca="1" si="2"/>
        <v>0</v>
      </c>
      <c r="AG10" s="342">
        <f t="shared" ca="1" si="2"/>
        <v>0</v>
      </c>
      <c r="AH10" s="342">
        <f t="shared" ca="1" si="2"/>
        <v>0</v>
      </c>
      <c r="AI10" s="342">
        <f t="shared" ca="1" si="2"/>
        <v>0</v>
      </c>
      <c r="AJ10" s="342">
        <f t="shared" ca="1" si="2"/>
        <v>0</v>
      </c>
      <c r="AK10" s="342">
        <f t="shared" ca="1" si="2"/>
        <v>0</v>
      </c>
      <c r="AL10" s="342">
        <f t="shared" ca="1" si="2"/>
        <v>0</v>
      </c>
      <c r="AM10" s="342">
        <f t="shared" ca="1" si="2"/>
        <v>0</v>
      </c>
      <c r="AN10" s="342">
        <f t="shared" ca="1" si="2"/>
        <v>0</v>
      </c>
      <c r="AO10" s="342">
        <f t="shared" ca="1" si="2"/>
        <v>0</v>
      </c>
      <c r="AP10" s="342">
        <f t="shared" ca="1" si="2"/>
        <v>0</v>
      </c>
      <c r="AQ10" s="342">
        <f t="shared" ca="1" si="2"/>
        <v>0</v>
      </c>
      <c r="AR10" s="342">
        <f t="shared" ca="1" si="2"/>
        <v>0</v>
      </c>
      <c r="AS10" s="342">
        <f t="shared" ca="1" si="2"/>
        <v>0</v>
      </c>
      <c r="AT10" s="342">
        <f t="shared" ca="1" si="2"/>
        <v>0</v>
      </c>
      <c r="AU10" s="342">
        <f t="shared" ca="1" si="2"/>
        <v>0</v>
      </c>
      <c r="AV10" s="342">
        <f t="shared" ca="1" si="2"/>
        <v>0</v>
      </c>
      <c r="AW10" s="342">
        <f t="shared" ca="1" si="2"/>
        <v>0</v>
      </c>
      <c r="AX10" s="342">
        <f t="shared" ca="1" si="2"/>
        <v>0</v>
      </c>
      <c r="AY10" s="342">
        <f t="shared" ca="1" si="2"/>
        <v>0</v>
      </c>
      <c r="AZ10" s="342">
        <f t="shared" ca="1" si="2"/>
        <v>0</v>
      </c>
      <c r="BA10" s="342">
        <f t="shared" ca="1" si="2"/>
        <v>0</v>
      </c>
      <c r="BB10" s="342">
        <f t="shared" ca="1" si="2"/>
        <v>0</v>
      </c>
      <c r="BC10" s="342">
        <f t="shared" ca="1" si="2"/>
        <v>0</v>
      </c>
      <c r="BD10" s="342">
        <f t="shared" ca="1" si="2"/>
        <v>0</v>
      </c>
      <c r="BE10" s="342">
        <f t="shared" ca="1" si="2"/>
        <v>0</v>
      </c>
      <c r="BF10" s="342">
        <f t="shared" ca="1" si="2"/>
        <v>0</v>
      </c>
      <c r="BG10" s="342">
        <f t="shared" ca="1" si="2"/>
        <v>0</v>
      </c>
      <c r="BH10" s="342">
        <f t="shared" ca="1" si="2"/>
        <v>0</v>
      </c>
      <c r="BI10" s="342">
        <f t="shared" ca="1" si="2"/>
        <v>0</v>
      </c>
    </row>
    <row r="11" spans="1:61" s="333" customFormat="1" x14ac:dyDescent="0.15">
      <c r="A11" s="333" t="s">
        <v>207</v>
      </c>
      <c r="B11" s="340" cm="1">
        <f t="array" aca="1" ref="B11" ca="1">SUMPRODUCT(B$54:B$113,TRANSPOSE(SAP_Speadsheet!$E$55:$BL$55))</f>
        <v>0</v>
      </c>
      <c r="C11" s="340" cm="1">
        <f t="array" aca="1" ref="C11" ca="1">SUMPRODUCT(C$54:C$113,TRANSPOSE(SAP_Speadsheet!$E$55:$BL$55))</f>
        <v>0</v>
      </c>
      <c r="D11" s="340" cm="1">
        <f t="array" aca="1" ref="D11" ca="1">SUMPRODUCT(D$54:D$113,TRANSPOSE(SAP_Speadsheet!$E$55:$BL$55))</f>
        <v>0</v>
      </c>
      <c r="E11" s="340" cm="1">
        <f t="array" aca="1" ref="E11" ca="1">SUMPRODUCT(E$54:E$113,TRANSPOSE(SAP_Speadsheet!$E$55:$BL$55))</f>
        <v>9879.3864221726926</v>
      </c>
      <c r="F11" s="340" cm="1">
        <f t="array" aca="1" ref="F11" ca="1">SUMPRODUCT(F$54:F$113,TRANSPOSE(SAP_Speadsheet!$E$55:$BL$55))</f>
        <v>13232.48311773671</v>
      </c>
      <c r="G11" s="340" cm="1">
        <f t="array" aca="1" ref="G11" ca="1">SUMPRODUCT(G$54:G$113,TRANSPOSE(SAP_Speadsheet!$E$55:$BL$55))</f>
        <v>19656.549087941708</v>
      </c>
      <c r="H11" s="340" cm="1">
        <f t="array" aca="1" ref="H11" ca="1">SUMPRODUCT(H$54:H$113,TRANSPOSE(SAP_Speadsheet!$E$55:$BL$55))</f>
        <v>108.4398820063559</v>
      </c>
      <c r="I11" s="340" cm="1">
        <f t="array" aca="1" ref="I11" ca="1">SUMPRODUCT(I$54:I$113,TRANSPOSE(SAP_Speadsheet!$E$55:$BL$55))</f>
        <v>-253.12506334498545</v>
      </c>
      <c r="J11" s="340" cm="1">
        <f t="array" aca="1" ref="J11" ca="1">SUMPRODUCT(J$54:J$113,TRANSPOSE(SAP_Speadsheet!$E$55:$BL$55))</f>
        <v>-243.84992228094427</v>
      </c>
      <c r="K11" s="340" cm="1">
        <f t="array" aca="1" ref="K11" ca="1">SUMPRODUCT(K$54:K$113,TRANSPOSE(SAP_Speadsheet!$E$55:$BL$55))</f>
        <v>-212.84080628920356</v>
      </c>
      <c r="L11" s="340" cm="1">
        <f t="array" aca="1" ref="L11" ca="1">SUMPRODUCT(L$54:L$113,TRANSPOSE(SAP_Speadsheet!$E$55:$BL$55))</f>
        <v>-146.91769129781449</v>
      </c>
      <c r="M11" s="340" cm="1">
        <f t="array" aca="1" ref="M11" ca="1">SUMPRODUCT(M$54:M$113,TRANSPOSE(SAP_Speadsheet!$E$55:$BL$55))</f>
        <v>-54.80973917046343</v>
      </c>
      <c r="N11" s="340" cm="1">
        <f t="array" aca="1" ref="N11" ca="1">SUMPRODUCT(N$54:N$113,TRANSPOSE(SAP_Speadsheet!$E$55:$BL$55))</f>
        <v>0</v>
      </c>
      <c r="O11" s="340" cm="1">
        <f t="array" aca="1" ref="O11" ca="1">SUMPRODUCT(O$54:O$113,TRANSPOSE(SAP_Speadsheet!$E$55:$BL$55))</f>
        <v>0</v>
      </c>
      <c r="P11" s="340" cm="1">
        <f t="array" aca="1" ref="P11" ca="1">SUMPRODUCT(P$54:P$113,TRANSPOSE(SAP_Speadsheet!$E$55:$BL$55))</f>
        <v>0</v>
      </c>
      <c r="Q11" s="340" cm="1">
        <f t="array" aca="1" ref="Q11" ca="1">SUMPRODUCT(Q$54:Q$113,TRANSPOSE(SAP_Speadsheet!$E$55:$BL$55))</f>
        <v>0</v>
      </c>
      <c r="R11" s="340" cm="1">
        <f t="array" aca="1" ref="R11" ca="1">SUMPRODUCT(R$54:R$113,TRANSPOSE(SAP_Speadsheet!$E$55:$BL$55))</f>
        <v>0</v>
      </c>
      <c r="S11" s="340" cm="1">
        <f t="array" aca="1" ref="S11" ca="1">SUMPRODUCT(S$54:S$113,TRANSPOSE(SAP_Speadsheet!$E$55:$BL$55))</f>
        <v>0</v>
      </c>
      <c r="T11" s="340" cm="1">
        <f t="array" aca="1" ref="T11" ca="1">SUMPRODUCT(T$54:T$113,TRANSPOSE(SAP_Speadsheet!$E$55:$BL$55))</f>
        <v>0</v>
      </c>
      <c r="U11" s="340" cm="1">
        <f t="array" aca="1" ref="U11" ca="1">SUMPRODUCT(U$54:U$113,TRANSPOSE(SAP_Speadsheet!$E$55:$BL$55))</f>
        <v>0</v>
      </c>
      <c r="V11" s="340" cm="1">
        <f t="array" aca="1" ref="V11" ca="1">SUMPRODUCT(V$54:V$113,TRANSPOSE(SAP_Speadsheet!$E$55:$BL$55))</f>
        <v>0</v>
      </c>
      <c r="W11" s="340" cm="1">
        <f t="array" aca="1" ref="W11" ca="1">SUMPRODUCT(W$54:W$113,TRANSPOSE(SAP_Speadsheet!$E$55:$BL$55))</f>
        <v>0</v>
      </c>
      <c r="X11" s="340" cm="1">
        <f t="array" aca="1" ref="X11" ca="1">SUMPRODUCT(X$54:X$113,TRANSPOSE(SAP_Speadsheet!$E$55:$BL$55))</f>
        <v>0</v>
      </c>
      <c r="Y11" s="340" cm="1">
        <f t="array" aca="1" ref="Y11" ca="1">SUMPRODUCT(Y$54:Y$113,TRANSPOSE(SAP_Speadsheet!$E$55:$BL$55))</f>
        <v>0</v>
      </c>
      <c r="Z11" s="340" cm="1">
        <f t="array" aca="1" ref="Z11" ca="1">SUMPRODUCT(Z$54:Z$113,TRANSPOSE(SAP_Speadsheet!$E$55:$BL$55))</f>
        <v>0</v>
      </c>
      <c r="AA11" s="340" cm="1">
        <f t="array" aca="1" ref="AA11" ca="1">SUMPRODUCT(AA$54:AA$113,TRANSPOSE(SAP_Speadsheet!$E$55:$BL$55))</f>
        <v>0</v>
      </c>
      <c r="AB11" s="340" cm="1">
        <f t="array" aca="1" ref="AB11" ca="1">SUMPRODUCT(AB$54:AB$113,TRANSPOSE(SAP_Speadsheet!$E$55:$BL$55))</f>
        <v>0</v>
      </c>
      <c r="AC11" s="340" cm="1">
        <f t="array" aca="1" ref="AC11" ca="1">SUMPRODUCT(AC$54:AC$113,TRANSPOSE(SAP_Speadsheet!$E$55:$BL$55))</f>
        <v>0</v>
      </c>
      <c r="AD11" s="340" cm="1">
        <f t="array" aca="1" ref="AD11" ca="1">SUMPRODUCT(AD$54:AD$113,TRANSPOSE(SAP_Speadsheet!$E$55:$BL$55))</f>
        <v>0</v>
      </c>
      <c r="AE11" s="340" cm="1">
        <f t="array" aca="1" ref="AE11" ca="1">SUMPRODUCT(AE$54:AE$113,TRANSPOSE(SAP_Speadsheet!$E$55:$BL$55))</f>
        <v>0</v>
      </c>
      <c r="AF11" s="340" cm="1">
        <f t="array" aca="1" ref="AF11" ca="1">SUMPRODUCT(AF$54:AF$113,TRANSPOSE(SAP_Speadsheet!$E$55:$BL$55))</f>
        <v>0</v>
      </c>
      <c r="AG11" s="340" cm="1">
        <f t="array" aca="1" ref="AG11" ca="1">SUMPRODUCT(AG$54:AG$113,TRANSPOSE(SAP_Speadsheet!$E$55:$BL$55))</f>
        <v>0</v>
      </c>
      <c r="AH11" s="340" cm="1">
        <f t="array" aca="1" ref="AH11" ca="1">SUMPRODUCT(AH$54:AH$113,TRANSPOSE(SAP_Speadsheet!$E$55:$BL$55))</f>
        <v>0</v>
      </c>
      <c r="AI11" s="340" cm="1">
        <f t="array" aca="1" ref="AI11" ca="1">SUMPRODUCT(AI$54:AI$113,TRANSPOSE(SAP_Speadsheet!$E$55:$BL$55))</f>
        <v>0</v>
      </c>
      <c r="AJ11" s="340" cm="1">
        <f t="array" aca="1" ref="AJ11" ca="1">SUMPRODUCT(AJ$54:AJ$113,TRANSPOSE(SAP_Speadsheet!$E$55:$BL$55))</f>
        <v>0</v>
      </c>
      <c r="AK11" s="340" cm="1">
        <f t="array" aca="1" ref="AK11" ca="1">SUMPRODUCT(AK$54:AK$113,TRANSPOSE(SAP_Speadsheet!$E$55:$BL$55))</f>
        <v>0</v>
      </c>
      <c r="AL11" s="340" cm="1">
        <f t="array" aca="1" ref="AL11" ca="1">SUMPRODUCT(AL$54:AL$113,TRANSPOSE(SAP_Speadsheet!$E$55:$BL$55))</f>
        <v>0</v>
      </c>
      <c r="AM11" s="340" cm="1">
        <f t="array" aca="1" ref="AM11" ca="1">SUMPRODUCT(AM$54:AM$113,TRANSPOSE(SAP_Speadsheet!$E$55:$BL$55))</f>
        <v>0</v>
      </c>
      <c r="AN11" s="340" cm="1">
        <f t="array" aca="1" ref="AN11" ca="1">SUMPRODUCT(AN$54:AN$113,TRANSPOSE(SAP_Speadsheet!$E$55:$BL$55))</f>
        <v>0</v>
      </c>
      <c r="AO11" s="340" cm="1">
        <f t="array" aca="1" ref="AO11" ca="1">SUMPRODUCT(AO$54:AO$113,TRANSPOSE(SAP_Speadsheet!$E$55:$BL$55))</f>
        <v>0</v>
      </c>
      <c r="AP11" s="340" cm="1">
        <f t="array" aca="1" ref="AP11" ca="1">SUMPRODUCT(AP$54:AP$113,TRANSPOSE(SAP_Speadsheet!$E$55:$BL$55))</f>
        <v>0</v>
      </c>
      <c r="AQ11" s="340" cm="1">
        <f t="array" aca="1" ref="AQ11" ca="1">SUMPRODUCT(AQ$54:AQ$113,TRANSPOSE(SAP_Speadsheet!$E$55:$BL$55))</f>
        <v>0</v>
      </c>
      <c r="AR11" s="340" cm="1">
        <f t="array" aca="1" ref="AR11" ca="1">SUMPRODUCT(AR$54:AR$113,TRANSPOSE(SAP_Speadsheet!$E$55:$BL$55))</f>
        <v>0</v>
      </c>
      <c r="AS11" s="340" cm="1">
        <f t="array" aca="1" ref="AS11" ca="1">SUMPRODUCT(AS$54:AS$113,TRANSPOSE(SAP_Speadsheet!$E$55:$BL$55))</f>
        <v>0</v>
      </c>
      <c r="AT11" s="340" cm="1">
        <f t="array" aca="1" ref="AT11" ca="1">SUMPRODUCT(AT$54:AT$113,TRANSPOSE(SAP_Speadsheet!$E$55:$BL$55))</f>
        <v>0</v>
      </c>
      <c r="AU11" s="340" cm="1">
        <f t="array" aca="1" ref="AU11" ca="1">SUMPRODUCT(AU$54:AU$113,TRANSPOSE(SAP_Speadsheet!$E$55:$BL$55))</f>
        <v>0</v>
      </c>
      <c r="AV11" s="340" cm="1">
        <f t="array" aca="1" ref="AV11" ca="1">SUMPRODUCT(AV$54:AV$113,TRANSPOSE(SAP_Speadsheet!$E$55:$BL$55))</f>
        <v>0</v>
      </c>
      <c r="AW11" s="340" cm="1">
        <f t="array" aca="1" ref="AW11" ca="1">SUMPRODUCT(AW$54:AW$113,TRANSPOSE(SAP_Speadsheet!$E$55:$BL$55))</f>
        <v>0</v>
      </c>
      <c r="AX11" s="340" cm="1">
        <f t="array" aca="1" ref="AX11" ca="1">SUMPRODUCT(AX$54:AX$113,TRANSPOSE(SAP_Speadsheet!$E$55:$BL$55))</f>
        <v>0</v>
      </c>
      <c r="AY11" s="340" cm="1">
        <f t="array" aca="1" ref="AY11" ca="1">SUMPRODUCT(AY$54:AY$113,TRANSPOSE(SAP_Speadsheet!$E$55:$BL$55))</f>
        <v>0</v>
      </c>
      <c r="AZ11" s="340" cm="1">
        <f t="array" aca="1" ref="AZ11" ca="1">SUMPRODUCT(AZ$54:AZ$113,TRANSPOSE(SAP_Speadsheet!$E$55:$BL$55))</f>
        <v>0</v>
      </c>
      <c r="BA11" s="340" cm="1">
        <f t="array" aca="1" ref="BA11" ca="1">SUMPRODUCT(BA$54:BA$113,TRANSPOSE(SAP_Speadsheet!$E$55:$BL$55))</f>
        <v>0</v>
      </c>
      <c r="BB11" s="340" cm="1">
        <f t="array" aca="1" ref="BB11" ca="1">SUMPRODUCT(BB$54:BB$113,TRANSPOSE(SAP_Speadsheet!$E$55:$BL$55))</f>
        <v>0</v>
      </c>
      <c r="BC11" s="340" cm="1">
        <f t="array" aca="1" ref="BC11" ca="1">SUMPRODUCT(BC$54:BC$113,TRANSPOSE(SAP_Speadsheet!$E$55:$BL$55))</f>
        <v>0</v>
      </c>
      <c r="BD11" s="340" cm="1">
        <f t="array" aca="1" ref="BD11" ca="1">SUMPRODUCT(BD$54:BD$113,TRANSPOSE(SAP_Speadsheet!$E$55:$BL$55))</f>
        <v>0</v>
      </c>
      <c r="BE11" s="340" cm="1">
        <f t="array" aca="1" ref="BE11" ca="1">SUMPRODUCT(BE$54:BE$113,TRANSPOSE(SAP_Speadsheet!$E$55:$BL$55))</f>
        <v>0</v>
      </c>
      <c r="BF11" s="340" cm="1">
        <f t="array" aca="1" ref="BF11" ca="1">SUMPRODUCT(BF$54:BF$113,TRANSPOSE(SAP_Speadsheet!$E$55:$BL$55))</f>
        <v>0</v>
      </c>
      <c r="BG11" s="340" cm="1">
        <f t="array" aca="1" ref="BG11" ca="1">SUMPRODUCT(BG$54:BG$113,TRANSPOSE(SAP_Speadsheet!$E$55:$BL$55))</f>
        <v>0</v>
      </c>
      <c r="BH11" s="340" cm="1">
        <f t="array" aca="1" ref="BH11" ca="1">SUMPRODUCT(BH$54:BH$113,TRANSPOSE(SAP_Speadsheet!$E$55:$BL$55))</f>
        <v>0</v>
      </c>
      <c r="BI11" s="340" cm="1">
        <f t="array" aca="1" ref="BI11" ca="1">SUMPRODUCT(BI$54:BI$113,TRANSPOSE(SAP_Speadsheet!$E$55:$BL$55))</f>
        <v>0</v>
      </c>
    </row>
    <row r="12" spans="1:61" x14ac:dyDescent="0.15">
      <c r="A12" s="344" t="s">
        <v>227</v>
      </c>
      <c r="B12" s="345" cm="1">
        <f t="array" aca="1" ref="B12" ca="1">SUMPRODUCT(B$54:B$113,TRANSPOSE(SAP_Speadsheet!$E$56:$BL$56))</f>
        <v>0</v>
      </c>
      <c r="C12" s="345" cm="1">
        <f t="array" aca="1" ref="C12" ca="1">SUMPRODUCT(C$54:C$113,TRANSPOSE(SAP_Speadsheet!$E$56:$BL$56))</f>
        <v>0</v>
      </c>
      <c r="D12" s="345" cm="1">
        <f t="array" aca="1" ref="D12" ca="1">SUMPRODUCT(D$54:D$113,TRANSPOSE(SAP_Speadsheet!$E$56:$BL$56))</f>
        <v>0</v>
      </c>
      <c r="E12" s="345" cm="1">
        <f t="array" aca="1" ref="E12" ca="1">SUMPRODUCT(E$54:E$113,TRANSPOSE(SAP_Speadsheet!$E$56:$BL$56))</f>
        <v>10465.633116973717</v>
      </c>
      <c r="F12" s="345" cm="1">
        <f t="array" aca="1" ref="F12" ca="1">SUMPRODUCT(F$54:F$113,TRANSPOSE(SAP_Speadsheet!$E$56:$BL$56))</f>
        <v>14083.596209207464</v>
      </c>
      <c r="G12" s="345" cm="1">
        <f t="array" aca="1" ref="G12" ca="1">SUMPRODUCT(G$54:G$113,TRANSPOSE(SAP_Speadsheet!$E$56:$BL$56))</f>
        <v>20975.036556689214</v>
      </c>
      <c r="H12" s="345" cm="1">
        <f t="array" aca="1" ref="H12" ca="1">SUMPRODUCT(H$54:H$113,TRANSPOSE(SAP_Speadsheet!$E$56:$BL$56))</f>
        <v>391.83107601937729</v>
      </c>
      <c r="I12" s="345" cm="1">
        <f t="array" aca="1" ref="I12" ca="1">SUMPRODUCT(I$54:I$113,TRANSPOSE(SAP_Speadsheet!$E$56:$BL$56))</f>
        <v>0</v>
      </c>
      <c r="J12" s="345" cm="1">
        <f t="array" aca="1" ref="J12" ca="1">SUMPRODUCT(J$54:J$113,TRANSPOSE(SAP_Speadsheet!$E$56:$BL$56))</f>
        <v>0</v>
      </c>
      <c r="K12" s="345" cm="1">
        <f t="array" aca="1" ref="K12" ca="1">SUMPRODUCT(K$54:K$113,TRANSPOSE(SAP_Speadsheet!$E$56:$BL$56))</f>
        <v>0</v>
      </c>
      <c r="L12" s="345" cm="1">
        <f t="array" aca="1" ref="L12" ca="1">SUMPRODUCT(L$54:L$113,TRANSPOSE(SAP_Speadsheet!$E$56:$BL$56))</f>
        <v>0</v>
      </c>
      <c r="M12" s="345" cm="1">
        <f t="array" aca="1" ref="M12" ca="1">SUMPRODUCT(M$54:M$113,TRANSPOSE(SAP_Speadsheet!$E$56:$BL$56))</f>
        <v>0</v>
      </c>
      <c r="N12" s="345" cm="1">
        <f t="array" aca="1" ref="N12" ca="1">SUMPRODUCT(N$54:N$113,TRANSPOSE(SAP_Speadsheet!$E$56:$BL$56))</f>
        <v>0</v>
      </c>
      <c r="O12" s="345" cm="1">
        <f t="array" aca="1" ref="O12" ca="1">SUMPRODUCT(O$54:O$113,TRANSPOSE(SAP_Speadsheet!$E$56:$BL$56))</f>
        <v>0</v>
      </c>
      <c r="P12" s="345" cm="1">
        <f t="array" aca="1" ref="P12" ca="1">SUMPRODUCT(P$54:P$113,TRANSPOSE(SAP_Speadsheet!$E$56:$BL$56))</f>
        <v>0</v>
      </c>
      <c r="Q12" s="345" cm="1">
        <f t="array" aca="1" ref="Q12" ca="1">SUMPRODUCT(Q$54:Q$113,TRANSPOSE(SAP_Speadsheet!$E$56:$BL$56))</f>
        <v>0</v>
      </c>
      <c r="R12" s="345" cm="1">
        <f t="array" aca="1" ref="R12" ca="1">SUMPRODUCT(R$54:R$113,TRANSPOSE(SAP_Speadsheet!$E$56:$BL$56))</f>
        <v>0</v>
      </c>
      <c r="S12" s="345" cm="1">
        <f t="array" aca="1" ref="S12" ca="1">SUMPRODUCT(S$54:S$113,TRANSPOSE(SAP_Speadsheet!$E$56:$BL$56))</f>
        <v>0</v>
      </c>
      <c r="T12" s="345" cm="1">
        <f t="array" aca="1" ref="T12" ca="1">SUMPRODUCT(T$54:T$113,TRANSPOSE(SAP_Speadsheet!$E$56:$BL$56))</f>
        <v>0</v>
      </c>
      <c r="U12" s="345" cm="1">
        <f t="array" aca="1" ref="U12" ca="1">SUMPRODUCT(U$54:U$113,TRANSPOSE(SAP_Speadsheet!$E$56:$BL$56))</f>
        <v>0</v>
      </c>
      <c r="V12" s="345" cm="1">
        <f t="array" aca="1" ref="V12" ca="1">SUMPRODUCT(V$54:V$113,TRANSPOSE(SAP_Speadsheet!$E$56:$BL$56))</f>
        <v>0</v>
      </c>
      <c r="W12" s="345" cm="1">
        <f t="array" aca="1" ref="W12" ca="1">SUMPRODUCT(W$54:W$113,TRANSPOSE(SAP_Speadsheet!$E$56:$BL$56))</f>
        <v>0</v>
      </c>
      <c r="X12" s="345" cm="1">
        <f t="array" aca="1" ref="X12" ca="1">SUMPRODUCT(X$54:X$113,TRANSPOSE(SAP_Speadsheet!$E$56:$BL$56))</f>
        <v>0</v>
      </c>
      <c r="Y12" s="345" cm="1">
        <f t="array" aca="1" ref="Y12" ca="1">SUMPRODUCT(Y$54:Y$113,TRANSPOSE(SAP_Speadsheet!$E$56:$BL$56))</f>
        <v>0</v>
      </c>
      <c r="Z12" s="345" cm="1">
        <f t="array" aca="1" ref="Z12" ca="1">SUMPRODUCT(Z$54:Z$113,TRANSPOSE(SAP_Speadsheet!$E$56:$BL$56))</f>
        <v>0</v>
      </c>
      <c r="AA12" s="345" cm="1">
        <f t="array" aca="1" ref="AA12" ca="1">SUMPRODUCT(AA$54:AA$113,TRANSPOSE(SAP_Speadsheet!$E$56:$BL$56))</f>
        <v>0</v>
      </c>
      <c r="AB12" s="345" cm="1">
        <f t="array" aca="1" ref="AB12" ca="1">SUMPRODUCT(AB$54:AB$113,TRANSPOSE(SAP_Speadsheet!$E$56:$BL$56))</f>
        <v>0</v>
      </c>
      <c r="AC12" s="345" cm="1">
        <f t="array" aca="1" ref="AC12" ca="1">SUMPRODUCT(AC$54:AC$113,TRANSPOSE(SAP_Speadsheet!$E$56:$BL$56))</f>
        <v>0</v>
      </c>
      <c r="AD12" s="345" cm="1">
        <f t="array" aca="1" ref="AD12" ca="1">SUMPRODUCT(AD$54:AD$113,TRANSPOSE(SAP_Speadsheet!$E$56:$BL$56))</f>
        <v>0</v>
      </c>
      <c r="AE12" s="345" cm="1">
        <f t="array" aca="1" ref="AE12" ca="1">SUMPRODUCT(AE$54:AE$113,TRANSPOSE(SAP_Speadsheet!$E$56:$BL$56))</f>
        <v>0</v>
      </c>
      <c r="AF12" s="345" cm="1">
        <f t="array" aca="1" ref="AF12" ca="1">SUMPRODUCT(AF$54:AF$113,TRANSPOSE(SAP_Speadsheet!$E$56:$BL$56))</f>
        <v>0</v>
      </c>
      <c r="AG12" s="345" cm="1">
        <f t="array" aca="1" ref="AG12" ca="1">SUMPRODUCT(AG$54:AG$113,TRANSPOSE(SAP_Speadsheet!$E$56:$BL$56))</f>
        <v>0</v>
      </c>
      <c r="AH12" s="345" cm="1">
        <f t="array" aca="1" ref="AH12" ca="1">SUMPRODUCT(AH$54:AH$113,TRANSPOSE(SAP_Speadsheet!$E$56:$BL$56))</f>
        <v>0</v>
      </c>
      <c r="AI12" s="345" cm="1">
        <f t="array" aca="1" ref="AI12" ca="1">SUMPRODUCT(AI$54:AI$113,TRANSPOSE(SAP_Speadsheet!$E$56:$BL$56))</f>
        <v>0</v>
      </c>
      <c r="AJ12" s="345" cm="1">
        <f t="array" aca="1" ref="AJ12" ca="1">SUMPRODUCT(AJ$54:AJ$113,TRANSPOSE(SAP_Speadsheet!$E$56:$BL$56))</f>
        <v>0</v>
      </c>
      <c r="AK12" s="345" cm="1">
        <f t="array" aca="1" ref="AK12" ca="1">SUMPRODUCT(AK$54:AK$113,TRANSPOSE(SAP_Speadsheet!$E$56:$BL$56))</f>
        <v>0</v>
      </c>
      <c r="AL12" s="345" cm="1">
        <f t="array" aca="1" ref="AL12" ca="1">SUMPRODUCT(AL$54:AL$113,TRANSPOSE(SAP_Speadsheet!$E$56:$BL$56))</f>
        <v>0</v>
      </c>
      <c r="AM12" s="345" cm="1">
        <f t="array" aca="1" ref="AM12" ca="1">SUMPRODUCT(AM$54:AM$113,TRANSPOSE(SAP_Speadsheet!$E$56:$BL$56))</f>
        <v>0</v>
      </c>
      <c r="AN12" s="345" cm="1">
        <f t="array" aca="1" ref="AN12" ca="1">SUMPRODUCT(AN$54:AN$113,TRANSPOSE(SAP_Speadsheet!$E$56:$BL$56))</f>
        <v>0</v>
      </c>
      <c r="AO12" s="345" cm="1">
        <f t="array" aca="1" ref="AO12" ca="1">SUMPRODUCT(AO$54:AO$113,TRANSPOSE(SAP_Speadsheet!$E$56:$BL$56))</f>
        <v>0</v>
      </c>
      <c r="AP12" s="345" cm="1">
        <f t="array" aca="1" ref="AP12" ca="1">SUMPRODUCT(AP$54:AP$113,TRANSPOSE(SAP_Speadsheet!$E$56:$BL$56))</f>
        <v>0</v>
      </c>
      <c r="AQ12" s="345" cm="1">
        <f t="array" aca="1" ref="AQ12" ca="1">SUMPRODUCT(AQ$54:AQ$113,TRANSPOSE(SAP_Speadsheet!$E$56:$BL$56))</f>
        <v>0</v>
      </c>
      <c r="AR12" s="345" cm="1">
        <f t="array" aca="1" ref="AR12" ca="1">SUMPRODUCT(AR$54:AR$113,TRANSPOSE(SAP_Speadsheet!$E$56:$BL$56))</f>
        <v>0</v>
      </c>
      <c r="AS12" s="345" cm="1">
        <f t="array" aca="1" ref="AS12" ca="1">SUMPRODUCT(AS$54:AS$113,TRANSPOSE(SAP_Speadsheet!$E$56:$BL$56))</f>
        <v>0</v>
      </c>
      <c r="AT12" s="345" cm="1">
        <f t="array" aca="1" ref="AT12" ca="1">SUMPRODUCT(AT$54:AT$113,TRANSPOSE(SAP_Speadsheet!$E$56:$BL$56))</f>
        <v>0</v>
      </c>
      <c r="AU12" s="345" cm="1">
        <f t="array" aca="1" ref="AU12" ca="1">SUMPRODUCT(AU$54:AU$113,TRANSPOSE(SAP_Speadsheet!$E$56:$BL$56))</f>
        <v>0</v>
      </c>
      <c r="AV12" s="345" cm="1">
        <f t="array" aca="1" ref="AV12" ca="1">SUMPRODUCT(AV$54:AV$113,TRANSPOSE(SAP_Speadsheet!$E$56:$BL$56))</f>
        <v>0</v>
      </c>
      <c r="AW12" s="345" cm="1">
        <f t="array" aca="1" ref="AW12" ca="1">SUMPRODUCT(AW$54:AW$113,TRANSPOSE(SAP_Speadsheet!$E$56:$BL$56))</f>
        <v>0</v>
      </c>
      <c r="AX12" s="345" cm="1">
        <f t="array" aca="1" ref="AX12" ca="1">SUMPRODUCT(AX$54:AX$113,TRANSPOSE(SAP_Speadsheet!$E$56:$BL$56))</f>
        <v>0</v>
      </c>
      <c r="AY12" s="345" cm="1">
        <f t="array" aca="1" ref="AY12" ca="1">SUMPRODUCT(AY$54:AY$113,TRANSPOSE(SAP_Speadsheet!$E$56:$BL$56))</f>
        <v>0</v>
      </c>
      <c r="AZ12" s="345" cm="1">
        <f t="array" aca="1" ref="AZ12" ca="1">SUMPRODUCT(AZ$54:AZ$113,TRANSPOSE(SAP_Speadsheet!$E$56:$BL$56))</f>
        <v>0</v>
      </c>
      <c r="BA12" s="345" cm="1">
        <f t="array" aca="1" ref="BA12" ca="1">SUMPRODUCT(BA$54:BA$113,TRANSPOSE(SAP_Speadsheet!$E$56:$BL$56))</f>
        <v>0</v>
      </c>
      <c r="BB12" s="345" cm="1">
        <f t="array" aca="1" ref="BB12" ca="1">SUMPRODUCT(BB$54:BB$113,TRANSPOSE(SAP_Speadsheet!$E$56:$BL$56))</f>
        <v>0</v>
      </c>
      <c r="BC12" s="345" cm="1">
        <f t="array" aca="1" ref="BC12" ca="1">SUMPRODUCT(BC$54:BC$113,TRANSPOSE(SAP_Speadsheet!$E$56:$BL$56))</f>
        <v>0</v>
      </c>
      <c r="BD12" s="345" cm="1">
        <f t="array" aca="1" ref="BD12" ca="1">SUMPRODUCT(BD$54:BD$113,TRANSPOSE(SAP_Speadsheet!$E$56:$BL$56))</f>
        <v>0</v>
      </c>
      <c r="BE12" s="345" cm="1">
        <f t="array" aca="1" ref="BE12" ca="1">SUMPRODUCT(BE$54:BE$113,TRANSPOSE(SAP_Speadsheet!$E$56:$BL$56))</f>
        <v>0</v>
      </c>
      <c r="BF12" s="345" cm="1">
        <f t="array" aca="1" ref="BF12" ca="1">SUMPRODUCT(BF$54:BF$113,TRANSPOSE(SAP_Speadsheet!$E$56:$BL$56))</f>
        <v>0</v>
      </c>
      <c r="BG12" s="345" cm="1">
        <f t="array" aca="1" ref="BG12" ca="1">SUMPRODUCT(BG$54:BG$113,TRANSPOSE(SAP_Speadsheet!$E$56:$BL$56))</f>
        <v>0</v>
      </c>
      <c r="BH12" s="345" cm="1">
        <f t="array" aca="1" ref="BH12" ca="1">SUMPRODUCT(BH$54:BH$113,TRANSPOSE(SAP_Speadsheet!$E$56:$BL$56))</f>
        <v>0</v>
      </c>
      <c r="BI12" s="345" cm="1">
        <f t="array" aca="1" ref="BI12" ca="1">SUMPRODUCT(BI$54:BI$113,TRANSPOSE(SAP_Speadsheet!$E$56:$BL$56))</f>
        <v>0</v>
      </c>
    </row>
    <row r="13" spans="1:61" x14ac:dyDescent="0.15">
      <c r="A13" s="344" t="s">
        <v>228</v>
      </c>
      <c r="B13" s="345" cm="1">
        <f t="array" aca="1" ref="B13" ca="1">SUMPRODUCT(B$54:B$113,TRANSPOSE(SAP_Speadsheet!$E$57:$BL$57))</f>
        <v>0</v>
      </c>
      <c r="C13" s="345" cm="1">
        <f t="array" aca="1" ref="C13" ca="1">SUMPRODUCT(C$54:C$113,TRANSPOSE(SAP_Speadsheet!$E$57:$BL$57))</f>
        <v>0</v>
      </c>
      <c r="D13" s="345" cm="1">
        <f t="array" aca="1" ref="D13" ca="1">SUMPRODUCT(D$54:D$113,TRANSPOSE(SAP_Speadsheet!$E$57:$BL$57))</f>
        <v>0</v>
      </c>
      <c r="E13" s="345" cm="1">
        <f t="array" aca="1" ref="E13" ca="1">SUMPRODUCT(E$54:E$113,TRANSPOSE(SAP_Speadsheet!$E$57:$BL$57))</f>
        <v>-586.24669480102352</v>
      </c>
      <c r="F13" s="345" cm="1">
        <f t="array" aca="1" ref="F13" ca="1">SUMPRODUCT(F$54:F$113,TRANSPOSE(SAP_Speadsheet!$E$57:$BL$57))</f>
        <v>-851.11309147075167</v>
      </c>
      <c r="G13" s="345" cm="1">
        <f t="array" aca="1" ref="G13" ca="1">SUMPRODUCT(G$54:G$113,TRANSPOSE(SAP_Speadsheet!$E$57:$BL$57))</f>
        <v>-1318.4874687475021</v>
      </c>
      <c r="H13" s="345" cm="1">
        <f t="array" aca="1" ref="H13" ca="1">SUMPRODUCT(H$54:H$113,TRANSPOSE(SAP_Speadsheet!$E$57:$BL$57))</f>
        <v>-283.39119401302139</v>
      </c>
      <c r="I13" s="345" cm="1">
        <f t="array" aca="1" ref="I13" ca="1">SUMPRODUCT(I$54:I$113,TRANSPOSE(SAP_Speadsheet!$E$57:$BL$57))</f>
        <v>-253.12506334498545</v>
      </c>
      <c r="J13" s="345" cm="1">
        <f t="array" aca="1" ref="J13" ca="1">SUMPRODUCT(J$54:J$113,TRANSPOSE(SAP_Speadsheet!$E$57:$BL$57))</f>
        <v>-243.84992228094427</v>
      </c>
      <c r="K13" s="345" cm="1">
        <f t="array" aca="1" ref="K13" ca="1">SUMPRODUCT(K$54:K$113,TRANSPOSE(SAP_Speadsheet!$E$57:$BL$57))</f>
        <v>-212.84080628920356</v>
      </c>
      <c r="L13" s="345" cm="1">
        <f t="array" aca="1" ref="L13" ca="1">SUMPRODUCT(L$54:L$113,TRANSPOSE(SAP_Speadsheet!$E$57:$BL$57))</f>
        <v>-146.91769129781449</v>
      </c>
      <c r="M13" s="345" cm="1">
        <f t="array" aca="1" ref="M13" ca="1">SUMPRODUCT(M$54:M$113,TRANSPOSE(SAP_Speadsheet!$E$57:$BL$57))</f>
        <v>-54.80973917046343</v>
      </c>
      <c r="N13" s="345" cm="1">
        <f t="array" aca="1" ref="N13" ca="1">SUMPRODUCT(N$54:N$113,TRANSPOSE(SAP_Speadsheet!$E$57:$BL$57))</f>
        <v>0</v>
      </c>
      <c r="O13" s="345" cm="1">
        <f t="array" aca="1" ref="O13" ca="1">SUMPRODUCT(O$54:O$113,TRANSPOSE(SAP_Speadsheet!$E$57:$BL$57))</f>
        <v>0</v>
      </c>
      <c r="P13" s="345" cm="1">
        <f t="array" aca="1" ref="P13" ca="1">SUMPRODUCT(P$54:P$113,TRANSPOSE(SAP_Speadsheet!$E$57:$BL$57))</f>
        <v>0</v>
      </c>
      <c r="Q13" s="345" cm="1">
        <f t="array" aca="1" ref="Q13" ca="1">SUMPRODUCT(Q$54:Q$113,TRANSPOSE(SAP_Speadsheet!$E$57:$BL$57))</f>
        <v>0</v>
      </c>
      <c r="R13" s="345" cm="1">
        <f t="array" aca="1" ref="R13" ca="1">SUMPRODUCT(R$54:R$113,TRANSPOSE(SAP_Speadsheet!$E$57:$BL$57))</f>
        <v>0</v>
      </c>
      <c r="S13" s="345" cm="1">
        <f t="array" aca="1" ref="S13" ca="1">SUMPRODUCT(S$54:S$113,TRANSPOSE(SAP_Speadsheet!$E$57:$BL$57))</f>
        <v>0</v>
      </c>
      <c r="T13" s="345" cm="1">
        <f t="array" aca="1" ref="T13" ca="1">SUMPRODUCT(T$54:T$113,TRANSPOSE(SAP_Speadsheet!$E$57:$BL$57))</f>
        <v>0</v>
      </c>
      <c r="U13" s="345" cm="1">
        <f t="array" aca="1" ref="U13" ca="1">SUMPRODUCT(U$54:U$113,TRANSPOSE(SAP_Speadsheet!$E$57:$BL$57))</f>
        <v>0</v>
      </c>
      <c r="V13" s="345" cm="1">
        <f t="array" aca="1" ref="V13" ca="1">SUMPRODUCT(V$54:V$113,TRANSPOSE(SAP_Speadsheet!$E$57:$BL$57))</f>
        <v>0</v>
      </c>
      <c r="W13" s="345" cm="1">
        <f t="array" aca="1" ref="W13" ca="1">SUMPRODUCT(W$54:W$113,TRANSPOSE(SAP_Speadsheet!$E$57:$BL$57))</f>
        <v>0</v>
      </c>
      <c r="X13" s="345" cm="1">
        <f t="array" aca="1" ref="X13" ca="1">SUMPRODUCT(X$54:X$113,TRANSPOSE(SAP_Speadsheet!$E$57:$BL$57))</f>
        <v>0</v>
      </c>
      <c r="Y13" s="345" cm="1">
        <f t="array" aca="1" ref="Y13" ca="1">SUMPRODUCT(Y$54:Y$113,TRANSPOSE(SAP_Speadsheet!$E$57:$BL$57))</f>
        <v>0</v>
      </c>
      <c r="Z13" s="345" cm="1">
        <f t="array" aca="1" ref="Z13" ca="1">SUMPRODUCT(Z$54:Z$113,TRANSPOSE(SAP_Speadsheet!$E$57:$BL$57))</f>
        <v>0</v>
      </c>
      <c r="AA13" s="345" cm="1">
        <f t="array" aca="1" ref="AA13" ca="1">SUMPRODUCT(AA$54:AA$113,TRANSPOSE(SAP_Speadsheet!$E$57:$BL$57))</f>
        <v>0</v>
      </c>
      <c r="AB13" s="345" cm="1">
        <f t="array" aca="1" ref="AB13" ca="1">SUMPRODUCT(AB$54:AB$113,TRANSPOSE(SAP_Speadsheet!$E$57:$BL$57))</f>
        <v>0</v>
      </c>
      <c r="AC13" s="345" cm="1">
        <f t="array" aca="1" ref="AC13" ca="1">SUMPRODUCT(AC$54:AC$113,TRANSPOSE(SAP_Speadsheet!$E$57:$BL$57))</f>
        <v>0</v>
      </c>
      <c r="AD13" s="345" cm="1">
        <f t="array" aca="1" ref="AD13" ca="1">SUMPRODUCT(AD$54:AD$113,TRANSPOSE(SAP_Speadsheet!$E$57:$BL$57))</f>
        <v>0</v>
      </c>
      <c r="AE13" s="345" cm="1">
        <f t="array" aca="1" ref="AE13" ca="1">SUMPRODUCT(AE$54:AE$113,TRANSPOSE(SAP_Speadsheet!$E$57:$BL$57))</f>
        <v>0</v>
      </c>
      <c r="AF13" s="345" cm="1">
        <f t="array" aca="1" ref="AF13" ca="1">SUMPRODUCT(AF$54:AF$113,TRANSPOSE(SAP_Speadsheet!$E$57:$BL$57))</f>
        <v>0</v>
      </c>
      <c r="AG13" s="345" cm="1">
        <f t="array" aca="1" ref="AG13" ca="1">SUMPRODUCT(AG$54:AG$113,TRANSPOSE(SAP_Speadsheet!$E$57:$BL$57))</f>
        <v>0</v>
      </c>
      <c r="AH13" s="345" cm="1">
        <f t="array" aca="1" ref="AH13" ca="1">SUMPRODUCT(AH$54:AH$113,TRANSPOSE(SAP_Speadsheet!$E$57:$BL$57))</f>
        <v>0</v>
      </c>
      <c r="AI13" s="345" cm="1">
        <f t="array" aca="1" ref="AI13" ca="1">SUMPRODUCT(AI$54:AI$113,TRANSPOSE(SAP_Speadsheet!$E$57:$BL$57))</f>
        <v>0</v>
      </c>
      <c r="AJ13" s="345" cm="1">
        <f t="array" aca="1" ref="AJ13" ca="1">SUMPRODUCT(AJ$54:AJ$113,TRANSPOSE(SAP_Speadsheet!$E$57:$BL$57))</f>
        <v>0</v>
      </c>
      <c r="AK13" s="345" cm="1">
        <f t="array" aca="1" ref="AK13" ca="1">SUMPRODUCT(AK$54:AK$113,TRANSPOSE(SAP_Speadsheet!$E$57:$BL$57))</f>
        <v>0</v>
      </c>
      <c r="AL13" s="345" cm="1">
        <f t="array" aca="1" ref="AL13" ca="1">SUMPRODUCT(AL$54:AL$113,TRANSPOSE(SAP_Speadsheet!$E$57:$BL$57))</f>
        <v>0</v>
      </c>
      <c r="AM13" s="345" cm="1">
        <f t="array" aca="1" ref="AM13" ca="1">SUMPRODUCT(AM$54:AM$113,TRANSPOSE(SAP_Speadsheet!$E$57:$BL$57))</f>
        <v>0</v>
      </c>
      <c r="AN13" s="345" cm="1">
        <f t="array" aca="1" ref="AN13" ca="1">SUMPRODUCT(AN$54:AN$113,TRANSPOSE(SAP_Speadsheet!$E$57:$BL$57))</f>
        <v>0</v>
      </c>
      <c r="AO13" s="345" cm="1">
        <f t="array" aca="1" ref="AO13" ca="1">SUMPRODUCT(AO$54:AO$113,TRANSPOSE(SAP_Speadsheet!$E$57:$BL$57))</f>
        <v>0</v>
      </c>
      <c r="AP13" s="345" cm="1">
        <f t="array" aca="1" ref="AP13" ca="1">SUMPRODUCT(AP$54:AP$113,TRANSPOSE(SAP_Speadsheet!$E$57:$BL$57))</f>
        <v>0</v>
      </c>
      <c r="AQ13" s="345" cm="1">
        <f t="array" aca="1" ref="AQ13" ca="1">SUMPRODUCT(AQ$54:AQ$113,TRANSPOSE(SAP_Speadsheet!$E$57:$BL$57))</f>
        <v>0</v>
      </c>
      <c r="AR13" s="345" cm="1">
        <f t="array" aca="1" ref="AR13" ca="1">SUMPRODUCT(AR$54:AR$113,TRANSPOSE(SAP_Speadsheet!$E$57:$BL$57))</f>
        <v>0</v>
      </c>
      <c r="AS13" s="345" cm="1">
        <f t="array" aca="1" ref="AS13" ca="1">SUMPRODUCT(AS$54:AS$113,TRANSPOSE(SAP_Speadsheet!$E$57:$BL$57))</f>
        <v>0</v>
      </c>
      <c r="AT13" s="345" cm="1">
        <f t="array" aca="1" ref="AT13" ca="1">SUMPRODUCT(AT$54:AT$113,TRANSPOSE(SAP_Speadsheet!$E$57:$BL$57))</f>
        <v>0</v>
      </c>
      <c r="AU13" s="345" cm="1">
        <f t="array" aca="1" ref="AU13" ca="1">SUMPRODUCT(AU$54:AU$113,TRANSPOSE(SAP_Speadsheet!$E$57:$BL$57))</f>
        <v>0</v>
      </c>
      <c r="AV13" s="345" cm="1">
        <f t="array" aca="1" ref="AV13" ca="1">SUMPRODUCT(AV$54:AV$113,TRANSPOSE(SAP_Speadsheet!$E$57:$BL$57))</f>
        <v>0</v>
      </c>
      <c r="AW13" s="345" cm="1">
        <f t="array" aca="1" ref="AW13" ca="1">SUMPRODUCT(AW$54:AW$113,TRANSPOSE(SAP_Speadsheet!$E$57:$BL$57))</f>
        <v>0</v>
      </c>
      <c r="AX13" s="345" cm="1">
        <f t="array" aca="1" ref="AX13" ca="1">SUMPRODUCT(AX$54:AX$113,TRANSPOSE(SAP_Speadsheet!$E$57:$BL$57))</f>
        <v>0</v>
      </c>
      <c r="AY13" s="345" cm="1">
        <f t="array" aca="1" ref="AY13" ca="1">SUMPRODUCT(AY$54:AY$113,TRANSPOSE(SAP_Speadsheet!$E$57:$BL$57))</f>
        <v>0</v>
      </c>
      <c r="AZ13" s="345" cm="1">
        <f t="array" aca="1" ref="AZ13" ca="1">SUMPRODUCT(AZ$54:AZ$113,TRANSPOSE(SAP_Speadsheet!$E$57:$BL$57))</f>
        <v>0</v>
      </c>
      <c r="BA13" s="345" cm="1">
        <f t="array" aca="1" ref="BA13" ca="1">SUMPRODUCT(BA$54:BA$113,TRANSPOSE(SAP_Speadsheet!$E$57:$BL$57))</f>
        <v>0</v>
      </c>
      <c r="BB13" s="345" cm="1">
        <f t="array" aca="1" ref="BB13" ca="1">SUMPRODUCT(BB$54:BB$113,TRANSPOSE(SAP_Speadsheet!$E$57:$BL$57))</f>
        <v>0</v>
      </c>
      <c r="BC13" s="345" cm="1">
        <f t="array" aca="1" ref="BC13" ca="1">SUMPRODUCT(BC$54:BC$113,TRANSPOSE(SAP_Speadsheet!$E$57:$BL$57))</f>
        <v>0</v>
      </c>
      <c r="BD13" s="345" cm="1">
        <f t="array" aca="1" ref="BD13" ca="1">SUMPRODUCT(BD$54:BD$113,TRANSPOSE(SAP_Speadsheet!$E$57:$BL$57))</f>
        <v>0</v>
      </c>
      <c r="BE13" s="345" cm="1">
        <f t="array" aca="1" ref="BE13" ca="1">SUMPRODUCT(BE$54:BE$113,TRANSPOSE(SAP_Speadsheet!$E$57:$BL$57))</f>
        <v>0</v>
      </c>
      <c r="BF13" s="345" cm="1">
        <f t="array" aca="1" ref="BF13" ca="1">SUMPRODUCT(BF$54:BF$113,TRANSPOSE(SAP_Speadsheet!$E$57:$BL$57))</f>
        <v>0</v>
      </c>
      <c r="BG13" s="345" cm="1">
        <f t="array" aca="1" ref="BG13" ca="1">SUMPRODUCT(BG$54:BG$113,TRANSPOSE(SAP_Speadsheet!$E$57:$BL$57))</f>
        <v>0</v>
      </c>
      <c r="BH13" s="345" cm="1">
        <f t="array" aca="1" ref="BH13" ca="1">SUMPRODUCT(BH$54:BH$113,TRANSPOSE(SAP_Speadsheet!$E$57:$BL$57))</f>
        <v>0</v>
      </c>
      <c r="BI13" s="345" cm="1">
        <f t="array" aca="1" ref="BI13" ca="1">SUMPRODUCT(BI$54:BI$113,TRANSPOSE(SAP_Speadsheet!$E$57:$BL$57))</f>
        <v>0</v>
      </c>
    </row>
    <row r="14" spans="1:61" x14ac:dyDescent="0.15">
      <c r="A14" s="333" t="s">
        <v>208</v>
      </c>
      <c r="B14" s="340" cm="1">
        <f t="array" aca="1" ref="B14" ca="1">SUMPRODUCT(B$54:B$113,TRANSPOSE(SAP_Speadsheet!$E$59:$BL$59))</f>
        <v>0</v>
      </c>
      <c r="C14" s="340" cm="1">
        <f t="array" aca="1" ref="C14" ca="1">SUMPRODUCT(C$54:C$113,TRANSPOSE(SAP_Speadsheet!$E$59:$BL$59))</f>
        <v>0</v>
      </c>
      <c r="D14" s="340" cm="1">
        <f t="array" aca="1" ref="D14" ca="1">SUMPRODUCT(D$54:D$113,TRANSPOSE(SAP_Speadsheet!$E$59:$BL$59))</f>
        <v>0</v>
      </c>
      <c r="E14" s="340" cm="1">
        <f t="array" aca="1" ref="E14" ca="1">SUMPRODUCT(E$54:E$113,TRANSPOSE(SAP_Speadsheet!$E$59:$BL$59))</f>
        <v>14979.840592663042</v>
      </c>
      <c r="F14" s="340" cm="1">
        <f t="array" aca="1" ref="F14" ca="1">SUMPRODUCT(F$54:F$113,TRANSPOSE(SAP_Speadsheet!$E$59:$BL$59))</f>
        <v>19874.97763888491</v>
      </c>
      <c r="G14" s="340" cm="1">
        <f t="array" aca="1" ref="G14" ca="1">SUMPRODUCT(G$54:G$113,TRANSPOSE(SAP_Speadsheet!$E$59:$BL$59))</f>
        <v>29646.341400452031</v>
      </c>
      <c r="H14" s="340" cm="1">
        <f t="array" aca="1" ref="H14" ca="1">SUMPRODUCT(H$54:H$113,TRANSPOSE(SAP_Speadsheet!$E$59:$BL$59))</f>
        <v>0</v>
      </c>
      <c r="I14" s="340" cm="1">
        <f t="array" aca="1" ref="I14" ca="1">SUMPRODUCT(I$54:I$113,TRANSPOSE(SAP_Speadsheet!$E$59:$BL$59))</f>
        <v>0</v>
      </c>
      <c r="J14" s="340" cm="1">
        <f t="array" aca="1" ref="J14" ca="1">SUMPRODUCT(J$54:J$113,TRANSPOSE(SAP_Speadsheet!$E$59:$BL$59))</f>
        <v>0</v>
      </c>
      <c r="K14" s="340" cm="1">
        <f t="array" aca="1" ref="K14" ca="1">SUMPRODUCT(K$54:K$113,TRANSPOSE(SAP_Speadsheet!$E$59:$BL$59))</f>
        <v>0</v>
      </c>
      <c r="L14" s="340" cm="1">
        <f t="array" aca="1" ref="L14" ca="1">SUMPRODUCT(L$54:L$113,TRANSPOSE(SAP_Speadsheet!$E$59:$BL$59))</f>
        <v>0</v>
      </c>
      <c r="M14" s="340" cm="1">
        <f t="array" aca="1" ref="M14" ca="1">SUMPRODUCT(M$54:M$113,TRANSPOSE(SAP_Speadsheet!$E$59:$BL$59))</f>
        <v>0</v>
      </c>
      <c r="N14" s="340" cm="1">
        <f t="array" aca="1" ref="N14" ca="1">SUMPRODUCT(N$54:N$113,TRANSPOSE(SAP_Speadsheet!$E$59:$BL$59))</f>
        <v>0</v>
      </c>
      <c r="O14" s="340" cm="1">
        <f t="array" aca="1" ref="O14" ca="1">SUMPRODUCT(O$54:O$113,TRANSPOSE(SAP_Speadsheet!$E$59:$BL$59))</f>
        <v>0</v>
      </c>
      <c r="P14" s="340" cm="1">
        <f t="array" aca="1" ref="P14" ca="1">SUMPRODUCT(P$54:P$113,TRANSPOSE(SAP_Speadsheet!$E$59:$BL$59))</f>
        <v>0</v>
      </c>
      <c r="Q14" s="340" cm="1">
        <f t="array" aca="1" ref="Q14" ca="1">SUMPRODUCT(Q$54:Q$113,TRANSPOSE(SAP_Speadsheet!$E$59:$BL$59))</f>
        <v>0</v>
      </c>
      <c r="R14" s="340" cm="1">
        <f t="array" aca="1" ref="R14" ca="1">SUMPRODUCT(R$54:R$113,TRANSPOSE(SAP_Speadsheet!$E$59:$BL$59))</f>
        <v>0</v>
      </c>
      <c r="S14" s="340" cm="1">
        <f t="array" aca="1" ref="S14" ca="1">SUMPRODUCT(S$54:S$113,TRANSPOSE(SAP_Speadsheet!$E$59:$BL$59))</f>
        <v>0</v>
      </c>
      <c r="T14" s="340" cm="1">
        <f t="array" aca="1" ref="T14" ca="1">SUMPRODUCT(T$54:T$113,TRANSPOSE(SAP_Speadsheet!$E$59:$BL$59))</f>
        <v>0</v>
      </c>
      <c r="U14" s="340" cm="1">
        <f t="array" aca="1" ref="U14" ca="1">SUMPRODUCT(U$54:U$113,TRANSPOSE(SAP_Speadsheet!$E$59:$BL$59))</f>
        <v>0</v>
      </c>
      <c r="V14" s="340" cm="1">
        <f t="array" aca="1" ref="V14" ca="1">SUMPRODUCT(V$54:V$113,TRANSPOSE(SAP_Speadsheet!$E$59:$BL$59))</f>
        <v>0</v>
      </c>
      <c r="W14" s="340" cm="1">
        <f t="array" aca="1" ref="W14" ca="1">SUMPRODUCT(W$54:W$113,TRANSPOSE(SAP_Speadsheet!$E$59:$BL$59))</f>
        <v>0</v>
      </c>
      <c r="X14" s="340" cm="1">
        <f t="array" aca="1" ref="X14" ca="1">SUMPRODUCT(X$54:X$113,TRANSPOSE(SAP_Speadsheet!$E$59:$BL$59))</f>
        <v>0</v>
      </c>
      <c r="Y14" s="340" cm="1">
        <f t="array" aca="1" ref="Y14" ca="1">SUMPRODUCT(Y$54:Y$113,TRANSPOSE(SAP_Speadsheet!$E$59:$BL$59))</f>
        <v>0</v>
      </c>
      <c r="Z14" s="340" cm="1">
        <f t="array" aca="1" ref="Z14" ca="1">SUMPRODUCT(Z$54:Z$113,TRANSPOSE(SAP_Speadsheet!$E$59:$BL$59))</f>
        <v>0</v>
      </c>
      <c r="AA14" s="340" cm="1">
        <f t="array" aca="1" ref="AA14" ca="1">SUMPRODUCT(AA$54:AA$113,TRANSPOSE(SAP_Speadsheet!$E$59:$BL$59))</f>
        <v>0</v>
      </c>
      <c r="AB14" s="340" cm="1">
        <f t="array" aca="1" ref="AB14" ca="1">SUMPRODUCT(AB$54:AB$113,TRANSPOSE(SAP_Speadsheet!$E$59:$BL$59))</f>
        <v>0</v>
      </c>
      <c r="AC14" s="340" cm="1">
        <f t="array" aca="1" ref="AC14" ca="1">SUMPRODUCT(AC$54:AC$113,TRANSPOSE(SAP_Speadsheet!$E$59:$BL$59))</f>
        <v>0</v>
      </c>
      <c r="AD14" s="340" cm="1">
        <f t="array" aca="1" ref="AD14" ca="1">SUMPRODUCT(AD$54:AD$113,TRANSPOSE(SAP_Speadsheet!$E$59:$BL$59))</f>
        <v>0</v>
      </c>
      <c r="AE14" s="340" cm="1">
        <f t="array" aca="1" ref="AE14" ca="1">SUMPRODUCT(AE$54:AE$113,TRANSPOSE(SAP_Speadsheet!$E$59:$BL$59))</f>
        <v>0</v>
      </c>
      <c r="AF14" s="340" cm="1">
        <f t="array" aca="1" ref="AF14" ca="1">SUMPRODUCT(AF$54:AF$113,TRANSPOSE(SAP_Speadsheet!$E$59:$BL$59))</f>
        <v>0</v>
      </c>
      <c r="AG14" s="340" cm="1">
        <f t="array" aca="1" ref="AG14" ca="1">SUMPRODUCT(AG$54:AG$113,TRANSPOSE(SAP_Speadsheet!$E$59:$BL$59))</f>
        <v>0</v>
      </c>
      <c r="AH14" s="340" cm="1">
        <f t="array" aca="1" ref="AH14" ca="1">SUMPRODUCT(AH$54:AH$113,TRANSPOSE(SAP_Speadsheet!$E$59:$BL$59))</f>
        <v>0</v>
      </c>
      <c r="AI14" s="340" cm="1">
        <f t="array" aca="1" ref="AI14" ca="1">SUMPRODUCT(AI$54:AI$113,TRANSPOSE(SAP_Speadsheet!$E$59:$BL$59))</f>
        <v>0</v>
      </c>
      <c r="AJ14" s="340" cm="1">
        <f t="array" aca="1" ref="AJ14" ca="1">SUMPRODUCT(AJ$54:AJ$113,TRANSPOSE(SAP_Speadsheet!$E$59:$BL$59))</f>
        <v>0</v>
      </c>
      <c r="AK14" s="340" cm="1">
        <f t="array" aca="1" ref="AK14" ca="1">SUMPRODUCT(AK$54:AK$113,TRANSPOSE(SAP_Speadsheet!$E$59:$BL$59))</f>
        <v>0</v>
      </c>
      <c r="AL14" s="340" cm="1">
        <f t="array" aca="1" ref="AL14" ca="1">SUMPRODUCT(AL$54:AL$113,TRANSPOSE(SAP_Speadsheet!$E$59:$BL$59))</f>
        <v>0</v>
      </c>
      <c r="AM14" s="340" cm="1">
        <f t="array" aca="1" ref="AM14" ca="1">SUMPRODUCT(AM$54:AM$113,TRANSPOSE(SAP_Speadsheet!$E$59:$BL$59))</f>
        <v>0</v>
      </c>
      <c r="AN14" s="340" cm="1">
        <f t="array" aca="1" ref="AN14" ca="1">SUMPRODUCT(AN$54:AN$113,TRANSPOSE(SAP_Speadsheet!$E$59:$BL$59))</f>
        <v>0</v>
      </c>
      <c r="AO14" s="340" cm="1">
        <f t="array" aca="1" ref="AO14" ca="1">SUMPRODUCT(AO$54:AO$113,TRANSPOSE(SAP_Speadsheet!$E$59:$BL$59))</f>
        <v>0</v>
      </c>
      <c r="AP14" s="340" cm="1">
        <f t="array" aca="1" ref="AP14" ca="1">SUMPRODUCT(AP$54:AP$113,TRANSPOSE(SAP_Speadsheet!$E$59:$BL$59))</f>
        <v>0</v>
      </c>
      <c r="AQ14" s="340" cm="1">
        <f t="array" aca="1" ref="AQ14" ca="1">SUMPRODUCT(AQ$54:AQ$113,TRANSPOSE(SAP_Speadsheet!$E$59:$BL$59))</f>
        <v>0</v>
      </c>
      <c r="AR14" s="340" cm="1">
        <f t="array" aca="1" ref="AR14" ca="1">SUMPRODUCT(AR$54:AR$113,TRANSPOSE(SAP_Speadsheet!$E$59:$BL$59))</f>
        <v>0</v>
      </c>
      <c r="AS14" s="340" cm="1">
        <f t="array" aca="1" ref="AS14" ca="1">SUMPRODUCT(AS$54:AS$113,TRANSPOSE(SAP_Speadsheet!$E$59:$BL$59))</f>
        <v>0</v>
      </c>
      <c r="AT14" s="340" cm="1">
        <f t="array" aca="1" ref="AT14" ca="1">SUMPRODUCT(AT$54:AT$113,TRANSPOSE(SAP_Speadsheet!$E$59:$BL$59))</f>
        <v>0</v>
      </c>
      <c r="AU14" s="340" cm="1">
        <f t="array" aca="1" ref="AU14" ca="1">SUMPRODUCT(AU$54:AU$113,TRANSPOSE(SAP_Speadsheet!$E$59:$BL$59))</f>
        <v>0</v>
      </c>
      <c r="AV14" s="340" cm="1">
        <f t="array" aca="1" ref="AV14" ca="1">SUMPRODUCT(AV$54:AV$113,TRANSPOSE(SAP_Speadsheet!$E$59:$BL$59))</f>
        <v>0</v>
      </c>
      <c r="AW14" s="340" cm="1">
        <f t="array" aca="1" ref="AW14" ca="1">SUMPRODUCT(AW$54:AW$113,TRANSPOSE(SAP_Speadsheet!$E$59:$BL$59))</f>
        <v>0</v>
      </c>
      <c r="AX14" s="340" cm="1">
        <f t="array" aca="1" ref="AX14" ca="1">SUMPRODUCT(AX$54:AX$113,TRANSPOSE(SAP_Speadsheet!$E$59:$BL$59))</f>
        <v>0</v>
      </c>
      <c r="AY14" s="340" cm="1">
        <f t="array" aca="1" ref="AY14" ca="1">SUMPRODUCT(AY$54:AY$113,TRANSPOSE(SAP_Speadsheet!$E$59:$BL$59))</f>
        <v>0</v>
      </c>
      <c r="AZ14" s="340" cm="1">
        <f t="array" aca="1" ref="AZ14" ca="1">SUMPRODUCT(AZ$54:AZ$113,TRANSPOSE(SAP_Speadsheet!$E$59:$BL$59))</f>
        <v>0</v>
      </c>
      <c r="BA14" s="340" cm="1">
        <f t="array" aca="1" ref="BA14" ca="1">SUMPRODUCT(BA$54:BA$113,TRANSPOSE(SAP_Speadsheet!$E$59:$BL$59))</f>
        <v>0</v>
      </c>
      <c r="BB14" s="340" cm="1">
        <f t="array" aca="1" ref="BB14" ca="1">SUMPRODUCT(BB$54:BB$113,TRANSPOSE(SAP_Speadsheet!$E$59:$BL$59))</f>
        <v>0</v>
      </c>
      <c r="BC14" s="340" cm="1">
        <f t="array" aca="1" ref="BC14" ca="1">SUMPRODUCT(BC$54:BC$113,TRANSPOSE(SAP_Speadsheet!$E$59:$BL$59))</f>
        <v>0</v>
      </c>
      <c r="BD14" s="340" cm="1">
        <f t="array" aca="1" ref="BD14" ca="1">SUMPRODUCT(BD$54:BD$113,TRANSPOSE(SAP_Speadsheet!$E$59:$BL$59))</f>
        <v>0</v>
      </c>
      <c r="BE14" s="340" cm="1">
        <f t="array" aca="1" ref="BE14" ca="1">SUMPRODUCT(BE$54:BE$113,TRANSPOSE(SAP_Speadsheet!$E$59:$BL$59))</f>
        <v>0</v>
      </c>
      <c r="BF14" s="340" cm="1">
        <f t="array" aca="1" ref="BF14" ca="1">SUMPRODUCT(BF$54:BF$113,TRANSPOSE(SAP_Speadsheet!$E$59:$BL$59))</f>
        <v>0</v>
      </c>
      <c r="BG14" s="340" cm="1">
        <f t="array" aca="1" ref="BG14" ca="1">SUMPRODUCT(BG$54:BG$113,TRANSPOSE(SAP_Speadsheet!$E$59:$BL$59))</f>
        <v>0</v>
      </c>
      <c r="BH14" s="340" cm="1">
        <f t="array" aca="1" ref="BH14" ca="1">SUMPRODUCT(BH$54:BH$113,TRANSPOSE(SAP_Speadsheet!$E$59:$BL$59))</f>
        <v>0</v>
      </c>
      <c r="BI14" s="340" cm="1">
        <f t="array" aca="1" ref="BI14" ca="1">SUMPRODUCT(BI$54:BI$113,TRANSPOSE(SAP_Speadsheet!$E$59:$BL$59))</f>
        <v>0</v>
      </c>
    </row>
    <row r="15" spans="1:61" x14ac:dyDescent="0.15">
      <c r="A15" s="344" t="s">
        <v>463</v>
      </c>
      <c r="B15" s="345" cm="1">
        <f t="array" aca="1" ref="B15" ca="1">SUMPRODUCT(B$54:B$113,TRANSPOSE(SAP_Speadsheet!$E$60:$BL$60))</f>
        <v>0</v>
      </c>
      <c r="C15" s="345" cm="1">
        <f t="array" aca="1" ref="C15" ca="1">SUMPRODUCT(C$54:C$113,TRANSPOSE(SAP_Speadsheet!$E$60:$BL$60))</f>
        <v>0</v>
      </c>
      <c r="D15" s="345" cm="1">
        <f t="array" aca="1" ref="D15" ca="1">SUMPRODUCT(D$54:D$113,TRANSPOSE(SAP_Speadsheet!$E$60:$BL$60))</f>
        <v>0</v>
      </c>
      <c r="E15" s="345" cm="1">
        <f t="array" aca="1" ref="E15" ca="1">SUMPRODUCT(E$54:E$113,TRANSPOSE(SAP_Speadsheet!$E$60:$BL$60))</f>
        <v>14979.840592663042</v>
      </c>
      <c r="F15" s="345" cm="1">
        <f t="array" aca="1" ref="F15" ca="1">SUMPRODUCT(F$54:F$113,TRANSPOSE(SAP_Speadsheet!$E$60:$BL$60))</f>
        <v>19874.97763888491</v>
      </c>
      <c r="G15" s="345" cm="1">
        <f t="array" aca="1" ref="G15" ca="1">SUMPRODUCT(G$54:G$113,TRANSPOSE(SAP_Speadsheet!$E$60:$BL$60))</f>
        <v>29646.341400452031</v>
      </c>
      <c r="H15" s="345" cm="1">
        <f t="array" aca="1" ref="H15" ca="1">SUMPRODUCT(H$54:H$113,TRANSPOSE(SAP_Speadsheet!$E$60:$BL$60))</f>
        <v>0</v>
      </c>
      <c r="I15" s="345" cm="1">
        <f t="array" aca="1" ref="I15" ca="1">SUMPRODUCT(I$54:I$113,TRANSPOSE(SAP_Speadsheet!$E$60:$BL$60))</f>
        <v>0</v>
      </c>
      <c r="J15" s="345" cm="1">
        <f t="array" aca="1" ref="J15" ca="1">SUMPRODUCT(J$54:J$113,TRANSPOSE(SAP_Speadsheet!$E$60:$BL$60))</f>
        <v>0</v>
      </c>
      <c r="K15" s="345" cm="1">
        <f t="array" aca="1" ref="K15" ca="1">SUMPRODUCT(K$54:K$113,TRANSPOSE(SAP_Speadsheet!$E$60:$BL$60))</f>
        <v>0</v>
      </c>
      <c r="L15" s="345" cm="1">
        <f t="array" aca="1" ref="L15" ca="1">SUMPRODUCT(L$54:L$113,TRANSPOSE(SAP_Speadsheet!$E$60:$BL$60))</f>
        <v>0</v>
      </c>
      <c r="M15" s="345" cm="1">
        <f t="array" aca="1" ref="M15" ca="1">SUMPRODUCT(M$54:M$113,TRANSPOSE(SAP_Speadsheet!$E$60:$BL$60))</f>
        <v>0</v>
      </c>
      <c r="N15" s="345" cm="1">
        <f t="array" aca="1" ref="N15" ca="1">SUMPRODUCT(N$54:N$113,TRANSPOSE(SAP_Speadsheet!$E$60:$BL$60))</f>
        <v>0</v>
      </c>
      <c r="O15" s="345" cm="1">
        <f t="array" aca="1" ref="O15" ca="1">SUMPRODUCT(O$54:O$113,TRANSPOSE(SAP_Speadsheet!$E$60:$BL$60))</f>
        <v>0</v>
      </c>
      <c r="P15" s="345" cm="1">
        <f t="array" aca="1" ref="P15" ca="1">SUMPRODUCT(P$54:P$113,TRANSPOSE(SAP_Speadsheet!$E$60:$BL$60))</f>
        <v>0</v>
      </c>
      <c r="Q15" s="345" cm="1">
        <f t="array" aca="1" ref="Q15" ca="1">SUMPRODUCT(Q$54:Q$113,TRANSPOSE(SAP_Speadsheet!$E$60:$BL$60))</f>
        <v>0</v>
      </c>
      <c r="R15" s="345" cm="1">
        <f t="array" aca="1" ref="R15" ca="1">SUMPRODUCT(R$54:R$113,TRANSPOSE(SAP_Speadsheet!$E$60:$BL$60))</f>
        <v>0</v>
      </c>
      <c r="S15" s="345" cm="1">
        <f t="array" aca="1" ref="S15" ca="1">SUMPRODUCT(S$54:S$113,TRANSPOSE(SAP_Speadsheet!$E$60:$BL$60))</f>
        <v>0</v>
      </c>
      <c r="T15" s="345" cm="1">
        <f t="array" aca="1" ref="T15" ca="1">SUMPRODUCT(T$54:T$113,TRANSPOSE(SAP_Speadsheet!$E$60:$BL$60))</f>
        <v>0</v>
      </c>
      <c r="U15" s="345" cm="1">
        <f t="array" aca="1" ref="U15" ca="1">SUMPRODUCT(U$54:U$113,TRANSPOSE(SAP_Speadsheet!$E$60:$BL$60))</f>
        <v>0</v>
      </c>
      <c r="V15" s="345" cm="1">
        <f t="array" aca="1" ref="V15" ca="1">SUMPRODUCT(V$54:V$113,TRANSPOSE(SAP_Speadsheet!$E$60:$BL$60))</f>
        <v>0</v>
      </c>
      <c r="W15" s="345" cm="1">
        <f t="array" aca="1" ref="W15" ca="1">SUMPRODUCT(W$54:W$113,TRANSPOSE(SAP_Speadsheet!$E$60:$BL$60))</f>
        <v>0</v>
      </c>
      <c r="X15" s="345" cm="1">
        <f t="array" aca="1" ref="X15" ca="1">SUMPRODUCT(X$54:X$113,TRANSPOSE(SAP_Speadsheet!$E$60:$BL$60))</f>
        <v>0</v>
      </c>
      <c r="Y15" s="345" cm="1">
        <f t="array" aca="1" ref="Y15" ca="1">SUMPRODUCT(Y$54:Y$113,TRANSPOSE(SAP_Speadsheet!$E$60:$BL$60))</f>
        <v>0</v>
      </c>
      <c r="Z15" s="345" cm="1">
        <f t="array" aca="1" ref="Z15" ca="1">SUMPRODUCT(Z$54:Z$113,TRANSPOSE(SAP_Speadsheet!$E$60:$BL$60))</f>
        <v>0</v>
      </c>
      <c r="AA15" s="345" cm="1">
        <f t="array" aca="1" ref="AA15" ca="1">SUMPRODUCT(AA$54:AA$113,TRANSPOSE(SAP_Speadsheet!$E$60:$BL$60))</f>
        <v>0</v>
      </c>
      <c r="AB15" s="345" cm="1">
        <f t="array" aca="1" ref="AB15" ca="1">SUMPRODUCT(AB$54:AB$113,TRANSPOSE(SAP_Speadsheet!$E$60:$BL$60))</f>
        <v>0</v>
      </c>
      <c r="AC15" s="345" cm="1">
        <f t="array" aca="1" ref="AC15" ca="1">SUMPRODUCT(AC$54:AC$113,TRANSPOSE(SAP_Speadsheet!$E$60:$BL$60))</f>
        <v>0</v>
      </c>
      <c r="AD15" s="345" cm="1">
        <f t="array" aca="1" ref="AD15" ca="1">SUMPRODUCT(AD$54:AD$113,TRANSPOSE(SAP_Speadsheet!$E$60:$BL$60))</f>
        <v>0</v>
      </c>
      <c r="AE15" s="345" cm="1">
        <f t="array" aca="1" ref="AE15" ca="1">SUMPRODUCT(AE$54:AE$113,TRANSPOSE(SAP_Speadsheet!$E$60:$BL$60))</f>
        <v>0</v>
      </c>
      <c r="AF15" s="345" cm="1">
        <f t="array" aca="1" ref="AF15" ca="1">SUMPRODUCT(AF$54:AF$113,TRANSPOSE(SAP_Speadsheet!$E$60:$BL$60))</f>
        <v>0</v>
      </c>
      <c r="AG15" s="345" cm="1">
        <f t="array" aca="1" ref="AG15" ca="1">SUMPRODUCT(AG$54:AG$113,TRANSPOSE(SAP_Speadsheet!$E$60:$BL$60))</f>
        <v>0</v>
      </c>
      <c r="AH15" s="345" cm="1">
        <f t="array" aca="1" ref="AH15" ca="1">SUMPRODUCT(AH$54:AH$113,TRANSPOSE(SAP_Speadsheet!$E$60:$BL$60))</f>
        <v>0</v>
      </c>
      <c r="AI15" s="345" cm="1">
        <f t="array" aca="1" ref="AI15" ca="1">SUMPRODUCT(AI$54:AI$113,TRANSPOSE(SAP_Speadsheet!$E$60:$BL$60))</f>
        <v>0</v>
      </c>
      <c r="AJ15" s="345" cm="1">
        <f t="array" aca="1" ref="AJ15" ca="1">SUMPRODUCT(AJ$54:AJ$113,TRANSPOSE(SAP_Speadsheet!$E$60:$BL$60))</f>
        <v>0</v>
      </c>
      <c r="AK15" s="345" cm="1">
        <f t="array" aca="1" ref="AK15" ca="1">SUMPRODUCT(AK$54:AK$113,TRANSPOSE(SAP_Speadsheet!$E$60:$BL$60))</f>
        <v>0</v>
      </c>
      <c r="AL15" s="345" cm="1">
        <f t="array" aca="1" ref="AL15" ca="1">SUMPRODUCT(AL$54:AL$113,TRANSPOSE(SAP_Speadsheet!$E$60:$BL$60))</f>
        <v>0</v>
      </c>
      <c r="AM15" s="345" cm="1">
        <f t="array" aca="1" ref="AM15" ca="1">SUMPRODUCT(AM$54:AM$113,TRANSPOSE(SAP_Speadsheet!$E$60:$BL$60))</f>
        <v>0</v>
      </c>
      <c r="AN15" s="345" cm="1">
        <f t="array" aca="1" ref="AN15" ca="1">SUMPRODUCT(AN$54:AN$113,TRANSPOSE(SAP_Speadsheet!$E$60:$BL$60))</f>
        <v>0</v>
      </c>
      <c r="AO15" s="345" cm="1">
        <f t="array" aca="1" ref="AO15" ca="1">SUMPRODUCT(AO$54:AO$113,TRANSPOSE(SAP_Speadsheet!$E$60:$BL$60))</f>
        <v>0</v>
      </c>
      <c r="AP15" s="345" cm="1">
        <f t="array" aca="1" ref="AP15" ca="1">SUMPRODUCT(AP$54:AP$113,TRANSPOSE(SAP_Speadsheet!$E$60:$BL$60))</f>
        <v>0</v>
      </c>
      <c r="AQ15" s="345" cm="1">
        <f t="array" aca="1" ref="AQ15" ca="1">SUMPRODUCT(AQ$54:AQ$113,TRANSPOSE(SAP_Speadsheet!$E$60:$BL$60))</f>
        <v>0</v>
      </c>
      <c r="AR15" s="345" cm="1">
        <f t="array" aca="1" ref="AR15" ca="1">SUMPRODUCT(AR$54:AR$113,TRANSPOSE(SAP_Speadsheet!$E$60:$BL$60))</f>
        <v>0</v>
      </c>
      <c r="AS15" s="345" cm="1">
        <f t="array" aca="1" ref="AS15" ca="1">SUMPRODUCT(AS$54:AS$113,TRANSPOSE(SAP_Speadsheet!$E$60:$BL$60))</f>
        <v>0</v>
      </c>
      <c r="AT15" s="345" cm="1">
        <f t="array" aca="1" ref="AT15" ca="1">SUMPRODUCT(AT$54:AT$113,TRANSPOSE(SAP_Speadsheet!$E$60:$BL$60))</f>
        <v>0</v>
      </c>
      <c r="AU15" s="345" cm="1">
        <f t="array" aca="1" ref="AU15" ca="1">SUMPRODUCT(AU$54:AU$113,TRANSPOSE(SAP_Speadsheet!$E$60:$BL$60))</f>
        <v>0</v>
      </c>
      <c r="AV15" s="345" cm="1">
        <f t="array" aca="1" ref="AV15" ca="1">SUMPRODUCT(AV$54:AV$113,TRANSPOSE(SAP_Speadsheet!$E$60:$BL$60))</f>
        <v>0</v>
      </c>
      <c r="AW15" s="345" cm="1">
        <f t="array" aca="1" ref="AW15" ca="1">SUMPRODUCT(AW$54:AW$113,TRANSPOSE(SAP_Speadsheet!$E$60:$BL$60))</f>
        <v>0</v>
      </c>
      <c r="AX15" s="345" cm="1">
        <f t="array" aca="1" ref="AX15" ca="1">SUMPRODUCT(AX$54:AX$113,TRANSPOSE(SAP_Speadsheet!$E$60:$BL$60))</f>
        <v>0</v>
      </c>
      <c r="AY15" s="345" cm="1">
        <f t="array" aca="1" ref="AY15" ca="1">SUMPRODUCT(AY$54:AY$113,TRANSPOSE(SAP_Speadsheet!$E$60:$BL$60))</f>
        <v>0</v>
      </c>
      <c r="AZ15" s="345" cm="1">
        <f t="array" aca="1" ref="AZ15" ca="1">SUMPRODUCT(AZ$54:AZ$113,TRANSPOSE(SAP_Speadsheet!$E$60:$BL$60))</f>
        <v>0</v>
      </c>
      <c r="BA15" s="345" cm="1">
        <f t="array" aca="1" ref="BA15" ca="1">SUMPRODUCT(BA$54:BA$113,TRANSPOSE(SAP_Speadsheet!$E$60:$BL$60))</f>
        <v>0</v>
      </c>
      <c r="BB15" s="345" cm="1">
        <f t="array" aca="1" ref="BB15" ca="1">SUMPRODUCT(BB$54:BB$113,TRANSPOSE(SAP_Speadsheet!$E$60:$BL$60))</f>
        <v>0</v>
      </c>
      <c r="BC15" s="345" cm="1">
        <f t="array" aca="1" ref="BC15" ca="1">SUMPRODUCT(BC$54:BC$113,TRANSPOSE(SAP_Speadsheet!$E$60:$BL$60))</f>
        <v>0</v>
      </c>
      <c r="BD15" s="345" cm="1">
        <f t="array" aca="1" ref="BD15" ca="1">SUMPRODUCT(BD$54:BD$113,TRANSPOSE(SAP_Speadsheet!$E$60:$BL$60))</f>
        <v>0</v>
      </c>
      <c r="BE15" s="345" cm="1">
        <f t="array" aca="1" ref="BE15" ca="1">SUMPRODUCT(BE$54:BE$113,TRANSPOSE(SAP_Speadsheet!$E$60:$BL$60))</f>
        <v>0</v>
      </c>
      <c r="BF15" s="345" cm="1">
        <f t="array" aca="1" ref="BF15" ca="1">SUMPRODUCT(BF$54:BF$113,TRANSPOSE(SAP_Speadsheet!$E$60:$BL$60))</f>
        <v>0</v>
      </c>
      <c r="BG15" s="345" cm="1">
        <f t="array" aca="1" ref="BG15" ca="1">SUMPRODUCT(BG$54:BG$113,TRANSPOSE(SAP_Speadsheet!$E$60:$BL$60))</f>
        <v>0</v>
      </c>
      <c r="BH15" s="345" cm="1">
        <f t="array" aca="1" ref="BH15" ca="1">SUMPRODUCT(BH$54:BH$113,TRANSPOSE(SAP_Speadsheet!$E$60:$BL$60))</f>
        <v>0</v>
      </c>
      <c r="BI15" s="345" cm="1">
        <f t="array" aca="1" ref="BI15" ca="1">SUMPRODUCT(BI$54:BI$113,TRANSPOSE(SAP_Speadsheet!$E$60:$BL$60))</f>
        <v>0</v>
      </c>
    </row>
    <row r="16" spans="1:61" x14ac:dyDescent="0.15">
      <c r="A16" s="344" t="s">
        <v>97</v>
      </c>
      <c r="B16" s="345" cm="1">
        <f t="array" aca="1" ref="B16" ca="1">SUMPRODUCT(B$54:B$113,TRANSPOSE(SAP_Speadsheet!$E$61:$BL$61))</f>
        <v>0</v>
      </c>
      <c r="C16" s="345" cm="1">
        <f t="array" aca="1" ref="C16" ca="1">SUMPRODUCT(C$54:C$113,TRANSPOSE(SAP_Speadsheet!$E$61:$BL$61))</f>
        <v>0</v>
      </c>
      <c r="D16" s="345" cm="1">
        <f t="array" aca="1" ref="D16" ca="1">SUMPRODUCT(D$54:D$113,TRANSPOSE(SAP_Speadsheet!$E$61:$BL$61))</f>
        <v>0</v>
      </c>
      <c r="E16" s="345" cm="1">
        <f t="array" aca="1" ref="E16" ca="1">SUMPRODUCT(E$54:E$113,TRANSPOSE(SAP_Speadsheet!$E$61:$BL$61))</f>
        <v>0</v>
      </c>
      <c r="F16" s="345" cm="1">
        <f t="array" aca="1" ref="F16" ca="1">SUMPRODUCT(F$54:F$113,TRANSPOSE(SAP_Speadsheet!$E$61:$BL$61))</f>
        <v>0</v>
      </c>
      <c r="G16" s="345" cm="1">
        <f t="array" aca="1" ref="G16" ca="1">SUMPRODUCT(G$54:G$113,TRANSPOSE(SAP_Speadsheet!$E$61:$BL$61))</f>
        <v>0</v>
      </c>
      <c r="H16" s="345" cm="1">
        <f t="array" aca="1" ref="H16" ca="1">SUMPRODUCT(H$54:H$113,TRANSPOSE(SAP_Speadsheet!$E$61:$BL$61))</f>
        <v>0</v>
      </c>
      <c r="I16" s="345" cm="1">
        <f t="array" aca="1" ref="I16" ca="1">SUMPRODUCT(I$54:I$113,TRANSPOSE(SAP_Speadsheet!$E$61:$BL$61))</f>
        <v>0</v>
      </c>
      <c r="J16" s="345" cm="1">
        <f t="array" aca="1" ref="J16" ca="1">SUMPRODUCT(J$54:J$113,TRANSPOSE(SAP_Speadsheet!$E$61:$BL$61))</f>
        <v>0</v>
      </c>
      <c r="K16" s="345" cm="1">
        <f t="array" aca="1" ref="K16" ca="1">SUMPRODUCT(K$54:K$113,TRANSPOSE(SAP_Speadsheet!$E$61:$BL$61))</f>
        <v>0</v>
      </c>
      <c r="L16" s="345" cm="1">
        <f t="array" aca="1" ref="L16" ca="1">SUMPRODUCT(L$54:L$113,TRANSPOSE(SAP_Speadsheet!$E$61:$BL$61))</f>
        <v>0</v>
      </c>
      <c r="M16" s="345" cm="1">
        <f t="array" aca="1" ref="M16" ca="1">SUMPRODUCT(M$54:M$113,TRANSPOSE(SAP_Speadsheet!$E$61:$BL$61))</f>
        <v>0</v>
      </c>
      <c r="N16" s="345" cm="1">
        <f t="array" aca="1" ref="N16" ca="1">SUMPRODUCT(N$54:N$113,TRANSPOSE(SAP_Speadsheet!$E$61:$BL$61))</f>
        <v>0</v>
      </c>
      <c r="O16" s="345" cm="1">
        <f t="array" aca="1" ref="O16" ca="1">SUMPRODUCT(O$54:O$113,TRANSPOSE(SAP_Speadsheet!$E$61:$BL$61))</f>
        <v>0</v>
      </c>
      <c r="P16" s="345" cm="1">
        <f t="array" aca="1" ref="P16" ca="1">SUMPRODUCT(P$54:P$113,TRANSPOSE(SAP_Speadsheet!$E$61:$BL$61))</f>
        <v>0</v>
      </c>
      <c r="Q16" s="345" cm="1">
        <f t="array" aca="1" ref="Q16" ca="1">SUMPRODUCT(Q$54:Q$113,TRANSPOSE(SAP_Speadsheet!$E$61:$BL$61))</f>
        <v>0</v>
      </c>
      <c r="R16" s="345" cm="1">
        <f t="array" aca="1" ref="R16" ca="1">SUMPRODUCT(R$54:R$113,TRANSPOSE(SAP_Speadsheet!$E$61:$BL$61))</f>
        <v>0</v>
      </c>
      <c r="S16" s="345" cm="1">
        <f t="array" aca="1" ref="S16" ca="1">SUMPRODUCT(S$54:S$113,TRANSPOSE(SAP_Speadsheet!$E$61:$BL$61))</f>
        <v>0</v>
      </c>
      <c r="T16" s="345" cm="1">
        <f t="array" aca="1" ref="T16" ca="1">SUMPRODUCT(T$54:T$113,TRANSPOSE(SAP_Speadsheet!$E$61:$BL$61))</f>
        <v>0</v>
      </c>
      <c r="U16" s="345" cm="1">
        <f t="array" aca="1" ref="U16" ca="1">SUMPRODUCT(U$54:U$113,TRANSPOSE(SAP_Speadsheet!$E$61:$BL$61))</f>
        <v>0</v>
      </c>
      <c r="V16" s="345" cm="1">
        <f t="array" aca="1" ref="V16" ca="1">SUMPRODUCT(V$54:V$113,TRANSPOSE(SAP_Speadsheet!$E$61:$BL$61))</f>
        <v>0</v>
      </c>
      <c r="W16" s="345" cm="1">
        <f t="array" aca="1" ref="W16" ca="1">SUMPRODUCT(W$54:W$113,TRANSPOSE(SAP_Speadsheet!$E$61:$BL$61))</f>
        <v>0</v>
      </c>
      <c r="X16" s="345" cm="1">
        <f t="array" aca="1" ref="X16" ca="1">SUMPRODUCT(X$54:X$113,TRANSPOSE(SAP_Speadsheet!$E$61:$BL$61))</f>
        <v>0</v>
      </c>
      <c r="Y16" s="345" cm="1">
        <f t="array" aca="1" ref="Y16" ca="1">SUMPRODUCT(Y$54:Y$113,TRANSPOSE(SAP_Speadsheet!$E$61:$BL$61))</f>
        <v>0</v>
      </c>
      <c r="Z16" s="345" cm="1">
        <f t="array" aca="1" ref="Z16" ca="1">SUMPRODUCT(Z$54:Z$113,TRANSPOSE(SAP_Speadsheet!$E$61:$BL$61))</f>
        <v>0</v>
      </c>
      <c r="AA16" s="345" cm="1">
        <f t="array" aca="1" ref="AA16" ca="1">SUMPRODUCT(AA$54:AA$113,TRANSPOSE(SAP_Speadsheet!$E$61:$BL$61))</f>
        <v>0</v>
      </c>
      <c r="AB16" s="345" cm="1">
        <f t="array" aca="1" ref="AB16" ca="1">SUMPRODUCT(AB$54:AB$113,TRANSPOSE(SAP_Speadsheet!$E$61:$BL$61))</f>
        <v>0</v>
      </c>
      <c r="AC16" s="345" cm="1">
        <f t="array" aca="1" ref="AC16" ca="1">SUMPRODUCT(AC$54:AC$113,TRANSPOSE(SAP_Speadsheet!$E$61:$BL$61))</f>
        <v>0</v>
      </c>
      <c r="AD16" s="345" cm="1">
        <f t="array" aca="1" ref="AD16" ca="1">SUMPRODUCT(AD$54:AD$113,TRANSPOSE(SAP_Speadsheet!$E$61:$BL$61))</f>
        <v>0</v>
      </c>
      <c r="AE16" s="345" cm="1">
        <f t="array" aca="1" ref="AE16" ca="1">SUMPRODUCT(AE$54:AE$113,TRANSPOSE(SAP_Speadsheet!$E$61:$BL$61))</f>
        <v>0</v>
      </c>
      <c r="AF16" s="345" cm="1">
        <f t="array" aca="1" ref="AF16" ca="1">SUMPRODUCT(AF$54:AF$113,TRANSPOSE(SAP_Speadsheet!$E$61:$BL$61))</f>
        <v>0</v>
      </c>
      <c r="AG16" s="345" cm="1">
        <f t="array" aca="1" ref="AG16" ca="1">SUMPRODUCT(AG$54:AG$113,TRANSPOSE(SAP_Speadsheet!$E$61:$BL$61))</f>
        <v>0</v>
      </c>
      <c r="AH16" s="345" cm="1">
        <f t="array" aca="1" ref="AH16" ca="1">SUMPRODUCT(AH$54:AH$113,TRANSPOSE(SAP_Speadsheet!$E$61:$BL$61))</f>
        <v>0</v>
      </c>
      <c r="AI16" s="345" cm="1">
        <f t="array" aca="1" ref="AI16" ca="1">SUMPRODUCT(AI$54:AI$113,TRANSPOSE(SAP_Speadsheet!$E$61:$BL$61))</f>
        <v>0</v>
      </c>
      <c r="AJ16" s="345" cm="1">
        <f t="array" aca="1" ref="AJ16" ca="1">SUMPRODUCT(AJ$54:AJ$113,TRANSPOSE(SAP_Speadsheet!$E$61:$BL$61))</f>
        <v>0</v>
      </c>
      <c r="AK16" s="345" cm="1">
        <f t="array" aca="1" ref="AK16" ca="1">SUMPRODUCT(AK$54:AK$113,TRANSPOSE(SAP_Speadsheet!$E$61:$BL$61))</f>
        <v>0</v>
      </c>
      <c r="AL16" s="345" cm="1">
        <f t="array" aca="1" ref="AL16" ca="1">SUMPRODUCT(AL$54:AL$113,TRANSPOSE(SAP_Speadsheet!$E$61:$BL$61))</f>
        <v>0</v>
      </c>
      <c r="AM16" s="345" cm="1">
        <f t="array" aca="1" ref="AM16" ca="1">SUMPRODUCT(AM$54:AM$113,TRANSPOSE(SAP_Speadsheet!$E$61:$BL$61))</f>
        <v>0</v>
      </c>
      <c r="AN16" s="345" cm="1">
        <f t="array" aca="1" ref="AN16" ca="1">SUMPRODUCT(AN$54:AN$113,TRANSPOSE(SAP_Speadsheet!$E$61:$BL$61))</f>
        <v>0</v>
      </c>
      <c r="AO16" s="345" cm="1">
        <f t="array" aca="1" ref="AO16" ca="1">SUMPRODUCT(AO$54:AO$113,TRANSPOSE(SAP_Speadsheet!$E$61:$BL$61))</f>
        <v>0</v>
      </c>
      <c r="AP16" s="345" cm="1">
        <f t="array" aca="1" ref="AP16" ca="1">SUMPRODUCT(AP$54:AP$113,TRANSPOSE(SAP_Speadsheet!$E$61:$BL$61))</f>
        <v>0</v>
      </c>
      <c r="AQ16" s="345" cm="1">
        <f t="array" aca="1" ref="AQ16" ca="1">SUMPRODUCT(AQ$54:AQ$113,TRANSPOSE(SAP_Speadsheet!$E$61:$BL$61))</f>
        <v>0</v>
      </c>
      <c r="AR16" s="345" cm="1">
        <f t="array" aca="1" ref="AR16" ca="1">SUMPRODUCT(AR$54:AR$113,TRANSPOSE(SAP_Speadsheet!$E$61:$BL$61))</f>
        <v>0</v>
      </c>
      <c r="AS16" s="345" cm="1">
        <f t="array" aca="1" ref="AS16" ca="1">SUMPRODUCT(AS$54:AS$113,TRANSPOSE(SAP_Speadsheet!$E$61:$BL$61))</f>
        <v>0</v>
      </c>
      <c r="AT16" s="345" cm="1">
        <f t="array" aca="1" ref="AT16" ca="1">SUMPRODUCT(AT$54:AT$113,TRANSPOSE(SAP_Speadsheet!$E$61:$BL$61))</f>
        <v>0</v>
      </c>
      <c r="AU16" s="345" cm="1">
        <f t="array" aca="1" ref="AU16" ca="1">SUMPRODUCT(AU$54:AU$113,TRANSPOSE(SAP_Speadsheet!$E$61:$BL$61))</f>
        <v>0</v>
      </c>
      <c r="AV16" s="345" cm="1">
        <f t="array" aca="1" ref="AV16" ca="1">SUMPRODUCT(AV$54:AV$113,TRANSPOSE(SAP_Speadsheet!$E$61:$BL$61))</f>
        <v>0</v>
      </c>
      <c r="AW16" s="345" cm="1">
        <f t="array" aca="1" ref="AW16" ca="1">SUMPRODUCT(AW$54:AW$113,TRANSPOSE(SAP_Speadsheet!$E$61:$BL$61))</f>
        <v>0</v>
      </c>
      <c r="AX16" s="345" cm="1">
        <f t="array" aca="1" ref="AX16" ca="1">SUMPRODUCT(AX$54:AX$113,TRANSPOSE(SAP_Speadsheet!$E$61:$BL$61))</f>
        <v>0</v>
      </c>
      <c r="AY16" s="345" cm="1">
        <f t="array" aca="1" ref="AY16" ca="1">SUMPRODUCT(AY$54:AY$113,TRANSPOSE(SAP_Speadsheet!$E$61:$BL$61))</f>
        <v>0</v>
      </c>
      <c r="AZ16" s="345" cm="1">
        <f t="array" aca="1" ref="AZ16" ca="1">SUMPRODUCT(AZ$54:AZ$113,TRANSPOSE(SAP_Speadsheet!$E$61:$BL$61))</f>
        <v>0</v>
      </c>
      <c r="BA16" s="345" cm="1">
        <f t="array" aca="1" ref="BA16" ca="1">SUMPRODUCT(BA$54:BA$113,TRANSPOSE(SAP_Speadsheet!$E$61:$BL$61))</f>
        <v>0</v>
      </c>
      <c r="BB16" s="345" cm="1">
        <f t="array" aca="1" ref="BB16" ca="1">SUMPRODUCT(BB$54:BB$113,TRANSPOSE(SAP_Speadsheet!$E$61:$BL$61))</f>
        <v>0</v>
      </c>
      <c r="BC16" s="345" cm="1">
        <f t="array" aca="1" ref="BC16" ca="1">SUMPRODUCT(BC$54:BC$113,TRANSPOSE(SAP_Speadsheet!$E$61:$BL$61))</f>
        <v>0</v>
      </c>
      <c r="BD16" s="345" cm="1">
        <f t="array" aca="1" ref="BD16" ca="1">SUMPRODUCT(BD$54:BD$113,TRANSPOSE(SAP_Speadsheet!$E$61:$BL$61))</f>
        <v>0</v>
      </c>
      <c r="BE16" s="345" cm="1">
        <f t="array" aca="1" ref="BE16" ca="1">SUMPRODUCT(BE$54:BE$113,TRANSPOSE(SAP_Speadsheet!$E$61:$BL$61))</f>
        <v>0</v>
      </c>
      <c r="BF16" s="345" cm="1">
        <f t="array" aca="1" ref="BF16" ca="1">SUMPRODUCT(BF$54:BF$113,TRANSPOSE(SAP_Speadsheet!$E$61:$BL$61))</f>
        <v>0</v>
      </c>
      <c r="BG16" s="345" cm="1">
        <f t="array" aca="1" ref="BG16" ca="1">SUMPRODUCT(BG$54:BG$113,TRANSPOSE(SAP_Speadsheet!$E$61:$BL$61))</f>
        <v>0</v>
      </c>
      <c r="BH16" s="345" cm="1">
        <f t="array" aca="1" ref="BH16" ca="1">SUMPRODUCT(BH$54:BH$113,TRANSPOSE(SAP_Speadsheet!$E$61:$BL$61))</f>
        <v>0</v>
      </c>
      <c r="BI16" s="345" cm="1">
        <f t="array" aca="1" ref="BI16" ca="1">SUMPRODUCT(BI$54:BI$113,TRANSPOSE(SAP_Speadsheet!$E$61:$BL$61))</f>
        <v>0</v>
      </c>
    </row>
    <row r="17" spans="1:61" x14ac:dyDescent="0.15">
      <c r="A17" s="333" t="s">
        <v>209</v>
      </c>
      <c r="B17" s="345" cm="1">
        <f t="array" aca="1" ref="B17" ca="1">SUMPRODUCT(B$54:B$113,TRANSPOSE(SAP_Speadsheet!$E$63:$BL$63))</f>
        <v>0</v>
      </c>
      <c r="C17" s="345" cm="1">
        <f t="array" aca="1" ref="C17" ca="1">SUMPRODUCT(C$54:C$113,TRANSPOSE(SAP_Speadsheet!$E$63:$BL$63))</f>
        <v>0</v>
      </c>
      <c r="D17" s="345" cm="1">
        <f t="array" aca="1" ref="D17" ca="1">SUMPRODUCT(D$54:D$113,TRANSPOSE(SAP_Speadsheet!$E$63:$BL$63))</f>
        <v>0</v>
      </c>
      <c r="E17" s="345" cm="1">
        <f t="array" aca="1" ref="E17" ca="1">SUMPRODUCT(E$54:E$113,TRANSPOSE(SAP_Speadsheet!$E$63:$BL$63))</f>
        <v>0</v>
      </c>
      <c r="F17" s="345" cm="1">
        <f t="array" aca="1" ref="F17" ca="1">SUMPRODUCT(F$54:F$113,TRANSPOSE(SAP_Speadsheet!$E$63:$BL$63))</f>
        <v>0</v>
      </c>
      <c r="G17" s="345" cm="1">
        <f t="array" aca="1" ref="G17" ca="1">SUMPRODUCT(G$54:G$113,TRANSPOSE(SAP_Speadsheet!$E$63:$BL$63))</f>
        <v>0</v>
      </c>
      <c r="H17" s="345" cm="1">
        <f t="array" aca="1" ref="H17" ca="1">SUMPRODUCT(H$54:H$113,TRANSPOSE(SAP_Speadsheet!$E$63:$BL$63))</f>
        <v>0</v>
      </c>
      <c r="I17" s="345" cm="1">
        <f t="array" aca="1" ref="I17" ca="1">SUMPRODUCT(I$54:I$113,TRANSPOSE(SAP_Speadsheet!$E$63:$BL$63))</f>
        <v>0</v>
      </c>
      <c r="J17" s="345" cm="1">
        <f t="array" aca="1" ref="J17" ca="1">SUMPRODUCT(J$54:J$113,TRANSPOSE(SAP_Speadsheet!$E$63:$BL$63))</f>
        <v>0</v>
      </c>
      <c r="K17" s="345" cm="1">
        <f t="array" aca="1" ref="K17" ca="1">SUMPRODUCT(K$54:K$113,TRANSPOSE(SAP_Speadsheet!$E$63:$BL$63))</f>
        <v>0</v>
      </c>
      <c r="L17" s="345" cm="1">
        <f t="array" aca="1" ref="L17" ca="1">SUMPRODUCT(L$54:L$113,TRANSPOSE(SAP_Speadsheet!$E$63:$BL$63))</f>
        <v>0</v>
      </c>
      <c r="M17" s="345" cm="1">
        <f t="array" aca="1" ref="M17" ca="1">SUMPRODUCT(M$54:M$113,TRANSPOSE(SAP_Speadsheet!$E$63:$BL$63))</f>
        <v>0</v>
      </c>
      <c r="N17" s="345" cm="1">
        <f t="array" aca="1" ref="N17" ca="1">SUMPRODUCT(N$54:N$113,TRANSPOSE(SAP_Speadsheet!$E$63:$BL$63))</f>
        <v>0</v>
      </c>
      <c r="O17" s="345" cm="1">
        <f t="array" aca="1" ref="O17" ca="1">SUMPRODUCT(O$54:O$113,TRANSPOSE(SAP_Speadsheet!$E$63:$BL$63))</f>
        <v>0</v>
      </c>
      <c r="P17" s="345" cm="1">
        <f t="array" aca="1" ref="P17" ca="1">SUMPRODUCT(P$54:P$113,TRANSPOSE(SAP_Speadsheet!$E$63:$BL$63))</f>
        <v>0</v>
      </c>
      <c r="Q17" s="345" cm="1">
        <f t="array" aca="1" ref="Q17" ca="1">SUMPRODUCT(Q$54:Q$113,TRANSPOSE(SAP_Speadsheet!$E$63:$BL$63))</f>
        <v>0</v>
      </c>
      <c r="R17" s="345" cm="1">
        <f t="array" aca="1" ref="R17" ca="1">SUMPRODUCT(R$54:R$113,TRANSPOSE(SAP_Speadsheet!$E$63:$BL$63))</f>
        <v>0</v>
      </c>
      <c r="S17" s="345" cm="1">
        <f t="array" aca="1" ref="S17" ca="1">SUMPRODUCT(S$54:S$113,TRANSPOSE(SAP_Speadsheet!$E$63:$BL$63))</f>
        <v>0</v>
      </c>
      <c r="T17" s="345" cm="1">
        <f t="array" aca="1" ref="T17" ca="1">SUMPRODUCT(T$54:T$113,TRANSPOSE(SAP_Speadsheet!$E$63:$BL$63))</f>
        <v>0</v>
      </c>
      <c r="U17" s="345" cm="1">
        <f t="array" aca="1" ref="U17" ca="1">SUMPRODUCT(U$54:U$113,TRANSPOSE(SAP_Speadsheet!$E$63:$BL$63))</f>
        <v>0</v>
      </c>
      <c r="V17" s="345" cm="1">
        <f t="array" aca="1" ref="V17" ca="1">SUMPRODUCT(V$54:V$113,TRANSPOSE(SAP_Speadsheet!$E$63:$BL$63))</f>
        <v>0</v>
      </c>
      <c r="W17" s="345" cm="1">
        <f t="array" aca="1" ref="W17" ca="1">SUMPRODUCT(W$54:W$113,TRANSPOSE(SAP_Speadsheet!$E$63:$BL$63))</f>
        <v>0</v>
      </c>
      <c r="X17" s="345" cm="1">
        <f t="array" aca="1" ref="X17" ca="1">SUMPRODUCT(X$54:X$113,TRANSPOSE(SAP_Speadsheet!$E$63:$BL$63))</f>
        <v>0</v>
      </c>
      <c r="Y17" s="345" cm="1">
        <f t="array" aca="1" ref="Y17" ca="1">SUMPRODUCT(Y$54:Y$113,TRANSPOSE(SAP_Speadsheet!$E$63:$BL$63))</f>
        <v>0</v>
      </c>
      <c r="Z17" s="345" cm="1">
        <f t="array" aca="1" ref="Z17" ca="1">SUMPRODUCT(Z$54:Z$113,TRANSPOSE(SAP_Speadsheet!$E$63:$BL$63))</f>
        <v>0</v>
      </c>
      <c r="AA17" s="345" cm="1">
        <f t="array" aca="1" ref="AA17" ca="1">SUMPRODUCT(AA$54:AA$113,TRANSPOSE(SAP_Speadsheet!$E$63:$BL$63))</f>
        <v>0</v>
      </c>
      <c r="AB17" s="345" cm="1">
        <f t="array" aca="1" ref="AB17" ca="1">SUMPRODUCT(AB$54:AB$113,TRANSPOSE(SAP_Speadsheet!$E$63:$BL$63))</f>
        <v>0</v>
      </c>
      <c r="AC17" s="345" cm="1">
        <f t="array" aca="1" ref="AC17" ca="1">SUMPRODUCT(AC$54:AC$113,TRANSPOSE(SAP_Speadsheet!$E$63:$BL$63))</f>
        <v>0</v>
      </c>
      <c r="AD17" s="345" cm="1">
        <f t="array" aca="1" ref="AD17" ca="1">SUMPRODUCT(AD$54:AD$113,TRANSPOSE(SAP_Speadsheet!$E$63:$BL$63))</f>
        <v>0</v>
      </c>
      <c r="AE17" s="345" cm="1">
        <f t="array" aca="1" ref="AE17" ca="1">SUMPRODUCT(AE$54:AE$113,TRANSPOSE(SAP_Speadsheet!$E$63:$BL$63))</f>
        <v>0</v>
      </c>
      <c r="AF17" s="345" cm="1">
        <f t="array" aca="1" ref="AF17" ca="1">SUMPRODUCT(AF$54:AF$113,TRANSPOSE(SAP_Speadsheet!$E$63:$BL$63))</f>
        <v>0</v>
      </c>
      <c r="AG17" s="345" cm="1">
        <f t="array" aca="1" ref="AG17" ca="1">SUMPRODUCT(AG$54:AG$113,TRANSPOSE(SAP_Speadsheet!$E$63:$BL$63))</f>
        <v>0</v>
      </c>
      <c r="AH17" s="345" cm="1">
        <f t="array" aca="1" ref="AH17" ca="1">SUMPRODUCT(AH$54:AH$113,TRANSPOSE(SAP_Speadsheet!$E$63:$BL$63))</f>
        <v>0</v>
      </c>
      <c r="AI17" s="345" cm="1">
        <f t="array" aca="1" ref="AI17" ca="1">SUMPRODUCT(AI$54:AI$113,TRANSPOSE(SAP_Speadsheet!$E$63:$BL$63))</f>
        <v>0</v>
      </c>
      <c r="AJ17" s="345" cm="1">
        <f t="array" aca="1" ref="AJ17" ca="1">SUMPRODUCT(AJ$54:AJ$113,TRANSPOSE(SAP_Speadsheet!$E$63:$BL$63))</f>
        <v>0</v>
      </c>
      <c r="AK17" s="345" cm="1">
        <f t="array" aca="1" ref="AK17" ca="1">SUMPRODUCT(AK$54:AK$113,TRANSPOSE(SAP_Speadsheet!$E$63:$BL$63))</f>
        <v>0</v>
      </c>
      <c r="AL17" s="345" cm="1">
        <f t="array" aca="1" ref="AL17" ca="1">SUMPRODUCT(AL$54:AL$113,TRANSPOSE(SAP_Speadsheet!$E$63:$BL$63))</f>
        <v>0</v>
      </c>
      <c r="AM17" s="345" cm="1">
        <f t="array" aca="1" ref="AM17" ca="1">SUMPRODUCT(AM$54:AM$113,TRANSPOSE(SAP_Speadsheet!$E$63:$BL$63))</f>
        <v>0</v>
      </c>
      <c r="AN17" s="345" cm="1">
        <f t="array" aca="1" ref="AN17" ca="1">SUMPRODUCT(AN$54:AN$113,TRANSPOSE(SAP_Speadsheet!$E$63:$BL$63))</f>
        <v>0</v>
      </c>
      <c r="AO17" s="345" cm="1">
        <f t="array" aca="1" ref="AO17" ca="1">SUMPRODUCT(AO$54:AO$113,TRANSPOSE(SAP_Speadsheet!$E$63:$BL$63))</f>
        <v>0</v>
      </c>
      <c r="AP17" s="345" cm="1">
        <f t="array" aca="1" ref="AP17" ca="1">SUMPRODUCT(AP$54:AP$113,TRANSPOSE(SAP_Speadsheet!$E$63:$BL$63))</f>
        <v>0</v>
      </c>
      <c r="AQ17" s="345" cm="1">
        <f t="array" aca="1" ref="AQ17" ca="1">SUMPRODUCT(AQ$54:AQ$113,TRANSPOSE(SAP_Speadsheet!$E$63:$BL$63))</f>
        <v>0</v>
      </c>
      <c r="AR17" s="345" cm="1">
        <f t="array" aca="1" ref="AR17" ca="1">SUMPRODUCT(AR$54:AR$113,TRANSPOSE(SAP_Speadsheet!$E$63:$BL$63))</f>
        <v>0</v>
      </c>
      <c r="AS17" s="345" cm="1">
        <f t="array" aca="1" ref="AS17" ca="1">SUMPRODUCT(AS$54:AS$113,TRANSPOSE(SAP_Speadsheet!$E$63:$BL$63))</f>
        <v>0</v>
      </c>
      <c r="AT17" s="345" cm="1">
        <f t="array" aca="1" ref="AT17" ca="1">SUMPRODUCT(AT$54:AT$113,TRANSPOSE(SAP_Speadsheet!$E$63:$BL$63))</f>
        <v>0</v>
      </c>
      <c r="AU17" s="345" cm="1">
        <f t="array" aca="1" ref="AU17" ca="1">SUMPRODUCT(AU$54:AU$113,TRANSPOSE(SAP_Speadsheet!$E$63:$BL$63))</f>
        <v>0</v>
      </c>
      <c r="AV17" s="345" cm="1">
        <f t="array" aca="1" ref="AV17" ca="1">SUMPRODUCT(AV$54:AV$113,TRANSPOSE(SAP_Speadsheet!$E$63:$BL$63))</f>
        <v>0</v>
      </c>
      <c r="AW17" s="345" cm="1">
        <f t="array" aca="1" ref="AW17" ca="1">SUMPRODUCT(AW$54:AW$113,TRANSPOSE(SAP_Speadsheet!$E$63:$BL$63))</f>
        <v>0</v>
      </c>
      <c r="AX17" s="345" cm="1">
        <f t="array" aca="1" ref="AX17" ca="1">SUMPRODUCT(AX$54:AX$113,TRANSPOSE(SAP_Speadsheet!$E$63:$BL$63))</f>
        <v>0</v>
      </c>
      <c r="AY17" s="345" cm="1">
        <f t="array" aca="1" ref="AY17" ca="1">SUMPRODUCT(AY$54:AY$113,TRANSPOSE(SAP_Speadsheet!$E$63:$BL$63))</f>
        <v>0</v>
      </c>
      <c r="AZ17" s="345" cm="1">
        <f t="array" aca="1" ref="AZ17" ca="1">SUMPRODUCT(AZ$54:AZ$113,TRANSPOSE(SAP_Speadsheet!$E$63:$BL$63))</f>
        <v>0</v>
      </c>
      <c r="BA17" s="345" cm="1">
        <f t="array" aca="1" ref="BA17" ca="1">SUMPRODUCT(BA$54:BA$113,TRANSPOSE(SAP_Speadsheet!$E$63:$BL$63))</f>
        <v>0</v>
      </c>
      <c r="BB17" s="345" cm="1">
        <f t="array" aca="1" ref="BB17" ca="1">SUMPRODUCT(BB$54:BB$113,TRANSPOSE(SAP_Speadsheet!$E$63:$BL$63))</f>
        <v>0</v>
      </c>
      <c r="BC17" s="345" cm="1">
        <f t="array" aca="1" ref="BC17" ca="1">SUMPRODUCT(BC$54:BC$113,TRANSPOSE(SAP_Speadsheet!$E$63:$BL$63))</f>
        <v>0</v>
      </c>
      <c r="BD17" s="345" cm="1">
        <f t="array" aca="1" ref="BD17" ca="1">SUMPRODUCT(BD$54:BD$113,TRANSPOSE(SAP_Speadsheet!$E$63:$BL$63))</f>
        <v>0</v>
      </c>
      <c r="BE17" s="345" cm="1">
        <f t="array" aca="1" ref="BE17" ca="1">SUMPRODUCT(BE$54:BE$113,TRANSPOSE(SAP_Speadsheet!$E$63:$BL$63))</f>
        <v>0</v>
      </c>
      <c r="BF17" s="345" cm="1">
        <f t="array" aca="1" ref="BF17" ca="1">SUMPRODUCT(BF$54:BF$113,TRANSPOSE(SAP_Speadsheet!$E$63:$BL$63))</f>
        <v>0</v>
      </c>
      <c r="BG17" s="345" cm="1">
        <f t="array" aca="1" ref="BG17" ca="1">SUMPRODUCT(BG$54:BG$113,TRANSPOSE(SAP_Speadsheet!$E$63:$BL$63))</f>
        <v>0</v>
      </c>
      <c r="BH17" s="345" cm="1">
        <f t="array" aca="1" ref="BH17" ca="1">SUMPRODUCT(BH$54:BH$113,TRANSPOSE(SAP_Speadsheet!$E$63:$BL$63))</f>
        <v>0</v>
      </c>
      <c r="BI17" s="345" cm="1">
        <f t="array" aca="1" ref="BI17" ca="1">SUMPRODUCT(BI$54:BI$113,TRANSPOSE(SAP_Speadsheet!$E$63:$BL$63))</f>
        <v>0</v>
      </c>
    </row>
    <row r="18" spans="1:61" s="333" customFormat="1" x14ac:dyDescent="0.15">
      <c r="A18" s="333" t="s">
        <v>213</v>
      </c>
      <c r="B18" s="340">
        <f t="shared" ref="B18:BI18" ca="1" si="3">B19+B23+B27+B28+B29</f>
        <v>0</v>
      </c>
      <c r="C18" s="340">
        <f t="shared" ca="1" si="3"/>
        <v>0</v>
      </c>
      <c r="D18" s="340">
        <f t="shared" ca="1" si="3"/>
        <v>0</v>
      </c>
      <c r="E18" s="340">
        <f t="shared" ca="1" si="3"/>
        <v>-13955.965502129624</v>
      </c>
      <c r="F18" s="340">
        <f t="shared" ca="1" si="3"/>
        <v>-18575.731432229906</v>
      </c>
      <c r="G18" s="340">
        <f t="shared" ca="1" si="3"/>
        <v>-27697.562381552045</v>
      </c>
      <c r="H18" s="340">
        <f t="shared" ca="1" si="3"/>
        <v>3750.8990741080788</v>
      </c>
      <c r="I18" s="340">
        <f t="shared" ca="1" si="3"/>
        <v>5093.8857200580633</v>
      </c>
      <c r="J18" s="340">
        <f t="shared" ca="1" si="3"/>
        <v>7563.5585230418246</v>
      </c>
      <c r="K18" s="340">
        <f t="shared" ca="1" si="3"/>
        <v>-154.01653162586211</v>
      </c>
      <c r="L18" s="340">
        <f t="shared" ca="1" si="3"/>
        <v>-111.73536374336967</v>
      </c>
      <c r="M18" s="340">
        <f t="shared" ca="1" si="3"/>
        <v>-54.327312121925061</v>
      </c>
      <c r="N18" s="340">
        <f t="shared" ca="1" si="3"/>
        <v>0</v>
      </c>
      <c r="O18" s="340">
        <f t="shared" ca="1" si="3"/>
        <v>0</v>
      </c>
      <c r="P18" s="340">
        <f t="shared" ca="1" si="3"/>
        <v>0</v>
      </c>
      <c r="Q18" s="340">
        <f t="shared" ca="1" si="3"/>
        <v>0</v>
      </c>
      <c r="R18" s="340">
        <f t="shared" ca="1" si="3"/>
        <v>0</v>
      </c>
      <c r="S18" s="340">
        <f t="shared" ca="1" si="3"/>
        <v>0</v>
      </c>
      <c r="T18" s="340">
        <f t="shared" ca="1" si="3"/>
        <v>0</v>
      </c>
      <c r="U18" s="340">
        <f t="shared" ca="1" si="3"/>
        <v>0</v>
      </c>
      <c r="V18" s="340">
        <f t="shared" ca="1" si="3"/>
        <v>0</v>
      </c>
      <c r="W18" s="340">
        <f t="shared" ca="1" si="3"/>
        <v>0</v>
      </c>
      <c r="X18" s="340">
        <f t="shared" ca="1" si="3"/>
        <v>0</v>
      </c>
      <c r="Y18" s="340">
        <f t="shared" ca="1" si="3"/>
        <v>0</v>
      </c>
      <c r="Z18" s="340">
        <f t="shared" ca="1" si="3"/>
        <v>0</v>
      </c>
      <c r="AA18" s="340">
        <f t="shared" ca="1" si="3"/>
        <v>0</v>
      </c>
      <c r="AB18" s="340">
        <f t="shared" ca="1" si="3"/>
        <v>0</v>
      </c>
      <c r="AC18" s="340">
        <f t="shared" ca="1" si="3"/>
        <v>0</v>
      </c>
      <c r="AD18" s="340">
        <f t="shared" ca="1" si="3"/>
        <v>0</v>
      </c>
      <c r="AE18" s="340">
        <f t="shared" ca="1" si="3"/>
        <v>0</v>
      </c>
      <c r="AF18" s="340">
        <f t="shared" ca="1" si="3"/>
        <v>0</v>
      </c>
      <c r="AG18" s="340">
        <f t="shared" ca="1" si="3"/>
        <v>0</v>
      </c>
      <c r="AH18" s="340">
        <f t="shared" ca="1" si="3"/>
        <v>0</v>
      </c>
      <c r="AI18" s="340">
        <f t="shared" ca="1" si="3"/>
        <v>0</v>
      </c>
      <c r="AJ18" s="340">
        <f t="shared" ca="1" si="3"/>
        <v>0</v>
      </c>
      <c r="AK18" s="340">
        <f t="shared" ca="1" si="3"/>
        <v>0</v>
      </c>
      <c r="AL18" s="340">
        <f t="shared" ca="1" si="3"/>
        <v>0</v>
      </c>
      <c r="AM18" s="340">
        <f t="shared" ca="1" si="3"/>
        <v>0</v>
      </c>
      <c r="AN18" s="340">
        <f t="shared" ca="1" si="3"/>
        <v>0</v>
      </c>
      <c r="AO18" s="340">
        <f t="shared" ca="1" si="3"/>
        <v>0</v>
      </c>
      <c r="AP18" s="340">
        <f t="shared" ca="1" si="3"/>
        <v>0</v>
      </c>
      <c r="AQ18" s="340">
        <f t="shared" ca="1" si="3"/>
        <v>0</v>
      </c>
      <c r="AR18" s="340">
        <f t="shared" ca="1" si="3"/>
        <v>0</v>
      </c>
      <c r="AS18" s="340">
        <f t="shared" ca="1" si="3"/>
        <v>0</v>
      </c>
      <c r="AT18" s="340">
        <f t="shared" ca="1" si="3"/>
        <v>0</v>
      </c>
      <c r="AU18" s="340">
        <f t="shared" ca="1" si="3"/>
        <v>0</v>
      </c>
      <c r="AV18" s="340">
        <f t="shared" ca="1" si="3"/>
        <v>0</v>
      </c>
      <c r="AW18" s="340">
        <f t="shared" ca="1" si="3"/>
        <v>0</v>
      </c>
      <c r="AX18" s="340">
        <f t="shared" ca="1" si="3"/>
        <v>0</v>
      </c>
      <c r="AY18" s="340">
        <f t="shared" ca="1" si="3"/>
        <v>0</v>
      </c>
      <c r="AZ18" s="340">
        <f t="shared" ca="1" si="3"/>
        <v>0</v>
      </c>
      <c r="BA18" s="340">
        <f t="shared" ca="1" si="3"/>
        <v>0</v>
      </c>
      <c r="BB18" s="340">
        <f t="shared" ca="1" si="3"/>
        <v>0</v>
      </c>
      <c r="BC18" s="340">
        <f t="shared" ca="1" si="3"/>
        <v>0</v>
      </c>
      <c r="BD18" s="340">
        <f t="shared" ca="1" si="3"/>
        <v>0</v>
      </c>
      <c r="BE18" s="340">
        <f t="shared" ca="1" si="3"/>
        <v>0</v>
      </c>
      <c r="BF18" s="340">
        <f t="shared" ca="1" si="3"/>
        <v>0</v>
      </c>
      <c r="BG18" s="340">
        <f t="shared" ca="1" si="3"/>
        <v>0</v>
      </c>
      <c r="BH18" s="340">
        <f t="shared" ca="1" si="3"/>
        <v>0</v>
      </c>
      <c r="BI18" s="340">
        <f t="shared" ca="1" si="3"/>
        <v>0</v>
      </c>
    </row>
    <row r="19" spans="1:61" x14ac:dyDescent="0.15">
      <c r="A19" s="346" t="s">
        <v>464</v>
      </c>
      <c r="B19" s="340">
        <f ca="1">SUM(B20:B22)</f>
        <v>0</v>
      </c>
      <c r="C19" s="340">
        <f t="shared" ref="C19:BI19" ca="1" si="4">SUM(C20:C22)</f>
        <v>0</v>
      </c>
      <c r="D19" s="340">
        <f t="shared" ca="1" si="4"/>
        <v>0</v>
      </c>
      <c r="E19" s="340">
        <f t="shared" ca="1" si="4"/>
        <v>-7875.0331680105537</v>
      </c>
      <c r="F19" s="340">
        <f t="shared" ca="1" si="4"/>
        <v>-10487.728613060797</v>
      </c>
      <c r="G19" s="340">
        <f t="shared" ca="1" si="4"/>
        <v>-15618.235858466371</v>
      </c>
      <c r="H19" s="340">
        <f t="shared" ca="1" si="4"/>
        <v>3832.178091581095</v>
      </c>
      <c r="I19" s="340">
        <f t="shared" ca="1" si="4"/>
        <v>5170.8566349121147</v>
      </c>
      <c r="J19" s="340">
        <f t="shared" ca="1" si="4"/>
        <v>7639.0388636619364</v>
      </c>
      <c r="K19" s="340">
        <f t="shared" ca="1" si="4"/>
        <v>-79.204423456689739</v>
      </c>
      <c r="L19" s="340">
        <f t="shared" ca="1" si="4"/>
        <v>-54.611859797010453</v>
      </c>
      <c r="M19" s="340">
        <f t="shared" ca="1" si="4"/>
        <v>-20.232429485767963</v>
      </c>
      <c r="N19" s="340">
        <f t="shared" ca="1" si="4"/>
        <v>0</v>
      </c>
      <c r="O19" s="340">
        <f t="shared" ca="1" si="4"/>
        <v>0</v>
      </c>
      <c r="P19" s="340">
        <f t="shared" ca="1" si="4"/>
        <v>0</v>
      </c>
      <c r="Q19" s="340">
        <f t="shared" ca="1" si="4"/>
        <v>0</v>
      </c>
      <c r="R19" s="340">
        <f t="shared" ca="1" si="4"/>
        <v>0</v>
      </c>
      <c r="S19" s="340">
        <f t="shared" ca="1" si="4"/>
        <v>0</v>
      </c>
      <c r="T19" s="340">
        <f t="shared" ca="1" si="4"/>
        <v>0</v>
      </c>
      <c r="U19" s="340">
        <f t="shared" ca="1" si="4"/>
        <v>0</v>
      </c>
      <c r="V19" s="340">
        <f t="shared" ca="1" si="4"/>
        <v>0</v>
      </c>
      <c r="W19" s="340">
        <f t="shared" ca="1" si="4"/>
        <v>0</v>
      </c>
      <c r="X19" s="340">
        <f t="shared" ca="1" si="4"/>
        <v>0</v>
      </c>
      <c r="Y19" s="340">
        <f t="shared" ca="1" si="4"/>
        <v>0</v>
      </c>
      <c r="Z19" s="340">
        <f t="shared" ca="1" si="4"/>
        <v>0</v>
      </c>
      <c r="AA19" s="340">
        <f t="shared" ca="1" si="4"/>
        <v>0</v>
      </c>
      <c r="AB19" s="340">
        <f t="shared" ca="1" si="4"/>
        <v>0</v>
      </c>
      <c r="AC19" s="340">
        <f t="shared" ca="1" si="4"/>
        <v>0</v>
      </c>
      <c r="AD19" s="340">
        <f t="shared" ca="1" si="4"/>
        <v>0</v>
      </c>
      <c r="AE19" s="340">
        <f t="shared" ca="1" si="4"/>
        <v>0</v>
      </c>
      <c r="AF19" s="340">
        <f t="shared" ca="1" si="4"/>
        <v>0</v>
      </c>
      <c r="AG19" s="340">
        <f t="shared" ca="1" si="4"/>
        <v>0</v>
      </c>
      <c r="AH19" s="340">
        <f t="shared" ca="1" si="4"/>
        <v>0</v>
      </c>
      <c r="AI19" s="340">
        <f t="shared" ca="1" si="4"/>
        <v>0</v>
      </c>
      <c r="AJ19" s="340">
        <f t="shared" ca="1" si="4"/>
        <v>0</v>
      </c>
      <c r="AK19" s="340">
        <f t="shared" ca="1" si="4"/>
        <v>0</v>
      </c>
      <c r="AL19" s="340">
        <f t="shared" ca="1" si="4"/>
        <v>0</v>
      </c>
      <c r="AM19" s="340">
        <f t="shared" ca="1" si="4"/>
        <v>0</v>
      </c>
      <c r="AN19" s="340">
        <f t="shared" ca="1" si="4"/>
        <v>0</v>
      </c>
      <c r="AO19" s="340">
        <f t="shared" ca="1" si="4"/>
        <v>0</v>
      </c>
      <c r="AP19" s="340">
        <f t="shared" ca="1" si="4"/>
        <v>0</v>
      </c>
      <c r="AQ19" s="340">
        <f t="shared" ca="1" si="4"/>
        <v>0</v>
      </c>
      <c r="AR19" s="340">
        <f t="shared" ca="1" si="4"/>
        <v>0</v>
      </c>
      <c r="AS19" s="340">
        <f t="shared" ca="1" si="4"/>
        <v>0</v>
      </c>
      <c r="AT19" s="340">
        <f t="shared" ca="1" si="4"/>
        <v>0</v>
      </c>
      <c r="AU19" s="340">
        <f t="shared" ca="1" si="4"/>
        <v>0</v>
      </c>
      <c r="AV19" s="340">
        <f t="shared" ca="1" si="4"/>
        <v>0</v>
      </c>
      <c r="AW19" s="340">
        <f t="shared" ca="1" si="4"/>
        <v>0</v>
      </c>
      <c r="AX19" s="340">
        <f t="shared" ca="1" si="4"/>
        <v>0</v>
      </c>
      <c r="AY19" s="340">
        <f t="shared" ca="1" si="4"/>
        <v>0</v>
      </c>
      <c r="AZ19" s="340">
        <f t="shared" ca="1" si="4"/>
        <v>0</v>
      </c>
      <c r="BA19" s="340">
        <f t="shared" ca="1" si="4"/>
        <v>0</v>
      </c>
      <c r="BB19" s="340">
        <f t="shared" ca="1" si="4"/>
        <v>0</v>
      </c>
      <c r="BC19" s="340">
        <f t="shared" ca="1" si="4"/>
        <v>0</v>
      </c>
      <c r="BD19" s="340">
        <f t="shared" ca="1" si="4"/>
        <v>0</v>
      </c>
      <c r="BE19" s="340">
        <f t="shared" ca="1" si="4"/>
        <v>0</v>
      </c>
      <c r="BF19" s="340">
        <f t="shared" ca="1" si="4"/>
        <v>0</v>
      </c>
      <c r="BG19" s="340">
        <f t="shared" ca="1" si="4"/>
        <v>0</v>
      </c>
      <c r="BH19" s="340">
        <f t="shared" ca="1" si="4"/>
        <v>0</v>
      </c>
      <c r="BI19" s="340">
        <f t="shared" ca="1" si="4"/>
        <v>0</v>
      </c>
    </row>
    <row r="20" spans="1:61" x14ac:dyDescent="0.15">
      <c r="A20" s="334" t="s">
        <v>233</v>
      </c>
      <c r="B20" s="345" cm="1">
        <f t="array" aca="1" ref="B20" ca="1">SUMPRODUCT(B$54:B$113,TRANSPOSE(SAP_Speadsheet!$E$68:$BL$68))</f>
        <v>0</v>
      </c>
      <c r="C20" s="345" cm="1">
        <f t="array" aca="1" ref="C20" ca="1">SUMPRODUCT(C$54:C$113,TRANSPOSE(SAP_Speadsheet!$E$68:$BL$68))</f>
        <v>0</v>
      </c>
      <c r="D20" s="345" cm="1">
        <f t="array" aca="1" ref="D20" ca="1">SUMPRODUCT(D$54:D$113,TRANSPOSE(SAP_Speadsheet!$E$68:$BL$68))</f>
        <v>0</v>
      </c>
      <c r="E20" s="345" cm="1">
        <f t="array" aca="1" ref="E20" ca="1">SUMPRODUCT(E$54:E$113,TRANSPOSE(SAP_Speadsheet!$E$68:$BL$68))</f>
        <v>-1.7557953411101952</v>
      </c>
      <c r="F20" s="345" cm="1">
        <f t="array" aca="1" ref="F20" ca="1">SUMPRODUCT(F$54:F$113,TRANSPOSE(SAP_Speadsheet!$E$68:$BL$68))</f>
        <v>-2.3295570421567295</v>
      </c>
      <c r="G20" s="345" cm="1">
        <f t="array" aca="1" ref="G20" ca="1">SUMPRODUCT(G$54:G$113,TRANSPOSE(SAP_Speadsheet!$E$68:$BL$68))</f>
        <v>-3.4748639539843236</v>
      </c>
      <c r="H20" s="345" cm="1">
        <f t="array" aca="1" ref="H20" ca="1">SUMPRODUCT(H$54:H$113,TRANSPOSE(SAP_Speadsheet!$E$68:$BL$68))</f>
        <v>0</v>
      </c>
      <c r="I20" s="345" cm="1">
        <f t="array" aca="1" ref="I20" ca="1">SUMPRODUCT(I$54:I$113,TRANSPOSE(SAP_Speadsheet!$E$68:$BL$68))</f>
        <v>0</v>
      </c>
      <c r="J20" s="345" cm="1">
        <f t="array" aca="1" ref="J20" ca="1">SUMPRODUCT(J$54:J$113,TRANSPOSE(SAP_Speadsheet!$E$68:$BL$68))</f>
        <v>0</v>
      </c>
      <c r="K20" s="345" cm="1">
        <f t="array" aca="1" ref="K20" ca="1">SUMPRODUCT(K$54:K$113,TRANSPOSE(SAP_Speadsheet!$E$68:$BL$68))</f>
        <v>0</v>
      </c>
      <c r="L20" s="345" cm="1">
        <f t="array" aca="1" ref="L20" ca="1">SUMPRODUCT(L$54:L$113,TRANSPOSE(SAP_Speadsheet!$E$68:$BL$68))</f>
        <v>0</v>
      </c>
      <c r="M20" s="345" cm="1">
        <f t="array" aca="1" ref="M20" ca="1">SUMPRODUCT(M$54:M$113,TRANSPOSE(SAP_Speadsheet!$E$68:$BL$68))</f>
        <v>0</v>
      </c>
      <c r="N20" s="345" cm="1">
        <f t="array" aca="1" ref="N20" ca="1">SUMPRODUCT(N$54:N$113,TRANSPOSE(SAP_Speadsheet!$E$68:$BL$68))</f>
        <v>0</v>
      </c>
      <c r="O20" s="345" cm="1">
        <f t="array" aca="1" ref="O20" ca="1">SUMPRODUCT(O$54:O$113,TRANSPOSE(SAP_Speadsheet!$E$68:$BL$68))</f>
        <v>0</v>
      </c>
      <c r="P20" s="345" cm="1">
        <f t="array" aca="1" ref="P20" ca="1">SUMPRODUCT(P$54:P$113,TRANSPOSE(SAP_Speadsheet!$E$68:$BL$68))</f>
        <v>0</v>
      </c>
      <c r="Q20" s="345" cm="1">
        <f t="array" aca="1" ref="Q20" ca="1">SUMPRODUCT(Q$54:Q$113,TRANSPOSE(SAP_Speadsheet!$E$68:$BL$68))</f>
        <v>0</v>
      </c>
      <c r="R20" s="345" cm="1">
        <f t="array" aca="1" ref="R20" ca="1">SUMPRODUCT(R$54:R$113,TRANSPOSE(SAP_Speadsheet!$E$68:$BL$68))</f>
        <v>0</v>
      </c>
      <c r="S20" s="345" cm="1">
        <f t="array" aca="1" ref="S20" ca="1">SUMPRODUCT(S$54:S$113,TRANSPOSE(SAP_Speadsheet!$E$68:$BL$68))</f>
        <v>0</v>
      </c>
      <c r="T20" s="345" cm="1">
        <f t="array" aca="1" ref="T20" ca="1">SUMPRODUCT(T$54:T$113,TRANSPOSE(SAP_Speadsheet!$E$68:$BL$68))</f>
        <v>0</v>
      </c>
      <c r="U20" s="345" cm="1">
        <f t="array" aca="1" ref="U20" ca="1">SUMPRODUCT(U$54:U$113,TRANSPOSE(SAP_Speadsheet!$E$68:$BL$68))</f>
        <v>0</v>
      </c>
      <c r="V20" s="345" cm="1">
        <f t="array" aca="1" ref="V20" ca="1">SUMPRODUCT(V$54:V$113,TRANSPOSE(SAP_Speadsheet!$E$68:$BL$68))</f>
        <v>0</v>
      </c>
      <c r="W20" s="345" cm="1">
        <f t="array" aca="1" ref="W20" ca="1">SUMPRODUCT(W$54:W$113,TRANSPOSE(SAP_Speadsheet!$E$68:$BL$68))</f>
        <v>0</v>
      </c>
      <c r="X20" s="345" cm="1">
        <f t="array" aca="1" ref="X20" ca="1">SUMPRODUCT(X$54:X$113,TRANSPOSE(SAP_Speadsheet!$E$68:$BL$68))</f>
        <v>0</v>
      </c>
      <c r="Y20" s="345" cm="1">
        <f t="array" aca="1" ref="Y20" ca="1">SUMPRODUCT(Y$54:Y$113,TRANSPOSE(SAP_Speadsheet!$E$68:$BL$68))</f>
        <v>0</v>
      </c>
      <c r="Z20" s="345" cm="1">
        <f t="array" aca="1" ref="Z20" ca="1">SUMPRODUCT(Z$54:Z$113,TRANSPOSE(SAP_Speadsheet!$E$68:$BL$68))</f>
        <v>0</v>
      </c>
      <c r="AA20" s="345" cm="1">
        <f t="array" aca="1" ref="AA20" ca="1">SUMPRODUCT(AA$54:AA$113,TRANSPOSE(SAP_Speadsheet!$E$68:$BL$68))</f>
        <v>0</v>
      </c>
      <c r="AB20" s="345" cm="1">
        <f t="array" aca="1" ref="AB20" ca="1">SUMPRODUCT(AB$54:AB$113,TRANSPOSE(SAP_Speadsheet!$E$68:$BL$68))</f>
        <v>0</v>
      </c>
      <c r="AC20" s="345" cm="1">
        <f t="array" aca="1" ref="AC20" ca="1">SUMPRODUCT(AC$54:AC$113,TRANSPOSE(SAP_Speadsheet!$E$68:$BL$68))</f>
        <v>0</v>
      </c>
      <c r="AD20" s="345" cm="1">
        <f t="array" aca="1" ref="AD20" ca="1">SUMPRODUCT(AD$54:AD$113,TRANSPOSE(SAP_Speadsheet!$E$68:$BL$68))</f>
        <v>0</v>
      </c>
      <c r="AE20" s="345" cm="1">
        <f t="array" aca="1" ref="AE20" ca="1">SUMPRODUCT(AE$54:AE$113,TRANSPOSE(SAP_Speadsheet!$E$68:$BL$68))</f>
        <v>0</v>
      </c>
      <c r="AF20" s="345" cm="1">
        <f t="array" aca="1" ref="AF20" ca="1">SUMPRODUCT(AF$54:AF$113,TRANSPOSE(SAP_Speadsheet!$E$68:$BL$68))</f>
        <v>0</v>
      </c>
      <c r="AG20" s="345" cm="1">
        <f t="array" aca="1" ref="AG20" ca="1">SUMPRODUCT(AG$54:AG$113,TRANSPOSE(SAP_Speadsheet!$E$68:$BL$68))</f>
        <v>0</v>
      </c>
      <c r="AH20" s="345" cm="1">
        <f t="array" aca="1" ref="AH20" ca="1">SUMPRODUCT(AH$54:AH$113,TRANSPOSE(SAP_Speadsheet!$E$68:$BL$68))</f>
        <v>0</v>
      </c>
      <c r="AI20" s="345" cm="1">
        <f t="array" aca="1" ref="AI20" ca="1">SUMPRODUCT(AI$54:AI$113,TRANSPOSE(SAP_Speadsheet!$E$68:$BL$68))</f>
        <v>0</v>
      </c>
      <c r="AJ20" s="345" cm="1">
        <f t="array" aca="1" ref="AJ20" ca="1">SUMPRODUCT(AJ$54:AJ$113,TRANSPOSE(SAP_Speadsheet!$E$68:$BL$68))</f>
        <v>0</v>
      </c>
      <c r="AK20" s="345" cm="1">
        <f t="array" aca="1" ref="AK20" ca="1">SUMPRODUCT(AK$54:AK$113,TRANSPOSE(SAP_Speadsheet!$E$68:$BL$68))</f>
        <v>0</v>
      </c>
      <c r="AL20" s="345" cm="1">
        <f t="array" aca="1" ref="AL20" ca="1">SUMPRODUCT(AL$54:AL$113,TRANSPOSE(SAP_Speadsheet!$E$68:$BL$68))</f>
        <v>0</v>
      </c>
      <c r="AM20" s="345" cm="1">
        <f t="array" aca="1" ref="AM20" ca="1">SUMPRODUCT(AM$54:AM$113,TRANSPOSE(SAP_Speadsheet!$E$68:$BL$68))</f>
        <v>0</v>
      </c>
      <c r="AN20" s="345" cm="1">
        <f t="array" aca="1" ref="AN20" ca="1">SUMPRODUCT(AN$54:AN$113,TRANSPOSE(SAP_Speadsheet!$E$68:$BL$68))</f>
        <v>0</v>
      </c>
      <c r="AO20" s="345" cm="1">
        <f t="array" aca="1" ref="AO20" ca="1">SUMPRODUCT(AO$54:AO$113,TRANSPOSE(SAP_Speadsheet!$E$68:$BL$68))</f>
        <v>0</v>
      </c>
      <c r="AP20" s="345" cm="1">
        <f t="array" aca="1" ref="AP20" ca="1">SUMPRODUCT(AP$54:AP$113,TRANSPOSE(SAP_Speadsheet!$E$68:$BL$68))</f>
        <v>0</v>
      </c>
      <c r="AQ20" s="345" cm="1">
        <f t="array" aca="1" ref="AQ20" ca="1">SUMPRODUCT(AQ$54:AQ$113,TRANSPOSE(SAP_Speadsheet!$E$68:$BL$68))</f>
        <v>0</v>
      </c>
      <c r="AR20" s="345" cm="1">
        <f t="array" aca="1" ref="AR20" ca="1">SUMPRODUCT(AR$54:AR$113,TRANSPOSE(SAP_Speadsheet!$E$68:$BL$68))</f>
        <v>0</v>
      </c>
      <c r="AS20" s="345" cm="1">
        <f t="array" aca="1" ref="AS20" ca="1">SUMPRODUCT(AS$54:AS$113,TRANSPOSE(SAP_Speadsheet!$E$68:$BL$68))</f>
        <v>0</v>
      </c>
      <c r="AT20" s="345" cm="1">
        <f t="array" aca="1" ref="AT20" ca="1">SUMPRODUCT(AT$54:AT$113,TRANSPOSE(SAP_Speadsheet!$E$68:$BL$68))</f>
        <v>0</v>
      </c>
      <c r="AU20" s="345" cm="1">
        <f t="array" aca="1" ref="AU20" ca="1">SUMPRODUCT(AU$54:AU$113,TRANSPOSE(SAP_Speadsheet!$E$68:$BL$68))</f>
        <v>0</v>
      </c>
      <c r="AV20" s="345" cm="1">
        <f t="array" aca="1" ref="AV20" ca="1">SUMPRODUCT(AV$54:AV$113,TRANSPOSE(SAP_Speadsheet!$E$68:$BL$68))</f>
        <v>0</v>
      </c>
      <c r="AW20" s="345" cm="1">
        <f t="array" aca="1" ref="AW20" ca="1">SUMPRODUCT(AW$54:AW$113,TRANSPOSE(SAP_Speadsheet!$E$68:$BL$68))</f>
        <v>0</v>
      </c>
      <c r="AX20" s="345" cm="1">
        <f t="array" aca="1" ref="AX20" ca="1">SUMPRODUCT(AX$54:AX$113,TRANSPOSE(SAP_Speadsheet!$E$68:$BL$68))</f>
        <v>0</v>
      </c>
      <c r="AY20" s="345" cm="1">
        <f t="array" aca="1" ref="AY20" ca="1">SUMPRODUCT(AY$54:AY$113,TRANSPOSE(SAP_Speadsheet!$E$68:$BL$68))</f>
        <v>0</v>
      </c>
      <c r="AZ20" s="345" cm="1">
        <f t="array" aca="1" ref="AZ20" ca="1">SUMPRODUCT(AZ$54:AZ$113,TRANSPOSE(SAP_Speadsheet!$E$68:$BL$68))</f>
        <v>0</v>
      </c>
      <c r="BA20" s="345" cm="1">
        <f t="array" aca="1" ref="BA20" ca="1">SUMPRODUCT(BA$54:BA$113,TRANSPOSE(SAP_Speadsheet!$E$68:$BL$68))</f>
        <v>0</v>
      </c>
      <c r="BB20" s="345" cm="1">
        <f t="array" aca="1" ref="BB20" ca="1">SUMPRODUCT(BB$54:BB$113,TRANSPOSE(SAP_Speadsheet!$E$68:$BL$68))</f>
        <v>0</v>
      </c>
      <c r="BC20" s="345" cm="1">
        <f t="array" aca="1" ref="BC20" ca="1">SUMPRODUCT(BC$54:BC$113,TRANSPOSE(SAP_Speadsheet!$E$68:$BL$68))</f>
        <v>0</v>
      </c>
      <c r="BD20" s="345" cm="1">
        <f t="array" aca="1" ref="BD20" ca="1">SUMPRODUCT(BD$54:BD$113,TRANSPOSE(SAP_Speadsheet!$E$68:$BL$68))</f>
        <v>0</v>
      </c>
      <c r="BE20" s="345" cm="1">
        <f t="array" aca="1" ref="BE20" ca="1">SUMPRODUCT(BE$54:BE$113,TRANSPOSE(SAP_Speadsheet!$E$68:$BL$68))</f>
        <v>0</v>
      </c>
      <c r="BF20" s="345" cm="1">
        <f t="array" aca="1" ref="BF20" ca="1">SUMPRODUCT(BF$54:BF$113,TRANSPOSE(SAP_Speadsheet!$E$68:$BL$68))</f>
        <v>0</v>
      </c>
      <c r="BG20" s="345" cm="1">
        <f t="array" aca="1" ref="BG20" ca="1">SUMPRODUCT(BG$54:BG$113,TRANSPOSE(SAP_Speadsheet!$E$68:$BL$68))</f>
        <v>0</v>
      </c>
      <c r="BH20" s="345" cm="1">
        <f t="array" aca="1" ref="BH20" ca="1">SUMPRODUCT(BH$54:BH$113,TRANSPOSE(SAP_Speadsheet!$E$68:$BL$68))</f>
        <v>0</v>
      </c>
      <c r="BI20" s="345" cm="1">
        <f t="array" aca="1" ref="BI20" ca="1">SUMPRODUCT(BI$54:BI$113,TRANSPOSE(SAP_Speadsheet!$E$68:$BL$68))</f>
        <v>0</v>
      </c>
    </row>
    <row r="21" spans="1:61" x14ac:dyDescent="0.15">
      <c r="A21" s="334" t="s">
        <v>234</v>
      </c>
      <c r="B21" s="345" cm="1">
        <f t="array" aca="1" ref="B21" ca="1">SUMPRODUCT(B$54:B$113,TRANSPOSE(SAP_Speadsheet!$E$69:$BL$69))</f>
        <v>0</v>
      </c>
      <c r="C21" s="345" cm="1">
        <f t="array" aca="1" ref="C21" ca="1">SUMPRODUCT(C$54:C$113,TRANSPOSE(SAP_Speadsheet!$E$69:$BL$69))</f>
        <v>0</v>
      </c>
      <c r="D21" s="345" cm="1">
        <f t="array" aca="1" ref="D21" ca="1">SUMPRODUCT(D$54:D$113,TRANSPOSE(SAP_Speadsheet!$E$69:$BL$69))</f>
        <v>0</v>
      </c>
      <c r="E21" s="345" cm="1">
        <f t="array" aca="1" ref="E21" ca="1">SUMPRODUCT(E$54:E$113,TRANSPOSE(SAP_Speadsheet!$E$69:$BL$69))</f>
        <v>-7830.7240320087867</v>
      </c>
      <c r="F21" s="345" cm="1">
        <f t="array" aca="1" ref="F21" ca="1">SUMPRODUCT(F$54:F$113,TRANSPOSE(SAP_Speadsheet!$E$69:$BL$69))</f>
        <v>-10428.940064425324</v>
      </c>
      <c r="G21" s="345" cm="1">
        <f t="array" aca="1" ref="G21" ca="1">SUMPRODUCT(G$54:G$113,TRANSPOSE(SAP_Speadsheet!$E$69:$BL$69))</f>
        <v>-15530.54441976636</v>
      </c>
      <c r="H21" s="345" cm="1">
        <f t="array" aca="1" ref="H21" ca="1">SUMPRODUCT(H$54:H$113,TRANSPOSE(SAP_Speadsheet!$E$69:$BL$69))</f>
        <v>3832.178091581095</v>
      </c>
      <c r="I21" s="345" cm="1">
        <f t="array" aca="1" ref="I21" ca="1">SUMPRODUCT(I$54:I$113,TRANSPOSE(SAP_Speadsheet!$E$69:$BL$69))</f>
        <v>5170.8566349121147</v>
      </c>
      <c r="J21" s="345" cm="1">
        <f t="array" aca="1" ref="J21" ca="1">SUMPRODUCT(J$54:J$113,TRANSPOSE(SAP_Speadsheet!$E$69:$BL$69))</f>
        <v>7639.0388636619364</v>
      </c>
      <c r="K21" s="345" cm="1">
        <f t="array" aca="1" ref="K21" ca="1">SUMPRODUCT(K$54:K$113,TRANSPOSE(SAP_Speadsheet!$E$69:$BL$69))</f>
        <v>-79.204423456689739</v>
      </c>
      <c r="L21" s="345" cm="1">
        <f t="array" aca="1" ref="L21" ca="1">SUMPRODUCT(L$54:L$113,TRANSPOSE(SAP_Speadsheet!$E$69:$BL$69))</f>
        <v>-54.611859797010453</v>
      </c>
      <c r="M21" s="345" cm="1">
        <f t="array" aca="1" ref="M21" ca="1">SUMPRODUCT(M$54:M$113,TRANSPOSE(SAP_Speadsheet!$E$69:$BL$69))</f>
        <v>-20.232429485767963</v>
      </c>
      <c r="N21" s="345" cm="1">
        <f t="array" aca="1" ref="N21" ca="1">SUMPRODUCT(N$54:N$113,TRANSPOSE(SAP_Speadsheet!$E$69:$BL$69))</f>
        <v>0</v>
      </c>
      <c r="O21" s="345" cm="1">
        <f t="array" aca="1" ref="O21" ca="1">SUMPRODUCT(O$54:O$113,TRANSPOSE(SAP_Speadsheet!$E$69:$BL$69))</f>
        <v>0</v>
      </c>
      <c r="P21" s="345" cm="1">
        <f t="array" aca="1" ref="P21" ca="1">SUMPRODUCT(P$54:P$113,TRANSPOSE(SAP_Speadsheet!$E$69:$BL$69))</f>
        <v>0</v>
      </c>
      <c r="Q21" s="345" cm="1">
        <f t="array" aca="1" ref="Q21" ca="1">SUMPRODUCT(Q$54:Q$113,TRANSPOSE(SAP_Speadsheet!$E$69:$BL$69))</f>
        <v>0</v>
      </c>
      <c r="R21" s="345" cm="1">
        <f t="array" aca="1" ref="R21" ca="1">SUMPRODUCT(R$54:R$113,TRANSPOSE(SAP_Speadsheet!$E$69:$BL$69))</f>
        <v>0</v>
      </c>
      <c r="S21" s="345" cm="1">
        <f t="array" aca="1" ref="S21" ca="1">SUMPRODUCT(S$54:S$113,TRANSPOSE(SAP_Speadsheet!$E$69:$BL$69))</f>
        <v>0</v>
      </c>
      <c r="T21" s="345" cm="1">
        <f t="array" aca="1" ref="T21" ca="1">SUMPRODUCT(T$54:T$113,TRANSPOSE(SAP_Speadsheet!$E$69:$BL$69))</f>
        <v>0</v>
      </c>
      <c r="U21" s="345" cm="1">
        <f t="array" aca="1" ref="U21" ca="1">SUMPRODUCT(U$54:U$113,TRANSPOSE(SAP_Speadsheet!$E$69:$BL$69))</f>
        <v>0</v>
      </c>
      <c r="V21" s="345" cm="1">
        <f t="array" aca="1" ref="V21" ca="1">SUMPRODUCT(V$54:V$113,TRANSPOSE(SAP_Speadsheet!$E$69:$BL$69))</f>
        <v>0</v>
      </c>
      <c r="W21" s="345" cm="1">
        <f t="array" aca="1" ref="W21" ca="1">SUMPRODUCT(W$54:W$113,TRANSPOSE(SAP_Speadsheet!$E$69:$BL$69))</f>
        <v>0</v>
      </c>
      <c r="X21" s="345" cm="1">
        <f t="array" aca="1" ref="X21" ca="1">SUMPRODUCT(X$54:X$113,TRANSPOSE(SAP_Speadsheet!$E$69:$BL$69))</f>
        <v>0</v>
      </c>
      <c r="Y21" s="345" cm="1">
        <f t="array" aca="1" ref="Y21" ca="1">SUMPRODUCT(Y$54:Y$113,TRANSPOSE(SAP_Speadsheet!$E$69:$BL$69))</f>
        <v>0</v>
      </c>
      <c r="Z21" s="345" cm="1">
        <f t="array" aca="1" ref="Z21" ca="1">SUMPRODUCT(Z$54:Z$113,TRANSPOSE(SAP_Speadsheet!$E$69:$BL$69))</f>
        <v>0</v>
      </c>
      <c r="AA21" s="345" cm="1">
        <f t="array" aca="1" ref="AA21" ca="1">SUMPRODUCT(AA$54:AA$113,TRANSPOSE(SAP_Speadsheet!$E$69:$BL$69))</f>
        <v>0</v>
      </c>
      <c r="AB21" s="345" cm="1">
        <f t="array" aca="1" ref="AB21" ca="1">SUMPRODUCT(AB$54:AB$113,TRANSPOSE(SAP_Speadsheet!$E$69:$BL$69))</f>
        <v>0</v>
      </c>
      <c r="AC21" s="345" cm="1">
        <f t="array" aca="1" ref="AC21" ca="1">SUMPRODUCT(AC$54:AC$113,TRANSPOSE(SAP_Speadsheet!$E$69:$BL$69))</f>
        <v>0</v>
      </c>
      <c r="AD21" s="345" cm="1">
        <f t="array" aca="1" ref="AD21" ca="1">SUMPRODUCT(AD$54:AD$113,TRANSPOSE(SAP_Speadsheet!$E$69:$BL$69))</f>
        <v>0</v>
      </c>
      <c r="AE21" s="345" cm="1">
        <f t="array" aca="1" ref="AE21" ca="1">SUMPRODUCT(AE$54:AE$113,TRANSPOSE(SAP_Speadsheet!$E$69:$BL$69))</f>
        <v>0</v>
      </c>
      <c r="AF21" s="345" cm="1">
        <f t="array" aca="1" ref="AF21" ca="1">SUMPRODUCT(AF$54:AF$113,TRANSPOSE(SAP_Speadsheet!$E$69:$BL$69))</f>
        <v>0</v>
      </c>
      <c r="AG21" s="345" cm="1">
        <f t="array" aca="1" ref="AG21" ca="1">SUMPRODUCT(AG$54:AG$113,TRANSPOSE(SAP_Speadsheet!$E$69:$BL$69))</f>
        <v>0</v>
      </c>
      <c r="AH21" s="345" cm="1">
        <f t="array" aca="1" ref="AH21" ca="1">SUMPRODUCT(AH$54:AH$113,TRANSPOSE(SAP_Speadsheet!$E$69:$BL$69))</f>
        <v>0</v>
      </c>
      <c r="AI21" s="345" cm="1">
        <f t="array" aca="1" ref="AI21" ca="1">SUMPRODUCT(AI$54:AI$113,TRANSPOSE(SAP_Speadsheet!$E$69:$BL$69))</f>
        <v>0</v>
      </c>
      <c r="AJ21" s="345" cm="1">
        <f t="array" aca="1" ref="AJ21" ca="1">SUMPRODUCT(AJ$54:AJ$113,TRANSPOSE(SAP_Speadsheet!$E$69:$BL$69))</f>
        <v>0</v>
      </c>
      <c r="AK21" s="345" cm="1">
        <f t="array" aca="1" ref="AK21" ca="1">SUMPRODUCT(AK$54:AK$113,TRANSPOSE(SAP_Speadsheet!$E$69:$BL$69))</f>
        <v>0</v>
      </c>
      <c r="AL21" s="345" cm="1">
        <f t="array" aca="1" ref="AL21" ca="1">SUMPRODUCT(AL$54:AL$113,TRANSPOSE(SAP_Speadsheet!$E$69:$BL$69))</f>
        <v>0</v>
      </c>
      <c r="AM21" s="345" cm="1">
        <f t="array" aca="1" ref="AM21" ca="1">SUMPRODUCT(AM$54:AM$113,TRANSPOSE(SAP_Speadsheet!$E$69:$BL$69))</f>
        <v>0</v>
      </c>
      <c r="AN21" s="345" cm="1">
        <f t="array" aca="1" ref="AN21" ca="1">SUMPRODUCT(AN$54:AN$113,TRANSPOSE(SAP_Speadsheet!$E$69:$BL$69))</f>
        <v>0</v>
      </c>
      <c r="AO21" s="345" cm="1">
        <f t="array" aca="1" ref="AO21" ca="1">SUMPRODUCT(AO$54:AO$113,TRANSPOSE(SAP_Speadsheet!$E$69:$BL$69))</f>
        <v>0</v>
      </c>
      <c r="AP21" s="345" cm="1">
        <f t="array" aca="1" ref="AP21" ca="1">SUMPRODUCT(AP$54:AP$113,TRANSPOSE(SAP_Speadsheet!$E$69:$BL$69))</f>
        <v>0</v>
      </c>
      <c r="AQ21" s="345" cm="1">
        <f t="array" aca="1" ref="AQ21" ca="1">SUMPRODUCT(AQ$54:AQ$113,TRANSPOSE(SAP_Speadsheet!$E$69:$BL$69))</f>
        <v>0</v>
      </c>
      <c r="AR21" s="345" cm="1">
        <f t="array" aca="1" ref="AR21" ca="1">SUMPRODUCT(AR$54:AR$113,TRANSPOSE(SAP_Speadsheet!$E$69:$BL$69))</f>
        <v>0</v>
      </c>
      <c r="AS21" s="345" cm="1">
        <f t="array" aca="1" ref="AS21" ca="1">SUMPRODUCT(AS$54:AS$113,TRANSPOSE(SAP_Speadsheet!$E$69:$BL$69))</f>
        <v>0</v>
      </c>
      <c r="AT21" s="345" cm="1">
        <f t="array" aca="1" ref="AT21" ca="1">SUMPRODUCT(AT$54:AT$113,TRANSPOSE(SAP_Speadsheet!$E$69:$BL$69))</f>
        <v>0</v>
      </c>
      <c r="AU21" s="345" cm="1">
        <f t="array" aca="1" ref="AU21" ca="1">SUMPRODUCT(AU$54:AU$113,TRANSPOSE(SAP_Speadsheet!$E$69:$BL$69))</f>
        <v>0</v>
      </c>
      <c r="AV21" s="345" cm="1">
        <f t="array" aca="1" ref="AV21" ca="1">SUMPRODUCT(AV$54:AV$113,TRANSPOSE(SAP_Speadsheet!$E$69:$BL$69))</f>
        <v>0</v>
      </c>
      <c r="AW21" s="345" cm="1">
        <f t="array" aca="1" ref="AW21" ca="1">SUMPRODUCT(AW$54:AW$113,TRANSPOSE(SAP_Speadsheet!$E$69:$BL$69))</f>
        <v>0</v>
      </c>
      <c r="AX21" s="345" cm="1">
        <f t="array" aca="1" ref="AX21" ca="1">SUMPRODUCT(AX$54:AX$113,TRANSPOSE(SAP_Speadsheet!$E$69:$BL$69))</f>
        <v>0</v>
      </c>
      <c r="AY21" s="345" cm="1">
        <f t="array" aca="1" ref="AY21" ca="1">SUMPRODUCT(AY$54:AY$113,TRANSPOSE(SAP_Speadsheet!$E$69:$BL$69))</f>
        <v>0</v>
      </c>
      <c r="AZ21" s="345" cm="1">
        <f t="array" aca="1" ref="AZ21" ca="1">SUMPRODUCT(AZ$54:AZ$113,TRANSPOSE(SAP_Speadsheet!$E$69:$BL$69))</f>
        <v>0</v>
      </c>
      <c r="BA21" s="345" cm="1">
        <f t="array" aca="1" ref="BA21" ca="1">SUMPRODUCT(BA$54:BA$113,TRANSPOSE(SAP_Speadsheet!$E$69:$BL$69))</f>
        <v>0</v>
      </c>
      <c r="BB21" s="345" cm="1">
        <f t="array" aca="1" ref="BB21" ca="1">SUMPRODUCT(BB$54:BB$113,TRANSPOSE(SAP_Speadsheet!$E$69:$BL$69))</f>
        <v>0</v>
      </c>
      <c r="BC21" s="345" cm="1">
        <f t="array" aca="1" ref="BC21" ca="1">SUMPRODUCT(BC$54:BC$113,TRANSPOSE(SAP_Speadsheet!$E$69:$BL$69))</f>
        <v>0</v>
      </c>
      <c r="BD21" s="345" cm="1">
        <f t="array" aca="1" ref="BD21" ca="1">SUMPRODUCT(BD$54:BD$113,TRANSPOSE(SAP_Speadsheet!$E$69:$BL$69))</f>
        <v>0</v>
      </c>
      <c r="BE21" s="345" cm="1">
        <f t="array" aca="1" ref="BE21" ca="1">SUMPRODUCT(BE$54:BE$113,TRANSPOSE(SAP_Speadsheet!$E$69:$BL$69))</f>
        <v>0</v>
      </c>
      <c r="BF21" s="345" cm="1">
        <f t="array" aca="1" ref="BF21" ca="1">SUMPRODUCT(BF$54:BF$113,TRANSPOSE(SAP_Speadsheet!$E$69:$BL$69))</f>
        <v>0</v>
      </c>
      <c r="BG21" s="345" cm="1">
        <f t="array" aca="1" ref="BG21" ca="1">SUMPRODUCT(BG$54:BG$113,TRANSPOSE(SAP_Speadsheet!$E$69:$BL$69))</f>
        <v>0</v>
      </c>
      <c r="BH21" s="345" cm="1">
        <f t="array" aca="1" ref="BH21" ca="1">SUMPRODUCT(BH$54:BH$113,TRANSPOSE(SAP_Speadsheet!$E$69:$BL$69))</f>
        <v>0</v>
      </c>
      <c r="BI21" s="345" cm="1">
        <f t="array" aca="1" ref="BI21" ca="1">SUMPRODUCT(BI$54:BI$113,TRANSPOSE(SAP_Speadsheet!$E$69:$BL$69))</f>
        <v>0</v>
      </c>
    </row>
    <row r="22" spans="1:61" s="333" customFormat="1" x14ac:dyDescent="0.15">
      <c r="A22" s="334" t="s">
        <v>235</v>
      </c>
      <c r="B22" s="345" cm="1">
        <f t="array" aca="1" ref="B22" ca="1">SUMPRODUCT(B$54:B$113,TRANSPOSE(SAP_Speadsheet!$E$78:$BL$78))</f>
        <v>0</v>
      </c>
      <c r="C22" s="345" cm="1">
        <f t="array" aca="1" ref="C22" ca="1">SUMPRODUCT(C$54:C$113,TRANSPOSE(SAP_Speadsheet!$E$78:$BL$78))</f>
        <v>0</v>
      </c>
      <c r="D22" s="345" cm="1">
        <f t="array" aca="1" ref="D22" ca="1">SUMPRODUCT(D$54:D$113,TRANSPOSE(SAP_Speadsheet!$E$78:$BL$78))</f>
        <v>0</v>
      </c>
      <c r="E22" s="345" cm="1">
        <f t="array" aca="1" ref="E22" ca="1">SUMPRODUCT(E$54:E$113,TRANSPOSE(SAP_Speadsheet!$E$78:$BL$78))</f>
        <v>-42.553340660656517</v>
      </c>
      <c r="F22" s="345" cm="1">
        <f t="array" aca="1" ref="F22" ca="1">SUMPRODUCT(F$54:F$113,TRANSPOSE(SAP_Speadsheet!$E$78:$BL$78))</f>
        <v>-56.458991593317592</v>
      </c>
      <c r="G22" s="345" cm="1">
        <f t="array" aca="1" ref="G22" ca="1">SUMPRODUCT(G$54:G$113,TRANSPOSE(SAP_Speadsheet!$E$78:$BL$78))</f>
        <v>-84.216574746025913</v>
      </c>
      <c r="H22" s="345" cm="1">
        <f t="array" aca="1" ref="H22" ca="1">SUMPRODUCT(H$54:H$113,TRANSPOSE(SAP_Speadsheet!$E$78:$BL$78))</f>
        <v>0</v>
      </c>
      <c r="I22" s="345" cm="1">
        <f t="array" aca="1" ref="I22" ca="1">SUMPRODUCT(I$54:I$113,TRANSPOSE(SAP_Speadsheet!$E$78:$BL$78))</f>
        <v>0</v>
      </c>
      <c r="J22" s="345" cm="1">
        <f t="array" aca="1" ref="J22" ca="1">SUMPRODUCT(J$54:J$113,TRANSPOSE(SAP_Speadsheet!$E$78:$BL$78))</f>
        <v>0</v>
      </c>
      <c r="K22" s="345" cm="1">
        <f t="array" aca="1" ref="K22" ca="1">SUMPRODUCT(K$54:K$113,TRANSPOSE(SAP_Speadsheet!$E$78:$BL$78))</f>
        <v>0</v>
      </c>
      <c r="L22" s="345" cm="1">
        <f t="array" aca="1" ref="L22" ca="1">SUMPRODUCT(L$54:L$113,TRANSPOSE(SAP_Speadsheet!$E$78:$BL$78))</f>
        <v>0</v>
      </c>
      <c r="M22" s="345" cm="1">
        <f t="array" aca="1" ref="M22" ca="1">SUMPRODUCT(M$54:M$113,TRANSPOSE(SAP_Speadsheet!$E$78:$BL$78))</f>
        <v>0</v>
      </c>
      <c r="N22" s="345" cm="1">
        <f t="array" aca="1" ref="N22" ca="1">SUMPRODUCT(N$54:N$113,TRANSPOSE(SAP_Speadsheet!$E$78:$BL$78))</f>
        <v>0</v>
      </c>
      <c r="O22" s="345" cm="1">
        <f t="array" aca="1" ref="O22" ca="1">SUMPRODUCT(O$54:O$113,TRANSPOSE(SAP_Speadsheet!$E$78:$BL$78))</f>
        <v>0</v>
      </c>
      <c r="P22" s="345" cm="1">
        <f t="array" aca="1" ref="P22" ca="1">SUMPRODUCT(P$54:P$113,TRANSPOSE(SAP_Speadsheet!$E$78:$BL$78))</f>
        <v>0</v>
      </c>
      <c r="Q22" s="345" cm="1">
        <f t="array" aca="1" ref="Q22" ca="1">SUMPRODUCT(Q$54:Q$113,TRANSPOSE(SAP_Speadsheet!$E$78:$BL$78))</f>
        <v>0</v>
      </c>
      <c r="R22" s="345" cm="1">
        <f t="array" aca="1" ref="R22" ca="1">SUMPRODUCT(R$54:R$113,TRANSPOSE(SAP_Speadsheet!$E$78:$BL$78))</f>
        <v>0</v>
      </c>
      <c r="S22" s="345" cm="1">
        <f t="array" aca="1" ref="S22" ca="1">SUMPRODUCT(S$54:S$113,TRANSPOSE(SAP_Speadsheet!$E$78:$BL$78))</f>
        <v>0</v>
      </c>
      <c r="T22" s="345" cm="1">
        <f t="array" aca="1" ref="T22" ca="1">SUMPRODUCT(T$54:T$113,TRANSPOSE(SAP_Speadsheet!$E$78:$BL$78))</f>
        <v>0</v>
      </c>
      <c r="U22" s="345" cm="1">
        <f t="array" aca="1" ref="U22" ca="1">SUMPRODUCT(U$54:U$113,TRANSPOSE(SAP_Speadsheet!$E$78:$BL$78))</f>
        <v>0</v>
      </c>
      <c r="V22" s="345" cm="1">
        <f t="array" aca="1" ref="V22" ca="1">SUMPRODUCT(V$54:V$113,TRANSPOSE(SAP_Speadsheet!$E$78:$BL$78))</f>
        <v>0</v>
      </c>
      <c r="W22" s="345" cm="1">
        <f t="array" aca="1" ref="W22" ca="1">SUMPRODUCT(W$54:W$113,TRANSPOSE(SAP_Speadsheet!$E$78:$BL$78))</f>
        <v>0</v>
      </c>
      <c r="X22" s="345" cm="1">
        <f t="array" aca="1" ref="X22" ca="1">SUMPRODUCT(X$54:X$113,TRANSPOSE(SAP_Speadsheet!$E$78:$BL$78))</f>
        <v>0</v>
      </c>
      <c r="Y22" s="345" cm="1">
        <f t="array" aca="1" ref="Y22" ca="1">SUMPRODUCT(Y$54:Y$113,TRANSPOSE(SAP_Speadsheet!$E$78:$BL$78))</f>
        <v>0</v>
      </c>
      <c r="Z22" s="345" cm="1">
        <f t="array" aca="1" ref="Z22" ca="1">SUMPRODUCT(Z$54:Z$113,TRANSPOSE(SAP_Speadsheet!$E$78:$BL$78))</f>
        <v>0</v>
      </c>
      <c r="AA22" s="345" cm="1">
        <f t="array" aca="1" ref="AA22" ca="1">SUMPRODUCT(AA$54:AA$113,TRANSPOSE(SAP_Speadsheet!$E$78:$BL$78))</f>
        <v>0</v>
      </c>
      <c r="AB22" s="345" cm="1">
        <f t="array" aca="1" ref="AB22" ca="1">SUMPRODUCT(AB$54:AB$113,TRANSPOSE(SAP_Speadsheet!$E$78:$BL$78))</f>
        <v>0</v>
      </c>
      <c r="AC22" s="345" cm="1">
        <f t="array" aca="1" ref="AC22" ca="1">SUMPRODUCT(AC$54:AC$113,TRANSPOSE(SAP_Speadsheet!$E$78:$BL$78))</f>
        <v>0</v>
      </c>
      <c r="AD22" s="345" cm="1">
        <f t="array" aca="1" ref="AD22" ca="1">SUMPRODUCT(AD$54:AD$113,TRANSPOSE(SAP_Speadsheet!$E$78:$BL$78))</f>
        <v>0</v>
      </c>
      <c r="AE22" s="345" cm="1">
        <f t="array" aca="1" ref="AE22" ca="1">SUMPRODUCT(AE$54:AE$113,TRANSPOSE(SAP_Speadsheet!$E$78:$BL$78))</f>
        <v>0</v>
      </c>
      <c r="AF22" s="345" cm="1">
        <f t="array" aca="1" ref="AF22" ca="1">SUMPRODUCT(AF$54:AF$113,TRANSPOSE(SAP_Speadsheet!$E$78:$BL$78))</f>
        <v>0</v>
      </c>
      <c r="AG22" s="345" cm="1">
        <f t="array" aca="1" ref="AG22" ca="1">SUMPRODUCT(AG$54:AG$113,TRANSPOSE(SAP_Speadsheet!$E$78:$BL$78))</f>
        <v>0</v>
      </c>
      <c r="AH22" s="345" cm="1">
        <f t="array" aca="1" ref="AH22" ca="1">SUMPRODUCT(AH$54:AH$113,TRANSPOSE(SAP_Speadsheet!$E$78:$BL$78))</f>
        <v>0</v>
      </c>
      <c r="AI22" s="345" cm="1">
        <f t="array" aca="1" ref="AI22" ca="1">SUMPRODUCT(AI$54:AI$113,TRANSPOSE(SAP_Speadsheet!$E$78:$BL$78))</f>
        <v>0</v>
      </c>
      <c r="AJ22" s="345" cm="1">
        <f t="array" aca="1" ref="AJ22" ca="1">SUMPRODUCT(AJ$54:AJ$113,TRANSPOSE(SAP_Speadsheet!$E$78:$BL$78))</f>
        <v>0</v>
      </c>
      <c r="AK22" s="345" cm="1">
        <f t="array" aca="1" ref="AK22" ca="1">SUMPRODUCT(AK$54:AK$113,TRANSPOSE(SAP_Speadsheet!$E$78:$BL$78))</f>
        <v>0</v>
      </c>
      <c r="AL22" s="345" cm="1">
        <f t="array" aca="1" ref="AL22" ca="1">SUMPRODUCT(AL$54:AL$113,TRANSPOSE(SAP_Speadsheet!$E$78:$BL$78))</f>
        <v>0</v>
      </c>
      <c r="AM22" s="345" cm="1">
        <f t="array" aca="1" ref="AM22" ca="1">SUMPRODUCT(AM$54:AM$113,TRANSPOSE(SAP_Speadsheet!$E$78:$BL$78))</f>
        <v>0</v>
      </c>
      <c r="AN22" s="345" cm="1">
        <f t="array" aca="1" ref="AN22" ca="1">SUMPRODUCT(AN$54:AN$113,TRANSPOSE(SAP_Speadsheet!$E$78:$BL$78))</f>
        <v>0</v>
      </c>
      <c r="AO22" s="345" cm="1">
        <f t="array" aca="1" ref="AO22" ca="1">SUMPRODUCT(AO$54:AO$113,TRANSPOSE(SAP_Speadsheet!$E$78:$BL$78))</f>
        <v>0</v>
      </c>
      <c r="AP22" s="345" cm="1">
        <f t="array" aca="1" ref="AP22" ca="1">SUMPRODUCT(AP$54:AP$113,TRANSPOSE(SAP_Speadsheet!$E$78:$BL$78))</f>
        <v>0</v>
      </c>
      <c r="AQ22" s="345" cm="1">
        <f t="array" aca="1" ref="AQ22" ca="1">SUMPRODUCT(AQ$54:AQ$113,TRANSPOSE(SAP_Speadsheet!$E$78:$BL$78))</f>
        <v>0</v>
      </c>
      <c r="AR22" s="345" cm="1">
        <f t="array" aca="1" ref="AR22" ca="1">SUMPRODUCT(AR$54:AR$113,TRANSPOSE(SAP_Speadsheet!$E$78:$BL$78))</f>
        <v>0</v>
      </c>
      <c r="AS22" s="345" cm="1">
        <f t="array" aca="1" ref="AS22" ca="1">SUMPRODUCT(AS$54:AS$113,TRANSPOSE(SAP_Speadsheet!$E$78:$BL$78))</f>
        <v>0</v>
      </c>
      <c r="AT22" s="345" cm="1">
        <f t="array" aca="1" ref="AT22" ca="1">SUMPRODUCT(AT$54:AT$113,TRANSPOSE(SAP_Speadsheet!$E$78:$BL$78))</f>
        <v>0</v>
      </c>
      <c r="AU22" s="345" cm="1">
        <f t="array" aca="1" ref="AU22" ca="1">SUMPRODUCT(AU$54:AU$113,TRANSPOSE(SAP_Speadsheet!$E$78:$BL$78))</f>
        <v>0</v>
      </c>
      <c r="AV22" s="345" cm="1">
        <f t="array" aca="1" ref="AV22" ca="1">SUMPRODUCT(AV$54:AV$113,TRANSPOSE(SAP_Speadsheet!$E$78:$BL$78))</f>
        <v>0</v>
      </c>
      <c r="AW22" s="345">
        <v>0</v>
      </c>
      <c r="AX22" s="345" cm="1">
        <f t="array" aca="1" ref="AX22" ca="1">SUMPRODUCT(AX$54:AX$113,TRANSPOSE(SAP_Speadsheet!$E$78:$BL$78))</f>
        <v>0</v>
      </c>
      <c r="AY22" s="345" cm="1">
        <f t="array" aca="1" ref="AY22" ca="1">SUMPRODUCT(AY$54:AY$113,TRANSPOSE(SAP_Speadsheet!$E$78:$BL$78))</f>
        <v>0</v>
      </c>
      <c r="AZ22" s="345" cm="1">
        <f t="array" aca="1" ref="AZ22" ca="1">SUMPRODUCT(AZ$54:AZ$113,TRANSPOSE(SAP_Speadsheet!$E$78:$BL$78))</f>
        <v>0</v>
      </c>
      <c r="BA22" s="345" cm="1">
        <f t="array" aca="1" ref="BA22" ca="1">SUMPRODUCT(BA$54:BA$113,TRANSPOSE(SAP_Speadsheet!$E$78:$BL$78))</f>
        <v>0</v>
      </c>
      <c r="BB22" s="345" cm="1">
        <f t="array" aca="1" ref="BB22" ca="1">SUMPRODUCT(BB$54:BB$113,TRANSPOSE(SAP_Speadsheet!$E$78:$BL$78))</f>
        <v>0</v>
      </c>
      <c r="BC22" s="345" cm="1">
        <f t="array" aca="1" ref="BC22" ca="1">SUMPRODUCT(BC$54:BC$113,TRANSPOSE(SAP_Speadsheet!$E$78:$BL$78))</f>
        <v>0</v>
      </c>
      <c r="BD22" s="345" cm="1">
        <f t="array" aca="1" ref="BD22" ca="1">SUMPRODUCT(BD$54:BD$113,TRANSPOSE(SAP_Speadsheet!$E$78:$BL$78))</f>
        <v>0</v>
      </c>
      <c r="BE22" s="345" cm="1">
        <f t="array" aca="1" ref="BE22" ca="1">SUMPRODUCT(BE$54:BE$113,TRANSPOSE(SAP_Speadsheet!$E$78:$BL$78))</f>
        <v>0</v>
      </c>
      <c r="BF22" s="345" cm="1">
        <f t="array" aca="1" ref="BF22" ca="1">SUMPRODUCT(BF$54:BF$113,TRANSPOSE(SAP_Speadsheet!$E$78:$BL$78))</f>
        <v>0</v>
      </c>
      <c r="BG22" s="345" cm="1">
        <f t="array" aca="1" ref="BG22" ca="1">SUMPRODUCT(BG$54:BG$113,TRANSPOSE(SAP_Speadsheet!$E$78:$BL$78))</f>
        <v>0</v>
      </c>
      <c r="BH22" s="345" cm="1">
        <f t="array" aca="1" ref="BH22" ca="1">SUMPRODUCT(BH$54:BH$113,TRANSPOSE(SAP_Speadsheet!$E$78:$BL$78))</f>
        <v>0</v>
      </c>
      <c r="BI22" s="345" cm="1">
        <f t="array" aca="1" ref="BI22" ca="1">SUMPRODUCT(BI$54:BI$113,TRANSPOSE(SAP_Speadsheet!$E$78:$BL$78))</f>
        <v>0</v>
      </c>
    </row>
    <row r="23" spans="1:61" x14ac:dyDescent="0.15">
      <c r="A23" s="346" t="s">
        <v>216</v>
      </c>
      <c r="B23" s="340" cm="1">
        <f t="array" aca="1" ref="B23" ca="1">SUMPRODUCT(B$54:B$113,TRANSPOSE(SAP_Speadsheet!$E$80:$BL$80))</f>
        <v>0</v>
      </c>
      <c r="C23" s="340" cm="1">
        <f t="array" aca="1" ref="C23" ca="1">SUMPRODUCT(C$54:C$113,TRANSPOSE(SAP_Speadsheet!$E$80:$BL$80))</f>
        <v>0</v>
      </c>
      <c r="D23" s="340" cm="1">
        <f t="array" aca="1" ref="D23" ca="1">SUMPRODUCT(D$54:D$113,TRANSPOSE(SAP_Speadsheet!$E$80:$BL$80))</f>
        <v>0</v>
      </c>
      <c r="E23" s="340" cm="1">
        <f t="array" aca="1" ref="E23" ca="1">SUMPRODUCT(E$54:E$113,TRANSPOSE(SAP_Speadsheet!$E$80:$BL$80))</f>
        <v>-1268.1078928139821</v>
      </c>
      <c r="F23" s="340" cm="1">
        <f t="array" aca="1" ref="F23" ca="1">SUMPRODUCT(F$54:F$113,TRANSPOSE(SAP_Speadsheet!$E$80:$BL$80))</f>
        <v>-1682.5022841508608</v>
      </c>
      <c r="G23" s="340" cm="1">
        <f t="array" aca="1" ref="G23" ca="1">SUMPRODUCT(G$54:G$113,TRANSPOSE(SAP_Speadsheet!$E$80:$BL$80))</f>
        <v>-2509.6902260351576</v>
      </c>
      <c r="H23" s="340" cm="1">
        <f t="array" aca="1" ref="H23" ca="1">SUMPRODUCT(H$54:H$113,TRANSPOSE(SAP_Speadsheet!$E$80:$BL$80))</f>
        <v>0</v>
      </c>
      <c r="I23" s="340" cm="1">
        <f t="array" aca="1" ref="I23" ca="1">SUMPRODUCT(I$54:I$113,TRANSPOSE(SAP_Speadsheet!$E$80:$BL$80))</f>
        <v>0</v>
      </c>
      <c r="J23" s="340" cm="1">
        <f t="array" aca="1" ref="J23" ca="1">SUMPRODUCT(J$54:J$113,TRANSPOSE(SAP_Speadsheet!$E$80:$BL$80))</f>
        <v>0</v>
      </c>
      <c r="K23" s="340" cm="1">
        <f t="array" aca="1" ref="K23" ca="1">SUMPRODUCT(K$54:K$113,TRANSPOSE(SAP_Speadsheet!$E$80:$BL$80))</f>
        <v>0</v>
      </c>
      <c r="L23" s="340" cm="1">
        <f t="array" aca="1" ref="L23" ca="1">SUMPRODUCT(L$54:L$113,TRANSPOSE(SAP_Speadsheet!$E$80:$BL$80))</f>
        <v>0</v>
      </c>
      <c r="M23" s="340" cm="1">
        <f t="array" aca="1" ref="M23" ca="1">SUMPRODUCT(M$54:M$113,TRANSPOSE(SAP_Speadsheet!$E$80:$BL$80))</f>
        <v>0</v>
      </c>
      <c r="N23" s="340" cm="1">
        <f t="array" aca="1" ref="N23" ca="1">SUMPRODUCT(N$54:N$113,TRANSPOSE(SAP_Speadsheet!$E$80:$BL$80))</f>
        <v>0</v>
      </c>
      <c r="O23" s="340" cm="1">
        <f t="array" aca="1" ref="O23" ca="1">SUMPRODUCT(O$54:O$113,TRANSPOSE(SAP_Speadsheet!$E$80:$BL$80))</f>
        <v>0</v>
      </c>
      <c r="P23" s="340" cm="1">
        <f t="array" aca="1" ref="P23" ca="1">SUMPRODUCT(P$54:P$113,TRANSPOSE(SAP_Speadsheet!$E$80:$BL$80))</f>
        <v>0</v>
      </c>
      <c r="Q23" s="340" cm="1">
        <f t="array" aca="1" ref="Q23" ca="1">SUMPRODUCT(Q$54:Q$113,TRANSPOSE(SAP_Speadsheet!$E$80:$BL$80))</f>
        <v>0</v>
      </c>
      <c r="R23" s="340" cm="1">
        <f t="array" aca="1" ref="R23" ca="1">SUMPRODUCT(R$54:R$113,TRANSPOSE(SAP_Speadsheet!$E$80:$BL$80))</f>
        <v>0</v>
      </c>
      <c r="S23" s="340" cm="1">
        <f t="array" aca="1" ref="S23" ca="1">SUMPRODUCT(S$54:S$113,TRANSPOSE(SAP_Speadsheet!$E$80:$BL$80))</f>
        <v>0</v>
      </c>
      <c r="T23" s="340" cm="1">
        <f t="array" aca="1" ref="T23" ca="1">SUMPRODUCT(T$54:T$113,TRANSPOSE(SAP_Speadsheet!$E$80:$BL$80))</f>
        <v>0</v>
      </c>
      <c r="U23" s="340" cm="1">
        <f t="array" aca="1" ref="U23" ca="1">SUMPRODUCT(U$54:U$113,TRANSPOSE(SAP_Speadsheet!$E$80:$BL$80))</f>
        <v>0</v>
      </c>
      <c r="V23" s="340" cm="1">
        <f t="array" aca="1" ref="V23" ca="1">SUMPRODUCT(V$54:V$113,TRANSPOSE(SAP_Speadsheet!$E$80:$BL$80))</f>
        <v>0</v>
      </c>
      <c r="W23" s="340" cm="1">
        <f t="array" aca="1" ref="W23" ca="1">SUMPRODUCT(W$54:W$113,TRANSPOSE(SAP_Speadsheet!$E$80:$BL$80))</f>
        <v>0</v>
      </c>
      <c r="X23" s="340" cm="1">
        <f t="array" aca="1" ref="X23" ca="1">SUMPRODUCT(X$54:X$113,TRANSPOSE(SAP_Speadsheet!$E$80:$BL$80))</f>
        <v>0</v>
      </c>
      <c r="Y23" s="340" cm="1">
        <f t="array" aca="1" ref="Y23" ca="1">SUMPRODUCT(Y$54:Y$113,TRANSPOSE(SAP_Speadsheet!$E$80:$BL$80))</f>
        <v>0</v>
      </c>
      <c r="Z23" s="340" cm="1">
        <f t="array" aca="1" ref="Z23" ca="1">SUMPRODUCT(Z$54:Z$113,TRANSPOSE(SAP_Speadsheet!$E$80:$BL$80))</f>
        <v>0</v>
      </c>
      <c r="AA23" s="340" cm="1">
        <f t="array" aca="1" ref="AA23" ca="1">SUMPRODUCT(AA$54:AA$113,TRANSPOSE(SAP_Speadsheet!$E$80:$BL$80))</f>
        <v>0</v>
      </c>
      <c r="AB23" s="340" cm="1">
        <f t="array" aca="1" ref="AB23" ca="1">SUMPRODUCT(AB$54:AB$113,TRANSPOSE(SAP_Speadsheet!$E$80:$BL$80))</f>
        <v>0</v>
      </c>
      <c r="AC23" s="340" cm="1">
        <f t="array" aca="1" ref="AC23" ca="1">SUMPRODUCT(AC$54:AC$113,TRANSPOSE(SAP_Speadsheet!$E$80:$BL$80))</f>
        <v>0</v>
      </c>
      <c r="AD23" s="340" cm="1">
        <f t="array" aca="1" ref="AD23" ca="1">SUMPRODUCT(AD$54:AD$113,TRANSPOSE(SAP_Speadsheet!$E$80:$BL$80))</f>
        <v>0</v>
      </c>
      <c r="AE23" s="340" cm="1">
        <f t="array" aca="1" ref="AE23" ca="1">SUMPRODUCT(AE$54:AE$113,TRANSPOSE(SAP_Speadsheet!$E$80:$BL$80))</f>
        <v>0</v>
      </c>
      <c r="AF23" s="340" cm="1">
        <f t="array" aca="1" ref="AF23" ca="1">SUMPRODUCT(AF$54:AF$113,TRANSPOSE(SAP_Speadsheet!$E$80:$BL$80))</f>
        <v>0</v>
      </c>
      <c r="AG23" s="340" cm="1">
        <f t="array" aca="1" ref="AG23" ca="1">SUMPRODUCT(AG$54:AG$113,TRANSPOSE(SAP_Speadsheet!$E$80:$BL$80))</f>
        <v>0</v>
      </c>
      <c r="AH23" s="340" cm="1">
        <f t="array" aca="1" ref="AH23" ca="1">SUMPRODUCT(AH$54:AH$113,TRANSPOSE(SAP_Speadsheet!$E$80:$BL$80))</f>
        <v>0</v>
      </c>
      <c r="AI23" s="340" cm="1">
        <f t="array" aca="1" ref="AI23" ca="1">SUMPRODUCT(AI$54:AI$113,TRANSPOSE(SAP_Speadsheet!$E$80:$BL$80))</f>
        <v>0</v>
      </c>
      <c r="AJ23" s="340" cm="1">
        <f t="array" aca="1" ref="AJ23" ca="1">SUMPRODUCT(AJ$54:AJ$113,TRANSPOSE(SAP_Speadsheet!$E$80:$BL$80))</f>
        <v>0</v>
      </c>
      <c r="AK23" s="340" cm="1">
        <f t="array" aca="1" ref="AK23" ca="1">SUMPRODUCT(AK$54:AK$113,TRANSPOSE(SAP_Speadsheet!$E$80:$BL$80))</f>
        <v>0</v>
      </c>
      <c r="AL23" s="340" cm="1">
        <f t="array" aca="1" ref="AL23" ca="1">SUMPRODUCT(AL$54:AL$113,TRANSPOSE(SAP_Speadsheet!$E$80:$BL$80))</f>
        <v>0</v>
      </c>
      <c r="AM23" s="340" cm="1">
        <f t="array" aca="1" ref="AM23" ca="1">SUMPRODUCT(AM$54:AM$113,TRANSPOSE(SAP_Speadsheet!$E$80:$BL$80))</f>
        <v>0</v>
      </c>
      <c r="AN23" s="340" cm="1">
        <f t="array" aca="1" ref="AN23" ca="1">SUMPRODUCT(AN$54:AN$113,TRANSPOSE(SAP_Speadsheet!$E$80:$BL$80))</f>
        <v>0</v>
      </c>
      <c r="AO23" s="340" cm="1">
        <f t="array" aca="1" ref="AO23" ca="1">SUMPRODUCT(AO$54:AO$113,TRANSPOSE(SAP_Speadsheet!$E$80:$BL$80))</f>
        <v>0</v>
      </c>
      <c r="AP23" s="340" cm="1">
        <f t="array" aca="1" ref="AP23" ca="1">SUMPRODUCT(AP$54:AP$113,TRANSPOSE(SAP_Speadsheet!$E$80:$BL$80))</f>
        <v>0</v>
      </c>
      <c r="AQ23" s="340" cm="1">
        <f t="array" aca="1" ref="AQ23" ca="1">SUMPRODUCT(AQ$54:AQ$113,TRANSPOSE(SAP_Speadsheet!$E$80:$BL$80))</f>
        <v>0</v>
      </c>
      <c r="AR23" s="340" cm="1">
        <f t="array" aca="1" ref="AR23" ca="1">SUMPRODUCT(AR$54:AR$113,TRANSPOSE(SAP_Speadsheet!$E$80:$BL$80))</f>
        <v>0</v>
      </c>
      <c r="AS23" s="340" cm="1">
        <f t="array" aca="1" ref="AS23" ca="1">SUMPRODUCT(AS$54:AS$113,TRANSPOSE(SAP_Speadsheet!$E$80:$BL$80))</f>
        <v>0</v>
      </c>
      <c r="AT23" s="340" cm="1">
        <f t="array" aca="1" ref="AT23" ca="1">SUMPRODUCT(AT$54:AT$113,TRANSPOSE(SAP_Speadsheet!$E$80:$BL$80))</f>
        <v>0</v>
      </c>
      <c r="AU23" s="340" cm="1">
        <f t="array" aca="1" ref="AU23" ca="1">SUMPRODUCT(AU$54:AU$113,TRANSPOSE(SAP_Speadsheet!$E$80:$BL$80))</f>
        <v>0</v>
      </c>
      <c r="AV23" s="340" cm="1">
        <f t="array" aca="1" ref="AV23" ca="1">SUMPRODUCT(AV$54:AV$113,TRANSPOSE(SAP_Speadsheet!$E$80:$BL$80))</f>
        <v>0</v>
      </c>
      <c r="AW23" s="340" cm="1">
        <f t="array" aca="1" ref="AW23" ca="1">SUMPRODUCT(AW$54:AW$113,TRANSPOSE(SAP_Speadsheet!$E$80:$BL$80))</f>
        <v>0</v>
      </c>
      <c r="AX23" s="340" cm="1">
        <f t="array" aca="1" ref="AX23" ca="1">SUMPRODUCT(AX$54:AX$113,TRANSPOSE(SAP_Speadsheet!$E$80:$BL$80))</f>
        <v>0</v>
      </c>
      <c r="AY23" s="340" cm="1">
        <f t="array" aca="1" ref="AY23" ca="1">SUMPRODUCT(AY$54:AY$113,TRANSPOSE(SAP_Speadsheet!$E$80:$BL$80))</f>
        <v>0</v>
      </c>
      <c r="AZ23" s="340" cm="1">
        <f t="array" aca="1" ref="AZ23" ca="1">SUMPRODUCT(AZ$54:AZ$113,TRANSPOSE(SAP_Speadsheet!$E$80:$BL$80))</f>
        <v>0</v>
      </c>
      <c r="BA23" s="340" cm="1">
        <f t="array" aca="1" ref="BA23" ca="1">SUMPRODUCT(BA$54:BA$113,TRANSPOSE(SAP_Speadsheet!$E$80:$BL$80))</f>
        <v>0</v>
      </c>
      <c r="BB23" s="340" cm="1">
        <f t="array" aca="1" ref="BB23" ca="1">SUMPRODUCT(BB$54:BB$113,TRANSPOSE(SAP_Speadsheet!$E$80:$BL$80))</f>
        <v>0</v>
      </c>
      <c r="BC23" s="340" cm="1">
        <f t="array" aca="1" ref="BC23" ca="1">SUMPRODUCT(BC$54:BC$113,TRANSPOSE(SAP_Speadsheet!$E$80:$BL$80))</f>
        <v>0</v>
      </c>
      <c r="BD23" s="340" cm="1">
        <f t="array" aca="1" ref="BD23" ca="1">SUMPRODUCT(BD$54:BD$113,TRANSPOSE(SAP_Speadsheet!$E$80:$BL$80))</f>
        <v>0</v>
      </c>
      <c r="BE23" s="340" cm="1">
        <f t="array" aca="1" ref="BE23" ca="1">SUMPRODUCT(BE$54:BE$113,TRANSPOSE(SAP_Speadsheet!$E$80:$BL$80))</f>
        <v>0</v>
      </c>
      <c r="BF23" s="340" cm="1">
        <f t="array" aca="1" ref="BF23" ca="1">SUMPRODUCT(BF$54:BF$113,TRANSPOSE(SAP_Speadsheet!$E$80:$BL$80))</f>
        <v>0</v>
      </c>
      <c r="BG23" s="340" cm="1">
        <f t="array" aca="1" ref="BG23" ca="1">SUMPRODUCT(BG$54:BG$113,TRANSPOSE(SAP_Speadsheet!$E$80:$BL$80))</f>
        <v>0</v>
      </c>
      <c r="BH23" s="340" cm="1">
        <f t="array" aca="1" ref="BH23" ca="1">SUMPRODUCT(BH$54:BH$113,TRANSPOSE(SAP_Speadsheet!$E$80:$BL$80))</f>
        <v>0</v>
      </c>
      <c r="BI23" s="340" cm="1">
        <f t="array" aca="1" ref="BI23" ca="1">SUMPRODUCT(BI$54:BI$113,TRANSPOSE(SAP_Speadsheet!$E$80:$BL$80))</f>
        <v>0</v>
      </c>
    </row>
    <row r="24" spans="1:61" x14ac:dyDescent="0.15">
      <c r="A24" s="334" t="s">
        <v>236</v>
      </c>
      <c r="B24" s="345" cm="1">
        <f t="array" aca="1" ref="B24" ca="1">SUMPRODUCT(B$54:B$113,TRANSPOSE(SAP_Speadsheet!$E$81:$BL$81))</f>
        <v>0</v>
      </c>
      <c r="C24" s="345" cm="1">
        <f t="array" aca="1" ref="C24" ca="1">SUMPRODUCT(C$54:C$113,TRANSPOSE(SAP_Speadsheet!$E$81:$BL$81))</f>
        <v>0</v>
      </c>
      <c r="D24" s="345" cm="1">
        <f t="array" aca="1" ref="D24" ca="1">SUMPRODUCT(D$54:D$113,TRANSPOSE(SAP_Speadsheet!$E$81:$BL$81))</f>
        <v>0</v>
      </c>
      <c r="E24" s="345" cm="1">
        <f t="array" aca="1" ref="E24" ca="1">SUMPRODUCT(E$54:E$113,TRANSPOSE(SAP_Speadsheet!$E$81:$BL$81))</f>
        <v>-723.10789281398183</v>
      </c>
      <c r="F24" s="345" cm="1">
        <f t="array" aca="1" ref="F24" ca="1">SUMPRODUCT(F$54:F$113,TRANSPOSE(SAP_Speadsheet!$E$81:$BL$81))</f>
        <v>-959.40628415086053</v>
      </c>
      <c r="G24" s="345" cm="1">
        <f t="array" aca="1" ref="G24" ca="1">SUMPRODUCT(G$54:G$113,TRANSPOSE(SAP_Speadsheet!$E$81:$BL$81))</f>
        <v>-1431.0902260351575</v>
      </c>
      <c r="H24" s="345" cm="1">
        <f t="array" aca="1" ref="H24" ca="1">SUMPRODUCT(H$54:H$113,TRANSPOSE(SAP_Speadsheet!$E$81:$BL$81))</f>
        <v>0</v>
      </c>
      <c r="I24" s="345" cm="1">
        <f t="array" aca="1" ref="I24" ca="1">SUMPRODUCT(I$54:I$113,TRANSPOSE(SAP_Speadsheet!$E$81:$BL$81))</f>
        <v>0</v>
      </c>
      <c r="J24" s="345" cm="1">
        <f t="array" aca="1" ref="J24" ca="1">SUMPRODUCT(J$54:J$113,TRANSPOSE(SAP_Speadsheet!$E$81:$BL$81))</f>
        <v>0</v>
      </c>
      <c r="K24" s="345" cm="1">
        <f t="array" aca="1" ref="K24" ca="1">SUMPRODUCT(K$54:K$113,TRANSPOSE(SAP_Speadsheet!$E$81:$BL$81))</f>
        <v>0</v>
      </c>
      <c r="L24" s="345" cm="1">
        <f t="array" aca="1" ref="L24" ca="1">SUMPRODUCT(L$54:L$113,TRANSPOSE(SAP_Speadsheet!$E$81:$BL$81))</f>
        <v>0</v>
      </c>
      <c r="M24" s="345" cm="1">
        <f t="array" aca="1" ref="M24" ca="1">SUMPRODUCT(M$54:M$113,TRANSPOSE(SAP_Speadsheet!$E$81:$BL$81))</f>
        <v>0</v>
      </c>
      <c r="N24" s="345" cm="1">
        <f t="array" aca="1" ref="N24" ca="1">SUMPRODUCT(N$54:N$113,TRANSPOSE(SAP_Speadsheet!$E$81:$BL$81))</f>
        <v>0</v>
      </c>
      <c r="O24" s="345" cm="1">
        <f t="array" aca="1" ref="O24" ca="1">SUMPRODUCT(O$54:O$113,TRANSPOSE(SAP_Speadsheet!$E$81:$BL$81))</f>
        <v>0</v>
      </c>
      <c r="P24" s="345" cm="1">
        <f t="array" aca="1" ref="P24" ca="1">SUMPRODUCT(P$54:P$113,TRANSPOSE(SAP_Speadsheet!$E$81:$BL$81))</f>
        <v>0</v>
      </c>
      <c r="Q24" s="345" cm="1">
        <f t="array" aca="1" ref="Q24" ca="1">SUMPRODUCT(Q$54:Q$113,TRANSPOSE(SAP_Speadsheet!$E$81:$BL$81))</f>
        <v>0</v>
      </c>
      <c r="R24" s="345" cm="1">
        <f t="array" aca="1" ref="R24" ca="1">SUMPRODUCT(R$54:R$113,TRANSPOSE(SAP_Speadsheet!$E$81:$BL$81))</f>
        <v>0</v>
      </c>
      <c r="S24" s="345" cm="1">
        <f t="array" aca="1" ref="S24" ca="1">SUMPRODUCT(S$54:S$113,TRANSPOSE(SAP_Speadsheet!$E$81:$BL$81))</f>
        <v>0</v>
      </c>
      <c r="T24" s="345" cm="1">
        <f t="array" aca="1" ref="T24" ca="1">SUMPRODUCT(T$54:T$113,TRANSPOSE(SAP_Speadsheet!$E$81:$BL$81))</f>
        <v>0</v>
      </c>
      <c r="U24" s="345" cm="1">
        <f t="array" aca="1" ref="U24" ca="1">SUMPRODUCT(U$54:U$113,TRANSPOSE(SAP_Speadsheet!$E$81:$BL$81))</f>
        <v>0</v>
      </c>
      <c r="V24" s="345" cm="1">
        <f t="array" aca="1" ref="V24" ca="1">SUMPRODUCT(V$54:V$113,TRANSPOSE(SAP_Speadsheet!$E$81:$BL$81))</f>
        <v>0</v>
      </c>
      <c r="W24" s="345" cm="1">
        <f t="array" aca="1" ref="W24" ca="1">SUMPRODUCT(W$54:W$113,TRANSPOSE(SAP_Speadsheet!$E$81:$BL$81))</f>
        <v>0</v>
      </c>
      <c r="X24" s="345" cm="1">
        <f t="array" aca="1" ref="X24" ca="1">SUMPRODUCT(X$54:X$113,TRANSPOSE(SAP_Speadsheet!$E$81:$BL$81))</f>
        <v>0</v>
      </c>
      <c r="Y24" s="345" cm="1">
        <f t="array" aca="1" ref="Y24" ca="1">SUMPRODUCT(Y$54:Y$113,TRANSPOSE(SAP_Speadsheet!$E$81:$BL$81))</f>
        <v>0</v>
      </c>
      <c r="Z24" s="345" cm="1">
        <f t="array" aca="1" ref="Z24" ca="1">SUMPRODUCT(Z$54:Z$113,TRANSPOSE(SAP_Speadsheet!$E$81:$BL$81))</f>
        <v>0</v>
      </c>
      <c r="AA24" s="345" cm="1">
        <f t="array" aca="1" ref="AA24" ca="1">SUMPRODUCT(AA$54:AA$113,TRANSPOSE(SAP_Speadsheet!$E$81:$BL$81))</f>
        <v>0</v>
      </c>
      <c r="AB24" s="345" cm="1">
        <f t="array" aca="1" ref="AB24" ca="1">SUMPRODUCT(AB$54:AB$113,TRANSPOSE(SAP_Speadsheet!$E$81:$BL$81))</f>
        <v>0</v>
      </c>
      <c r="AC24" s="345" cm="1">
        <f t="array" aca="1" ref="AC24" ca="1">SUMPRODUCT(AC$54:AC$113,TRANSPOSE(SAP_Speadsheet!$E$81:$BL$81))</f>
        <v>0</v>
      </c>
      <c r="AD24" s="345" cm="1">
        <f t="array" aca="1" ref="AD24" ca="1">SUMPRODUCT(AD$54:AD$113,TRANSPOSE(SAP_Speadsheet!$E$81:$BL$81))</f>
        <v>0</v>
      </c>
      <c r="AE24" s="345" cm="1">
        <f t="array" aca="1" ref="AE24" ca="1">SUMPRODUCT(AE$54:AE$113,TRANSPOSE(SAP_Speadsheet!$E$81:$BL$81))</f>
        <v>0</v>
      </c>
      <c r="AF24" s="345" cm="1">
        <f t="array" aca="1" ref="AF24" ca="1">SUMPRODUCT(AF$54:AF$113,TRANSPOSE(SAP_Speadsheet!$E$81:$BL$81))</f>
        <v>0</v>
      </c>
      <c r="AG24" s="345" cm="1">
        <f t="array" aca="1" ref="AG24" ca="1">SUMPRODUCT(AG$54:AG$113,TRANSPOSE(SAP_Speadsheet!$E$81:$BL$81))</f>
        <v>0</v>
      </c>
      <c r="AH24" s="345" cm="1">
        <f t="array" aca="1" ref="AH24" ca="1">SUMPRODUCT(AH$54:AH$113,TRANSPOSE(SAP_Speadsheet!$E$81:$BL$81))</f>
        <v>0</v>
      </c>
      <c r="AI24" s="345" cm="1">
        <f t="array" aca="1" ref="AI24" ca="1">SUMPRODUCT(AI$54:AI$113,TRANSPOSE(SAP_Speadsheet!$E$81:$BL$81))</f>
        <v>0</v>
      </c>
      <c r="AJ24" s="345" cm="1">
        <f t="array" aca="1" ref="AJ24" ca="1">SUMPRODUCT(AJ$54:AJ$113,TRANSPOSE(SAP_Speadsheet!$E$81:$BL$81))</f>
        <v>0</v>
      </c>
      <c r="AK24" s="345" cm="1">
        <f t="array" aca="1" ref="AK24" ca="1">SUMPRODUCT(AK$54:AK$113,TRANSPOSE(SAP_Speadsheet!$E$81:$BL$81))</f>
        <v>0</v>
      </c>
      <c r="AL24" s="345" cm="1">
        <f t="array" aca="1" ref="AL24" ca="1">SUMPRODUCT(AL$54:AL$113,TRANSPOSE(SAP_Speadsheet!$E$81:$BL$81))</f>
        <v>0</v>
      </c>
      <c r="AM24" s="345" cm="1">
        <f t="array" aca="1" ref="AM24" ca="1">SUMPRODUCT(AM$54:AM$113,TRANSPOSE(SAP_Speadsheet!$E$81:$BL$81))</f>
        <v>0</v>
      </c>
      <c r="AN24" s="345" cm="1">
        <f t="array" aca="1" ref="AN24" ca="1">SUMPRODUCT(AN$54:AN$113,TRANSPOSE(SAP_Speadsheet!$E$81:$BL$81))</f>
        <v>0</v>
      </c>
      <c r="AO24" s="345" cm="1">
        <f t="array" aca="1" ref="AO24" ca="1">SUMPRODUCT(AO$54:AO$113,TRANSPOSE(SAP_Speadsheet!$E$81:$BL$81))</f>
        <v>0</v>
      </c>
      <c r="AP24" s="345" cm="1">
        <f t="array" aca="1" ref="AP24" ca="1">SUMPRODUCT(AP$54:AP$113,TRANSPOSE(SAP_Speadsheet!$E$81:$BL$81))</f>
        <v>0</v>
      </c>
      <c r="AQ24" s="345" cm="1">
        <f t="array" aca="1" ref="AQ24" ca="1">SUMPRODUCT(AQ$54:AQ$113,TRANSPOSE(SAP_Speadsheet!$E$81:$BL$81))</f>
        <v>0</v>
      </c>
      <c r="AR24" s="345" cm="1">
        <f t="array" aca="1" ref="AR24" ca="1">SUMPRODUCT(AR$54:AR$113,TRANSPOSE(SAP_Speadsheet!$E$81:$BL$81))</f>
        <v>0</v>
      </c>
      <c r="AS24" s="345" cm="1">
        <f t="array" aca="1" ref="AS24" ca="1">SUMPRODUCT(AS$54:AS$113,TRANSPOSE(SAP_Speadsheet!$E$81:$BL$81))</f>
        <v>0</v>
      </c>
      <c r="AT24" s="345" cm="1">
        <f t="array" aca="1" ref="AT24" ca="1">SUMPRODUCT(AT$54:AT$113,TRANSPOSE(SAP_Speadsheet!$E$81:$BL$81))</f>
        <v>0</v>
      </c>
      <c r="AU24" s="345" cm="1">
        <f t="array" aca="1" ref="AU24" ca="1">SUMPRODUCT(AU$54:AU$113,TRANSPOSE(SAP_Speadsheet!$E$81:$BL$81))</f>
        <v>0</v>
      </c>
      <c r="AV24" s="345" cm="1">
        <f t="array" aca="1" ref="AV24" ca="1">SUMPRODUCT(AV$54:AV$113,TRANSPOSE(SAP_Speadsheet!$E$81:$BL$81))</f>
        <v>0</v>
      </c>
      <c r="AW24" s="345" cm="1">
        <f t="array" aca="1" ref="AW24" ca="1">SUMPRODUCT(AW$54:AW$113,TRANSPOSE(SAP_Speadsheet!$E$81:$BL$81))</f>
        <v>0</v>
      </c>
      <c r="AX24" s="345" cm="1">
        <f t="array" aca="1" ref="AX24" ca="1">SUMPRODUCT(AX$54:AX$113,TRANSPOSE(SAP_Speadsheet!$E$81:$BL$81))</f>
        <v>0</v>
      </c>
      <c r="AY24" s="345" cm="1">
        <f t="array" aca="1" ref="AY24" ca="1">SUMPRODUCT(AY$54:AY$113,TRANSPOSE(SAP_Speadsheet!$E$81:$BL$81))</f>
        <v>0</v>
      </c>
      <c r="AZ24" s="345" cm="1">
        <f t="array" aca="1" ref="AZ24" ca="1">SUMPRODUCT(AZ$54:AZ$113,TRANSPOSE(SAP_Speadsheet!$E$81:$BL$81))</f>
        <v>0</v>
      </c>
      <c r="BA24" s="345" cm="1">
        <f t="array" aca="1" ref="BA24" ca="1">SUMPRODUCT(BA$54:BA$113,TRANSPOSE(SAP_Speadsheet!$E$81:$BL$81))</f>
        <v>0</v>
      </c>
      <c r="BB24" s="345" cm="1">
        <f t="array" aca="1" ref="BB24" ca="1">SUMPRODUCT(BB$54:BB$113,TRANSPOSE(SAP_Speadsheet!$E$81:$BL$81))</f>
        <v>0</v>
      </c>
      <c r="BC24" s="345" cm="1">
        <f t="array" aca="1" ref="BC24" ca="1">SUMPRODUCT(BC$54:BC$113,TRANSPOSE(SAP_Speadsheet!$E$81:$BL$81))</f>
        <v>0</v>
      </c>
      <c r="BD24" s="345" cm="1">
        <f t="array" aca="1" ref="BD24" ca="1">SUMPRODUCT(BD$54:BD$113,TRANSPOSE(SAP_Speadsheet!$E$81:$BL$81))</f>
        <v>0</v>
      </c>
      <c r="BE24" s="345" cm="1">
        <f t="array" aca="1" ref="BE24" ca="1">SUMPRODUCT(BE$54:BE$113,TRANSPOSE(SAP_Speadsheet!$E$81:$BL$81))</f>
        <v>0</v>
      </c>
      <c r="BF24" s="345" cm="1">
        <f t="array" aca="1" ref="BF24" ca="1">SUMPRODUCT(BF$54:BF$113,TRANSPOSE(SAP_Speadsheet!$E$81:$BL$81))</f>
        <v>0</v>
      </c>
      <c r="BG24" s="345" cm="1">
        <f t="array" aca="1" ref="BG24" ca="1">SUMPRODUCT(BG$54:BG$113,TRANSPOSE(SAP_Speadsheet!$E$81:$BL$81))</f>
        <v>0</v>
      </c>
      <c r="BH24" s="345" cm="1">
        <f t="array" aca="1" ref="BH24" ca="1">SUMPRODUCT(BH$54:BH$113,TRANSPOSE(SAP_Speadsheet!$E$81:$BL$81))</f>
        <v>0</v>
      </c>
      <c r="BI24" s="345" cm="1">
        <f t="array" aca="1" ref="BI24" ca="1">SUMPRODUCT(BI$54:BI$113,TRANSPOSE(SAP_Speadsheet!$E$81:$BL$81))</f>
        <v>0</v>
      </c>
    </row>
    <row r="25" spans="1:61" x14ac:dyDescent="0.15">
      <c r="A25" s="334" t="s">
        <v>237</v>
      </c>
      <c r="B25" s="345" cm="1">
        <f t="array" aca="1" ref="B25" ca="1">SUMPRODUCT(B$54:B$113,TRANSPOSE(SAP_Speadsheet!$E$82:$BL$82))</f>
        <v>0</v>
      </c>
      <c r="C25" s="345" cm="1">
        <f t="array" aca="1" ref="C25" ca="1">SUMPRODUCT(C$54:C$113,TRANSPOSE(SAP_Speadsheet!$E$82:$BL$82))</f>
        <v>0</v>
      </c>
      <c r="D25" s="345" cm="1">
        <f t="array" aca="1" ref="D25" ca="1">SUMPRODUCT(D$54:D$113,TRANSPOSE(SAP_Speadsheet!$E$82:$BL$82))</f>
        <v>0</v>
      </c>
      <c r="E25" s="345" cm="1">
        <f t="array" aca="1" ref="E25" ca="1">SUMPRODUCT(E$54:E$113,TRANSPOSE(SAP_Speadsheet!$E$82:$BL$82))</f>
        <v>-545</v>
      </c>
      <c r="F25" s="345" cm="1">
        <f t="array" aca="1" ref="F25" ca="1">SUMPRODUCT(F$54:F$113,TRANSPOSE(SAP_Speadsheet!$E$82:$BL$82))</f>
        <v>-723.096</v>
      </c>
      <c r="G25" s="345" cm="1">
        <f t="array" aca="1" ref="G25" ca="1">SUMPRODUCT(G$54:G$113,TRANSPOSE(SAP_Speadsheet!$E$82:$BL$82))</f>
        <v>-1078.5999999999999</v>
      </c>
      <c r="H25" s="345" cm="1">
        <f t="array" aca="1" ref="H25" ca="1">SUMPRODUCT(H$54:H$113,TRANSPOSE(SAP_Speadsheet!$E$82:$BL$82))</f>
        <v>0</v>
      </c>
      <c r="I25" s="345" cm="1">
        <f t="array" aca="1" ref="I25" ca="1">SUMPRODUCT(I$54:I$113,TRANSPOSE(SAP_Speadsheet!$E$82:$BL$82))</f>
        <v>0</v>
      </c>
      <c r="J25" s="345" cm="1">
        <f t="array" aca="1" ref="J25" ca="1">SUMPRODUCT(J$54:J$113,TRANSPOSE(SAP_Speadsheet!$E$82:$BL$82))</f>
        <v>0</v>
      </c>
      <c r="K25" s="345" cm="1">
        <f t="array" aca="1" ref="K25" ca="1">SUMPRODUCT(K$54:K$113,TRANSPOSE(SAP_Speadsheet!$E$82:$BL$82))</f>
        <v>0</v>
      </c>
      <c r="L25" s="345" cm="1">
        <f t="array" aca="1" ref="L25" ca="1">SUMPRODUCT(L$54:L$113,TRANSPOSE(SAP_Speadsheet!$E$82:$BL$82))</f>
        <v>0</v>
      </c>
      <c r="M25" s="345" cm="1">
        <f t="array" aca="1" ref="M25" ca="1">SUMPRODUCT(M$54:M$113,TRANSPOSE(SAP_Speadsheet!$E$82:$BL$82))</f>
        <v>0</v>
      </c>
      <c r="N25" s="345" cm="1">
        <f t="array" aca="1" ref="N25" ca="1">SUMPRODUCT(N$54:N$113,TRANSPOSE(SAP_Speadsheet!$E$82:$BL$82))</f>
        <v>0</v>
      </c>
      <c r="O25" s="345" cm="1">
        <f t="array" aca="1" ref="O25" ca="1">SUMPRODUCT(O$54:O$113,TRANSPOSE(SAP_Speadsheet!$E$82:$BL$82))</f>
        <v>0</v>
      </c>
      <c r="P25" s="345" cm="1">
        <f t="array" aca="1" ref="P25" ca="1">SUMPRODUCT(P$54:P$113,TRANSPOSE(SAP_Speadsheet!$E$82:$BL$82))</f>
        <v>0</v>
      </c>
      <c r="Q25" s="345" cm="1">
        <f t="array" aca="1" ref="Q25" ca="1">SUMPRODUCT(Q$54:Q$113,TRANSPOSE(SAP_Speadsheet!$E$82:$BL$82))</f>
        <v>0</v>
      </c>
      <c r="R25" s="345" cm="1">
        <f t="array" aca="1" ref="R25" ca="1">SUMPRODUCT(R$54:R$113,TRANSPOSE(SAP_Speadsheet!$E$82:$BL$82))</f>
        <v>0</v>
      </c>
      <c r="S25" s="345" cm="1">
        <f t="array" aca="1" ref="S25" ca="1">SUMPRODUCT(S$54:S$113,TRANSPOSE(SAP_Speadsheet!$E$82:$BL$82))</f>
        <v>0</v>
      </c>
      <c r="T25" s="345" cm="1">
        <f t="array" aca="1" ref="T25" ca="1">SUMPRODUCT(T$54:T$113,TRANSPOSE(SAP_Speadsheet!$E$82:$BL$82))</f>
        <v>0</v>
      </c>
      <c r="U25" s="345" cm="1">
        <f t="array" aca="1" ref="U25" ca="1">SUMPRODUCT(U$54:U$113,TRANSPOSE(SAP_Speadsheet!$E$82:$BL$82))</f>
        <v>0</v>
      </c>
      <c r="V25" s="345" cm="1">
        <f t="array" aca="1" ref="V25" ca="1">SUMPRODUCT(V$54:V$113,TRANSPOSE(SAP_Speadsheet!$E$82:$BL$82))</f>
        <v>0</v>
      </c>
      <c r="W25" s="345" cm="1">
        <f t="array" aca="1" ref="W25" ca="1">SUMPRODUCT(W$54:W$113,TRANSPOSE(SAP_Speadsheet!$E$82:$BL$82))</f>
        <v>0</v>
      </c>
      <c r="X25" s="345" cm="1">
        <f t="array" aca="1" ref="X25" ca="1">SUMPRODUCT(X$54:X$113,TRANSPOSE(SAP_Speadsheet!$E$82:$BL$82))</f>
        <v>0</v>
      </c>
      <c r="Y25" s="345" cm="1">
        <f t="array" aca="1" ref="Y25" ca="1">SUMPRODUCT(Y$54:Y$113,TRANSPOSE(SAP_Speadsheet!$E$82:$BL$82))</f>
        <v>0</v>
      </c>
      <c r="Z25" s="345" cm="1">
        <f t="array" aca="1" ref="Z25" ca="1">SUMPRODUCT(Z$54:Z$113,TRANSPOSE(SAP_Speadsheet!$E$82:$BL$82))</f>
        <v>0</v>
      </c>
      <c r="AA25" s="345" cm="1">
        <f t="array" aca="1" ref="AA25" ca="1">SUMPRODUCT(AA$54:AA$113,TRANSPOSE(SAP_Speadsheet!$E$82:$BL$82))</f>
        <v>0</v>
      </c>
      <c r="AB25" s="345" cm="1">
        <f t="array" aca="1" ref="AB25" ca="1">SUMPRODUCT(AB$54:AB$113,TRANSPOSE(SAP_Speadsheet!$E$82:$BL$82))</f>
        <v>0</v>
      </c>
      <c r="AC25" s="345" cm="1">
        <f t="array" aca="1" ref="AC25" ca="1">SUMPRODUCT(AC$54:AC$113,TRANSPOSE(SAP_Speadsheet!$E$82:$BL$82))</f>
        <v>0</v>
      </c>
      <c r="AD25" s="345" cm="1">
        <f t="array" aca="1" ref="AD25" ca="1">SUMPRODUCT(AD$54:AD$113,TRANSPOSE(SAP_Speadsheet!$E$82:$BL$82))</f>
        <v>0</v>
      </c>
      <c r="AE25" s="345" cm="1">
        <f t="array" aca="1" ref="AE25" ca="1">SUMPRODUCT(AE$54:AE$113,TRANSPOSE(SAP_Speadsheet!$E$82:$BL$82))</f>
        <v>0</v>
      </c>
      <c r="AF25" s="345" cm="1">
        <f t="array" aca="1" ref="AF25" ca="1">SUMPRODUCT(AF$54:AF$113,TRANSPOSE(SAP_Speadsheet!$E$82:$BL$82))</f>
        <v>0</v>
      </c>
      <c r="AG25" s="345" cm="1">
        <f t="array" aca="1" ref="AG25" ca="1">SUMPRODUCT(AG$54:AG$113,TRANSPOSE(SAP_Speadsheet!$E$82:$BL$82))</f>
        <v>0</v>
      </c>
      <c r="AH25" s="345" cm="1">
        <f t="array" aca="1" ref="AH25" ca="1">SUMPRODUCT(AH$54:AH$113,TRANSPOSE(SAP_Speadsheet!$E$82:$BL$82))</f>
        <v>0</v>
      </c>
      <c r="AI25" s="345" cm="1">
        <f t="array" aca="1" ref="AI25" ca="1">SUMPRODUCT(AI$54:AI$113,TRANSPOSE(SAP_Speadsheet!$E$82:$BL$82))</f>
        <v>0</v>
      </c>
      <c r="AJ25" s="345" cm="1">
        <f t="array" aca="1" ref="AJ25" ca="1">SUMPRODUCT(AJ$54:AJ$113,TRANSPOSE(SAP_Speadsheet!$E$82:$BL$82))</f>
        <v>0</v>
      </c>
      <c r="AK25" s="345" cm="1">
        <f t="array" aca="1" ref="AK25" ca="1">SUMPRODUCT(AK$54:AK$113,TRANSPOSE(SAP_Speadsheet!$E$82:$BL$82))</f>
        <v>0</v>
      </c>
      <c r="AL25" s="345" cm="1">
        <f t="array" aca="1" ref="AL25" ca="1">SUMPRODUCT(AL$54:AL$113,TRANSPOSE(SAP_Speadsheet!$E$82:$BL$82))</f>
        <v>0</v>
      </c>
      <c r="AM25" s="345" cm="1">
        <f t="array" aca="1" ref="AM25" ca="1">SUMPRODUCT(AM$54:AM$113,TRANSPOSE(SAP_Speadsheet!$E$82:$BL$82))</f>
        <v>0</v>
      </c>
      <c r="AN25" s="345" cm="1">
        <f t="array" aca="1" ref="AN25" ca="1">SUMPRODUCT(AN$54:AN$113,TRANSPOSE(SAP_Speadsheet!$E$82:$BL$82))</f>
        <v>0</v>
      </c>
      <c r="AO25" s="345" cm="1">
        <f t="array" aca="1" ref="AO25" ca="1">SUMPRODUCT(AO$54:AO$113,TRANSPOSE(SAP_Speadsheet!$E$82:$BL$82))</f>
        <v>0</v>
      </c>
      <c r="AP25" s="345" cm="1">
        <f t="array" aca="1" ref="AP25" ca="1">SUMPRODUCT(AP$54:AP$113,TRANSPOSE(SAP_Speadsheet!$E$82:$BL$82))</f>
        <v>0</v>
      </c>
      <c r="AQ25" s="345" cm="1">
        <f t="array" aca="1" ref="AQ25" ca="1">SUMPRODUCT(AQ$54:AQ$113,TRANSPOSE(SAP_Speadsheet!$E$82:$BL$82))</f>
        <v>0</v>
      </c>
      <c r="AR25" s="345" cm="1">
        <f t="array" aca="1" ref="AR25" ca="1">SUMPRODUCT(AR$54:AR$113,TRANSPOSE(SAP_Speadsheet!$E$82:$BL$82))</f>
        <v>0</v>
      </c>
      <c r="AS25" s="345" cm="1">
        <f t="array" aca="1" ref="AS25" ca="1">SUMPRODUCT(AS$54:AS$113,TRANSPOSE(SAP_Speadsheet!$E$82:$BL$82))</f>
        <v>0</v>
      </c>
      <c r="AT25" s="345" cm="1">
        <f t="array" aca="1" ref="AT25" ca="1">SUMPRODUCT(AT$54:AT$113,TRANSPOSE(SAP_Speadsheet!$E$82:$BL$82))</f>
        <v>0</v>
      </c>
      <c r="AU25" s="345" cm="1">
        <f t="array" aca="1" ref="AU25" ca="1">SUMPRODUCT(AU$54:AU$113,TRANSPOSE(SAP_Speadsheet!$E$82:$BL$82))</f>
        <v>0</v>
      </c>
      <c r="AV25" s="345" cm="1">
        <f t="array" aca="1" ref="AV25" ca="1">SUMPRODUCT(AV$54:AV$113,TRANSPOSE(SAP_Speadsheet!$E$82:$BL$82))</f>
        <v>0</v>
      </c>
      <c r="AW25" s="345" cm="1">
        <f t="array" aca="1" ref="AW25" ca="1">SUMPRODUCT(AW$54:AW$113,TRANSPOSE(SAP_Speadsheet!$E$82:$BL$82))</f>
        <v>0</v>
      </c>
      <c r="AX25" s="345" cm="1">
        <f t="array" aca="1" ref="AX25" ca="1">SUMPRODUCT(AX$54:AX$113,TRANSPOSE(SAP_Speadsheet!$E$82:$BL$82))</f>
        <v>0</v>
      </c>
      <c r="AY25" s="345" cm="1">
        <f t="array" aca="1" ref="AY25" ca="1">SUMPRODUCT(AY$54:AY$113,TRANSPOSE(SAP_Speadsheet!$E$82:$BL$82))</f>
        <v>0</v>
      </c>
      <c r="AZ25" s="345" cm="1">
        <f t="array" aca="1" ref="AZ25" ca="1">SUMPRODUCT(AZ$54:AZ$113,TRANSPOSE(SAP_Speadsheet!$E$82:$BL$82))</f>
        <v>0</v>
      </c>
      <c r="BA25" s="345" cm="1">
        <f t="array" aca="1" ref="BA25" ca="1">SUMPRODUCT(BA$54:BA$113,TRANSPOSE(SAP_Speadsheet!$E$82:$BL$82))</f>
        <v>0</v>
      </c>
      <c r="BB25" s="345" cm="1">
        <f t="array" aca="1" ref="BB25" ca="1">SUMPRODUCT(BB$54:BB$113,TRANSPOSE(SAP_Speadsheet!$E$82:$BL$82))</f>
        <v>0</v>
      </c>
      <c r="BC25" s="345" cm="1">
        <f t="array" aca="1" ref="BC25" ca="1">SUMPRODUCT(BC$54:BC$113,TRANSPOSE(SAP_Speadsheet!$E$82:$BL$82))</f>
        <v>0</v>
      </c>
      <c r="BD25" s="345" cm="1">
        <f t="array" aca="1" ref="BD25" ca="1">SUMPRODUCT(BD$54:BD$113,TRANSPOSE(SAP_Speadsheet!$E$82:$BL$82))</f>
        <v>0</v>
      </c>
      <c r="BE25" s="345" cm="1">
        <f t="array" aca="1" ref="BE25" ca="1">SUMPRODUCT(BE$54:BE$113,TRANSPOSE(SAP_Speadsheet!$E$82:$BL$82))</f>
        <v>0</v>
      </c>
      <c r="BF25" s="345" cm="1">
        <f t="array" aca="1" ref="BF25" ca="1">SUMPRODUCT(BF$54:BF$113,TRANSPOSE(SAP_Speadsheet!$E$82:$BL$82))</f>
        <v>0</v>
      </c>
      <c r="BG25" s="345" cm="1">
        <f t="array" aca="1" ref="BG25" ca="1">SUMPRODUCT(BG$54:BG$113,TRANSPOSE(SAP_Speadsheet!$E$82:$BL$82))</f>
        <v>0</v>
      </c>
      <c r="BH25" s="345" cm="1">
        <f t="array" aca="1" ref="BH25" ca="1">SUMPRODUCT(BH$54:BH$113,TRANSPOSE(SAP_Speadsheet!$E$82:$BL$82))</f>
        <v>0</v>
      </c>
      <c r="BI25" s="345" cm="1">
        <f t="array" aca="1" ref="BI25" ca="1">SUMPRODUCT(BI$54:BI$113,TRANSPOSE(SAP_Speadsheet!$E$82:$BL$82))</f>
        <v>0</v>
      </c>
    </row>
    <row r="26" spans="1:61" x14ac:dyDescent="0.15">
      <c r="A26" s="334" t="s">
        <v>465</v>
      </c>
      <c r="B26" s="345" cm="1">
        <f t="array" aca="1" ref="B26" ca="1">SUMPRODUCT(B$54:B$113,TRANSPOSE(SAP_Speadsheet!$E$83:$BL$83))</f>
        <v>0</v>
      </c>
      <c r="C26" s="345" cm="1">
        <f t="array" aca="1" ref="C26" ca="1">SUMPRODUCT(C$54:C$113,TRANSPOSE(SAP_Speadsheet!$E$83:$BL$83))</f>
        <v>0</v>
      </c>
      <c r="D26" s="345" cm="1">
        <f t="array" aca="1" ref="D26" ca="1">SUMPRODUCT(D$54:D$113,TRANSPOSE(SAP_Speadsheet!$E$83:$BL$83))</f>
        <v>0</v>
      </c>
      <c r="E26" s="345" cm="1">
        <f t="array" aca="1" ref="E26" ca="1">SUMPRODUCT(E$54:E$113,TRANSPOSE(SAP_Speadsheet!$E$83:$BL$83))</f>
        <v>0</v>
      </c>
      <c r="F26" s="345" cm="1">
        <f t="array" aca="1" ref="F26" ca="1">SUMPRODUCT(F$54:F$113,TRANSPOSE(SAP_Speadsheet!$E$83:$BL$83))</f>
        <v>0</v>
      </c>
      <c r="G26" s="345" cm="1">
        <f t="array" aca="1" ref="G26" ca="1">SUMPRODUCT(G$54:G$113,TRANSPOSE(SAP_Speadsheet!$E$83:$BL$83))</f>
        <v>0</v>
      </c>
      <c r="H26" s="345" cm="1">
        <f t="array" aca="1" ref="H26" ca="1">SUMPRODUCT(H$54:H$113,TRANSPOSE(SAP_Speadsheet!$E$83:$BL$83))</f>
        <v>0</v>
      </c>
      <c r="I26" s="345" cm="1">
        <f t="array" aca="1" ref="I26" ca="1">SUMPRODUCT(I$54:I$113,TRANSPOSE(SAP_Speadsheet!$E$83:$BL$83))</f>
        <v>0</v>
      </c>
      <c r="J26" s="345" cm="1">
        <f t="array" aca="1" ref="J26" ca="1">SUMPRODUCT(J$54:J$113,TRANSPOSE(SAP_Speadsheet!$E$83:$BL$83))</f>
        <v>0</v>
      </c>
      <c r="K26" s="345" cm="1">
        <f t="array" aca="1" ref="K26" ca="1">SUMPRODUCT(K$54:K$113,TRANSPOSE(SAP_Speadsheet!$E$83:$BL$83))</f>
        <v>0</v>
      </c>
      <c r="L26" s="345" cm="1">
        <f t="array" aca="1" ref="L26" ca="1">SUMPRODUCT(L$54:L$113,TRANSPOSE(SAP_Speadsheet!$E$83:$BL$83))</f>
        <v>0</v>
      </c>
      <c r="M26" s="345" cm="1">
        <f t="array" aca="1" ref="M26" ca="1">SUMPRODUCT(M$54:M$113,TRANSPOSE(SAP_Speadsheet!$E$83:$BL$83))</f>
        <v>0</v>
      </c>
      <c r="N26" s="345" cm="1">
        <f t="array" aca="1" ref="N26" ca="1">SUMPRODUCT(N$54:N$113,TRANSPOSE(SAP_Speadsheet!$E$83:$BL$83))</f>
        <v>0</v>
      </c>
      <c r="O26" s="345" cm="1">
        <f t="array" aca="1" ref="O26" ca="1">SUMPRODUCT(O$54:O$113,TRANSPOSE(SAP_Speadsheet!$E$83:$BL$83))</f>
        <v>0</v>
      </c>
      <c r="P26" s="345" cm="1">
        <f t="array" aca="1" ref="P26" ca="1">SUMPRODUCT(P$54:P$113,TRANSPOSE(SAP_Speadsheet!$E$83:$BL$83))</f>
        <v>0</v>
      </c>
      <c r="Q26" s="345" cm="1">
        <f t="array" aca="1" ref="Q26" ca="1">SUMPRODUCT(Q$54:Q$113,TRANSPOSE(SAP_Speadsheet!$E$83:$BL$83))</f>
        <v>0</v>
      </c>
      <c r="R26" s="345" cm="1">
        <f t="array" aca="1" ref="R26" ca="1">SUMPRODUCT(R$54:R$113,TRANSPOSE(SAP_Speadsheet!$E$83:$BL$83))</f>
        <v>0</v>
      </c>
      <c r="S26" s="345" cm="1">
        <f t="array" aca="1" ref="S26" ca="1">SUMPRODUCT(S$54:S$113,TRANSPOSE(SAP_Speadsheet!$E$83:$BL$83))</f>
        <v>0</v>
      </c>
      <c r="T26" s="345" cm="1">
        <f t="array" aca="1" ref="T26" ca="1">SUMPRODUCT(T$54:T$113,TRANSPOSE(SAP_Speadsheet!$E$83:$BL$83))</f>
        <v>0</v>
      </c>
      <c r="U26" s="345" cm="1">
        <f t="array" aca="1" ref="U26" ca="1">SUMPRODUCT(U$54:U$113,TRANSPOSE(SAP_Speadsheet!$E$83:$BL$83))</f>
        <v>0</v>
      </c>
      <c r="V26" s="345" cm="1">
        <f t="array" aca="1" ref="V26" ca="1">SUMPRODUCT(V$54:V$113,TRANSPOSE(SAP_Speadsheet!$E$83:$BL$83))</f>
        <v>0</v>
      </c>
      <c r="W26" s="345" cm="1">
        <f t="array" aca="1" ref="W26" ca="1">SUMPRODUCT(W$54:W$113,TRANSPOSE(SAP_Speadsheet!$E$83:$BL$83))</f>
        <v>0</v>
      </c>
      <c r="X26" s="345" cm="1">
        <f t="array" aca="1" ref="X26" ca="1">SUMPRODUCT(X$54:X$113,TRANSPOSE(SAP_Speadsheet!$E$83:$BL$83))</f>
        <v>0</v>
      </c>
      <c r="Y26" s="345" cm="1">
        <f t="array" aca="1" ref="Y26" ca="1">SUMPRODUCT(Y$54:Y$113,TRANSPOSE(SAP_Speadsheet!$E$83:$BL$83))</f>
        <v>0</v>
      </c>
      <c r="Z26" s="345" cm="1">
        <f t="array" aca="1" ref="Z26" ca="1">SUMPRODUCT(Z$54:Z$113,TRANSPOSE(SAP_Speadsheet!$E$83:$BL$83))</f>
        <v>0</v>
      </c>
      <c r="AA26" s="345" cm="1">
        <f t="array" aca="1" ref="AA26" ca="1">SUMPRODUCT(AA$54:AA$113,TRANSPOSE(SAP_Speadsheet!$E$83:$BL$83))</f>
        <v>0</v>
      </c>
      <c r="AB26" s="345" cm="1">
        <f t="array" aca="1" ref="AB26" ca="1">SUMPRODUCT(AB$54:AB$113,TRANSPOSE(SAP_Speadsheet!$E$83:$BL$83))</f>
        <v>0</v>
      </c>
      <c r="AC26" s="345" cm="1">
        <f t="array" aca="1" ref="AC26" ca="1">SUMPRODUCT(AC$54:AC$113,TRANSPOSE(SAP_Speadsheet!$E$83:$BL$83))</f>
        <v>0</v>
      </c>
      <c r="AD26" s="345" cm="1">
        <f t="array" aca="1" ref="AD26" ca="1">SUMPRODUCT(AD$54:AD$113,TRANSPOSE(SAP_Speadsheet!$E$83:$BL$83))</f>
        <v>0</v>
      </c>
      <c r="AE26" s="345" cm="1">
        <f t="array" aca="1" ref="AE26" ca="1">SUMPRODUCT(AE$54:AE$113,TRANSPOSE(SAP_Speadsheet!$E$83:$BL$83))</f>
        <v>0</v>
      </c>
      <c r="AF26" s="345" cm="1">
        <f t="array" aca="1" ref="AF26" ca="1">SUMPRODUCT(AF$54:AF$113,TRANSPOSE(SAP_Speadsheet!$E$83:$BL$83))</f>
        <v>0</v>
      </c>
      <c r="AG26" s="345" cm="1">
        <f t="array" aca="1" ref="AG26" ca="1">SUMPRODUCT(AG$54:AG$113,TRANSPOSE(SAP_Speadsheet!$E$83:$BL$83))</f>
        <v>0</v>
      </c>
      <c r="AH26" s="345" cm="1">
        <f t="array" aca="1" ref="AH26" ca="1">SUMPRODUCT(AH$54:AH$113,TRANSPOSE(SAP_Speadsheet!$E$83:$BL$83))</f>
        <v>0</v>
      </c>
      <c r="AI26" s="345" cm="1">
        <f t="array" aca="1" ref="AI26" ca="1">SUMPRODUCT(AI$54:AI$113,TRANSPOSE(SAP_Speadsheet!$E$83:$BL$83))</f>
        <v>0</v>
      </c>
      <c r="AJ26" s="345" cm="1">
        <f t="array" aca="1" ref="AJ26" ca="1">SUMPRODUCT(AJ$54:AJ$113,TRANSPOSE(SAP_Speadsheet!$E$83:$BL$83))</f>
        <v>0</v>
      </c>
      <c r="AK26" s="345" cm="1">
        <f t="array" aca="1" ref="AK26" ca="1">SUMPRODUCT(AK$54:AK$113,TRANSPOSE(SAP_Speadsheet!$E$83:$BL$83))</f>
        <v>0</v>
      </c>
      <c r="AL26" s="345" cm="1">
        <f t="array" aca="1" ref="AL26" ca="1">SUMPRODUCT(AL$54:AL$113,TRANSPOSE(SAP_Speadsheet!$E$83:$BL$83))</f>
        <v>0</v>
      </c>
      <c r="AM26" s="345" cm="1">
        <f t="array" aca="1" ref="AM26" ca="1">SUMPRODUCT(AM$54:AM$113,TRANSPOSE(SAP_Speadsheet!$E$83:$BL$83))</f>
        <v>0</v>
      </c>
      <c r="AN26" s="345" cm="1">
        <f t="array" aca="1" ref="AN26" ca="1">SUMPRODUCT(AN$54:AN$113,TRANSPOSE(SAP_Speadsheet!$E$83:$BL$83))</f>
        <v>0</v>
      </c>
      <c r="AO26" s="345" cm="1">
        <f t="array" aca="1" ref="AO26" ca="1">SUMPRODUCT(AO$54:AO$113,TRANSPOSE(SAP_Speadsheet!$E$83:$BL$83))</f>
        <v>0</v>
      </c>
      <c r="AP26" s="345" cm="1">
        <f t="array" aca="1" ref="AP26" ca="1">SUMPRODUCT(AP$54:AP$113,TRANSPOSE(SAP_Speadsheet!$E$83:$BL$83))</f>
        <v>0</v>
      </c>
      <c r="AQ26" s="345" cm="1">
        <f t="array" aca="1" ref="AQ26" ca="1">SUMPRODUCT(AQ$54:AQ$113,TRANSPOSE(SAP_Speadsheet!$E$83:$BL$83))</f>
        <v>0</v>
      </c>
      <c r="AR26" s="345" cm="1">
        <f t="array" aca="1" ref="AR26" ca="1">SUMPRODUCT(AR$54:AR$113,TRANSPOSE(SAP_Speadsheet!$E$83:$BL$83))</f>
        <v>0</v>
      </c>
      <c r="AS26" s="345" cm="1">
        <f t="array" aca="1" ref="AS26" ca="1">SUMPRODUCT(AS$54:AS$113,TRANSPOSE(SAP_Speadsheet!$E$83:$BL$83))</f>
        <v>0</v>
      </c>
      <c r="AT26" s="345" cm="1">
        <f t="array" aca="1" ref="AT26" ca="1">SUMPRODUCT(AT$54:AT$113,TRANSPOSE(SAP_Speadsheet!$E$83:$BL$83))</f>
        <v>0</v>
      </c>
      <c r="AU26" s="345" cm="1">
        <f t="array" aca="1" ref="AU26" ca="1">SUMPRODUCT(AU$54:AU$113,TRANSPOSE(SAP_Speadsheet!$E$83:$BL$83))</f>
        <v>0</v>
      </c>
      <c r="AV26" s="345" cm="1">
        <f t="array" aca="1" ref="AV26" ca="1">SUMPRODUCT(AV$54:AV$113,TRANSPOSE(SAP_Speadsheet!$E$83:$BL$83))</f>
        <v>0</v>
      </c>
      <c r="AW26" s="345" cm="1">
        <f t="array" aca="1" ref="AW26" ca="1">SUMPRODUCT(AW$54:AW$113,TRANSPOSE(SAP_Speadsheet!$E$83:$BL$83))</f>
        <v>0</v>
      </c>
      <c r="AX26" s="345" cm="1">
        <f t="array" aca="1" ref="AX26" ca="1">SUMPRODUCT(AX$54:AX$113,TRANSPOSE(SAP_Speadsheet!$E$83:$BL$83))</f>
        <v>0</v>
      </c>
      <c r="AY26" s="345" cm="1">
        <f t="array" aca="1" ref="AY26" ca="1">SUMPRODUCT(AY$54:AY$113,TRANSPOSE(SAP_Speadsheet!$E$83:$BL$83))</f>
        <v>0</v>
      </c>
      <c r="AZ26" s="345" cm="1">
        <f t="array" aca="1" ref="AZ26" ca="1">SUMPRODUCT(AZ$54:AZ$113,TRANSPOSE(SAP_Speadsheet!$E$83:$BL$83))</f>
        <v>0</v>
      </c>
      <c r="BA26" s="345" cm="1">
        <f t="array" aca="1" ref="BA26" ca="1">SUMPRODUCT(BA$54:BA$113,TRANSPOSE(SAP_Speadsheet!$E$83:$BL$83))</f>
        <v>0</v>
      </c>
      <c r="BB26" s="345" cm="1">
        <f t="array" aca="1" ref="BB26" ca="1">SUMPRODUCT(BB$54:BB$113,TRANSPOSE(SAP_Speadsheet!$E$83:$BL$83))</f>
        <v>0</v>
      </c>
      <c r="BC26" s="345" cm="1">
        <f t="array" aca="1" ref="BC26" ca="1">SUMPRODUCT(BC$54:BC$113,TRANSPOSE(SAP_Speadsheet!$E$83:$BL$83))</f>
        <v>0</v>
      </c>
      <c r="BD26" s="345" cm="1">
        <f t="array" aca="1" ref="BD26" ca="1">SUMPRODUCT(BD$54:BD$113,TRANSPOSE(SAP_Speadsheet!$E$83:$BL$83))</f>
        <v>0</v>
      </c>
      <c r="BE26" s="345" cm="1">
        <f t="array" aca="1" ref="BE26" ca="1">SUMPRODUCT(BE$54:BE$113,TRANSPOSE(SAP_Speadsheet!$E$83:$BL$83))</f>
        <v>0</v>
      </c>
      <c r="BF26" s="345" cm="1">
        <f t="array" aca="1" ref="BF26" ca="1">SUMPRODUCT(BF$54:BF$113,TRANSPOSE(SAP_Speadsheet!$E$83:$BL$83))</f>
        <v>0</v>
      </c>
      <c r="BG26" s="345" cm="1">
        <f t="array" aca="1" ref="BG26" ca="1">SUMPRODUCT(BG$54:BG$113,TRANSPOSE(SAP_Speadsheet!$E$83:$BL$83))</f>
        <v>0</v>
      </c>
      <c r="BH26" s="345" cm="1">
        <f t="array" aca="1" ref="BH26" ca="1">SUMPRODUCT(BH$54:BH$113,TRANSPOSE(SAP_Speadsheet!$E$83:$BL$83))</f>
        <v>0</v>
      </c>
      <c r="BI26" s="345" cm="1">
        <f t="array" aca="1" ref="BI26" ca="1">SUMPRODUCT(BI$54:BI$113,TRANSPOSE(SAP_Speadsheet!$E$83:$BL$83))</f>
        <v>0</v>
      </c>
    </row>
    <row r="27" spans="1:61" x14ac:dyDescent="0.15">
      <c r="A27" s="346" t="s">
        <v>466</v>
      </c>
      <c r="B27" s="340" cm="1">
        <f t="array" aca="1" ref="B27" ca="1">SUMPRODUCT(B$54:B$113,TRANSPOSE(SAP_Speadsheet!$E$87:$BL$87))</f>
        <v>0</v>
      </c>
      <c r="C27" s="340" cm="1">
        <f t="array" aca="1" ref="C27" ca="1">SUMPRODUCT(C$54:C$113,TRANSPOSE(SAP_Speadsheet!$E$87:$BL$87))</f>
        <v>0</v>
      </c>
      <c r="D27" s="340" cm="1">
        <f t="array" aca="1" ref="D27" ca="1">SUMPRODUCT(D$54:D$113,TRANSPOSE(SAP_Speadsheet!$E$87:$BL$87))</f>
        <v>0</v>
      </c>
      <c r="E27" s="340" cm="1">
        <f t="array" aca="1" ref="E27" ca="1">SUMPRODUCT(E$54:E$113,TRANSPOSE(SAP_Speadsheet!$E$87:$BL$87))</f>
        <v>-340.625</v>
      </c>
      <c r="F27" s="340" cm="1">
        <f t="array" aca="1" ref="F27" ca="1">SUMPRODUCT(F$54:F$113,TRANSPOSE(SAP_Speadsheet!$E$87:$BL$87))</f>
        <v>-471.86837500000001</v>
      </c>
      <c r="G27" s="340" cm="1">
        <f t="array" aca="1" ref="G27" ca="1">SUMPRODUCT(G$54:G$113,TRANSPOSE(SAP_Speadsheet!$E$87:$BL$87))</f>
        <v>-718.7843385336954</v>
      </c>
      <c r="H27" s="340" cm="1">
        <f t="array" aca="1" ref="H27" ca="1">SUMPRODUCT(H$54:H$113,TRANSPOSE(SAP_Speadsheet!$E$87:$BL$87))</f>
        <v>-81.279017473016211</v>
      </c>
      <c r="I27" s="340" cm="1">
        <f t="array" aca="1" ref="I27" ca="1">SUMPRODUCT(I$54:I$113,TRANSPOSE(SAP_Speadsheet!$E$87:$BL$87))</f>
        <v>-76.970914854051344</v>
      </c>
      <c r="J27" s="340" cm="1">
        <f t="array" aca="1" ref="J27" ca="1">SUMPRODUCT(J$54:J$113,TRANSPOSE(SAP_Speadsheet!$E$87:$BL$87))</f>
        <v>-75.480340620111775</v>
      </c>
      <c r="K27" s="340" cm="1">
        <f t="array" aca="1" ref="K27" ca="1">SUMPRODUCT(K$54:K$113,TRANSPOSE(SAP_Speadsheet!$E$87:$BL$87))</f>
        <v>-74.812108169172362</v>
      </c>
      <c r="L27" s="340" cm="1">
        <f t="array" aca="1" ref="L27" ca="1">SUMPRODUCT(L$54:L$113,TRANSPOSE(SAP_Speadsheet!$E$87:$BL$87))</f>
        <v>-57.123503946359214</v>
      </c>
      <c r="M27" s="340" cm="1">
        <f t="array" aca="1" ref="M27" ca="1">SUMPRODUCT(M$54:M$113,TRANSPOSE(SAP_Speadsheet!$E$87:$BL$87))</f>
        <v>-34.094882636157102</v>
      </c>
      <c r="N27" s="340" cm="1">
        <f t="array" aca="1" ref="N27" ca="1">SUMPRODUCT(N$54:N$113,TRANSPOSE(SAP_Speadsheet!$E$87:$BL$87))</f>
        <v>0</v>
      </c>
      <c r="O27" s="340" cm="1">
        <f t="array" aca="1" ref="O27" ca="1">SUMPRODUCT(O$54:O$113,TRANSPOSE(SAP_Speadsheet!$E$87:$BL$87))</f>
        <v>0</v>
      </c>
      <c r="P27" s="340" cm="1">
        <f t="array" aca="1" ref="P27" ca="1">SUMPRODUCT(P$54:P$113,TRANSPOSE(SAP_Speadsheet!$E$87:$BL$87))</f>
        <v>0</v>
      </c>
      <c r="Q27" s="340" cm="1">
        <f t="array" aca="1" ref="Q27" ca="1">SUMPRODUCT(Q$54:Q$113,TRANSPOSE(SAP_Speadsheet!$E$87:$BL$87))</f>
        <v>0</v>
      </c>
      <c r="R27" s="340" cm="1">
        <f t="array" aca="1" ref="R27" ca="1">SUMPRODUCT(R$54:R$113,TRANSPOSE(SAP_Speadsheet!$E$87:$BL$87))</f>
        <v>0</v>
      </c>
      <c r="S27" s="340" cm="1">
        <f t="array" aca="1" ref="S27" ca="1">SUMPRODUCT(S$54:S$113,TRANSPOSE(SAP_Speadsheet!$E$87:$BL$87))</f>
        <v>0</v>
      </c>
      <c r="T27" s="340" cm="1">
        <f t="array" aca="1" ref="T27" ca="1">SUMPRODUCT(T$54:T$113,TRANSPOSE(SAP_Speadsheet!$E$87:$BL$87))</f>
        <v>0</v>
      </c>
      <c r="U27" s="340" cm="1">
        <f t="array" aca="1" ref="U27" ca="1">SUMPRODUCT(U$54:U$113,TRANSPOSE(SAP_Speadsheet!$E$87:$BL$87))</f>
        <v>0</v>
      </c>
      <c r="V27" s="340" cm="1">
        <f t="array" aca="1" ref="V27" ca="1">SUMPRODUCT(V$54:V$113,TRANSPOSE(SAP_Speadsheet!$E$87:$BL$87))</f>
        <v>0</v>
      </c>
      <c r="W27" s="340" cm="1">
        <f t="array" aca="1" ref="W27" ca="1">SUMPRODUCT(W$54:W$113,TRANSPOSE(SAP_Speadsheet!$E$87:$BL$87))</f>
        <v>0</v>
      </c>
      <c r="X27" s="340" cm="1">
        <f t="array" aca="1" ref="X27" ca="1">SUMPRODUCT(X$54:X$113,TRANSPOSE(SAP_Speadsheet!$E$87:$BL$87))</f>
        <v>0</v>
      </c>
      <c r="Y27" s="340" cm="1">
        <f t="array" aca="1" ref="Y27" ca="1">SUMPRODUCT(Y$54:Y$113,TRANSPOSE(SAP_Speadsheet!$E$87:$BL$87))</f>
        <v>0</v>
      </c>
      <c r="Z27" s="340" cm="1">
        <f t="array" aca="1" ref="Z27" ca="1">SUMPRODUCT(Z$54:Z$113,TRANSPOSE(SAP_Speadsheet!$E$87:$BL$87))</f>
        <v>0</v>
      </c>
      <c r="AA27" s="340" cm="1">
        <f t="array" aca="1" ref="AA27" ca="1">SUMPRODUCT(AA$54:AA$113,TRANSPOSE(SAP_Speadsheet!$E$87:$BL$87))</f>
        <v>0</v>
      </c>
      <c r="AB27" s="340" cm="1">
        <f t="array" aca="1" ref="AB27" ca="1">SUMPRODUCT(AB$54:AB$113,TRANSPOSE(SAP_Speadsheet!$E$87:$BL$87))</f>
        <v>0</v>
      </c>
      <c r="AC27" s="340" cm="1">
        <f t="array" aca="1" ref="AC27" ca="1">SUMPRODUCT(AC$54:AC$113,TRANSPOSE(SAP_Speadsheet!$E$87:$BL$87))</f>
        <v>0</v>
      </c>
      <c r="AD27" s="340" cm="1">
        <f t="array" aca="1" ref="AD27" ca="1">SUMPRODUCT(AD$54:AD$113,TRANSPOSE(SAP_Speadsheet!$E$87:$BL$87))</f>
        <v>0</v>
      </c>
      <c r="AE27" s="340" cm="1">
        <f t="array" aca="1" ref="AE27" ca="1">SUMPRODUCT(AE$54:AE$113,TRANSPOSE(SAP_Speadsheet!$E$87:$BL$87))</f>
        <v>0</v>
      </c>
      <c r="AF27" s="340" cm="1">
        <f t="array" aca="1" ref="AF27" ca="1">SUMPRODUCT(AF$54:AF$113,TRANSPOSE(SAP_Speadsheet!$E$87:$BL$87))</f>
        <v>0</v>
      </c>
      <c r="AG27" s="340" cm="1">
        <f t="array" aca="1" ref="AG27" ca="1">SUMPRODUCT(AG$54:AG$113,TRANSPOSE(SAP_Speadsheet!$E$87:$BL$87))</f>
        <v>0</v>
      </c>
      <c r="AH27" s="340" cm="1">
        <f t="array" aca="1" ref="AH27" ca="1">SUMPRODUCT(AH$54:AH$113,TRANSPOSE(SAP_Speadsheet!$E$87:$BL$87))</f>
        <v>0</v>
      </c>
      <c r="AI27" s="340" cm="1">
        <f t="array" aca="1" ref="AI27" ca="1">SUMPRODUCT(AI$54:AI$113,TRANSPOSE(SAP_Speadsheet!$E$87:$BL$87))</f>
        <v>0</v>
      </c>
      <c r="AJ27" s="340" cm="1">
        <f t="array" aca="1" ref="AJ27" ca="1">SUMPRODUCT(AJ$54:AJ$113,TRANSPOSE(SAP_Speadsheet!$E$87:$BL$87))</f>
        <v>0</v>
      </c>
      <c r="AK27" s="340" cm="1">
        <f t="array" aca="1" ref="AK27" ca="1">SUMPRODUCT(AK$54:AK$113,TRANSPOSE(SAP_Speadsheet!$E$87:$BL$87))</f>
        <v>0</v>
      </c>
      <c r="AL27" s="340" cm="1">
        <f t="array" aca="1" ref="AL27" ca="1">SUMPRODUCT(AL$54:AL$113,TRANSPOSE(SAP_Speadsheet!$E$87:$BL$87))</f>
        <v>0</v>
      </c>
      <c r="AM27" s="340" cm="1">
        <f t="array" aca="1" ref="AM27" ca="1">SUMPRODUCT(AM$54:AM$113,TRANSPOSE(SAP_Speadsheet!$E$87:$BL$87))</f>
        <v>0</v>
      </c>
      <c r="AN27" s="340" cm="1">
        <f t="array" aca="1" ref="AN27" ca="1">SUMPRODUCT(AN$54:AN$113,TRANSPOSE(SAP_Speadsheet!$E$87:$BL$87))</f>
        <v>0</v>
      </c>
      <c r="AO27" s="340" cm="1">
        <f t="array" aca="1" ref="AO27" ca="1">SUMPRODUCT(AO$54:AO$113,TRANSPOSE(SAP_Speadsheet!$E$87:$BL$87))</f>
        <v>0</v>
      </c>
      <c r="AP27" s="340" cm="1">
        <f t="array" aca="1" ref="AP27" ca="1">SUMPRODUCT(AP$54:AP$113,TRANSPOSE(SAP_Speadsheet!$E$87:$BL$87))</f>
        <v>0</v>
      </c>
      <c r="AQ27" s="340" cm="1">
        <f t="array" aca="1" ref="AQ27" ca="1">SUMPRODUCT(AQ$54:AQ$113,TRANSPOSE(SAP_Speadsheet!$E$87:$BL$87))</f>
        <v>0</v>
      </c>
      <c r="AR27" s="340" cm="1">
        <f t="array" aca="1" ref="AR27" ca="1">SUMPRODUCT(AR$54:AR$113,TRANSPOSE(SAP_Speadsheet!$E$87:$BL$87))</f>
        <v>0</v>
      </c>
      <c r="AS27" s="340" cm="1">
        <f t="array" aca="1" ref="AS27" ca="1">SUMPRODUCT(AS$54:AS$113,TRANSPOSE(SAP_Speadsheet!$E$87:$BL$87))</f>
        <v>0</v>
      </c>
      <c r="AT27" s="340" cm="1">
        <f t="array" aca="1" ref="AT27" ca="1">SUMPRODUCT(AT$54:AT$113,TRANSPOSE(SAP_Speadsheet!$E$87:$BL$87))</f>
        <v>0</v>
      </c>
      <c r="AU27" s="340" cm="1">
        <f t="array" aca="1" ref="AU27" ca="1">SUMPRODUCT(AU$54:AU$113,TRANSPOSE(SAP_Speadsheet!$E$87:$BL$87))</f>
        <v>0</v>
      </c>
      <c r="AV27" s="340" cm="1">
        <f t="array" aca="1" ref="AV27" ca="1">SUMPRODUCT(AV$54:AV$113,TRANSPOSE(SAP_Speadsheet!$E$87:$BL$87))</f>
        <v>0</v>
      </c>
      <c r="AW27" s="340" cm="1">
        <f t="array" aca="1" ref="AW27" ca="1">SUMPRODUCT(AW$54:AW$113,TRANSPOSE(SAP_Speadsheet!$E$87:$BL$87))</f>
        <v>0</v>
      </c>
      <c r="AX27" s="340" cm="1">
        <f t="array" aca="1" ref="AX27" ca="1">SUMPRODUCT(AX$54:AX$113,TRANSPOSE(SAP_Speadsheet!$E$87:$BL$87))</f>
        <v>0</v>
      </c>
      <c r="AY27" s="340" cm="1">
        <f t="array" aca="1" ref="AY27" ca="1">SUMPRODUCT(AY$54:AY$113,TRANSPOSE(SAP_Speadsheet!$E$87:$BL$87))</f>
        <v>0</v>
      </c>
      <c r="AZ27" s="340" cm="1">
        <f t="array" aca="1" ref="AZ27" ca="1">SUMPRODUCT(AZ$54:AZ$113,TRANSPOSE(SAP_Speadsheet!$E$87:$BL$87))</f>
        <v>0</v>
      </c>
      <c r="BA27" s="340" cm="1">
        <f t="array" aca="1" ref="BA27" ca="1">SUMPRODUCT(BA$54:BA$113,TRANSPOSE(SAP_Speadsheet!$E$87:$BL$87))</f>
        <v>0</v>
      </c>
      <c r="BB27" s="340" cm="1">
        <f t="array" aca="1" ref="BB27" ca="1">SUMPRODUCT(BB$54:BB$113,TRANSPOSE(SAP_Speadsheet!$E$87:$BL$87))</f>
        <v>0</v>
      </c>
      <c r="BC27" s="340" cm="1">
        <f t="array" aca="1" ref="BC27" ca="1">SUMPRODUCT(BC$54:BC$113,TRANSPOSE(SAP_Speadsheet!$E$87:$BL$87))</f>
        <v>0</v>
      </c>
      <c r="BD27" s="340" cm="1">
        <f t="array" aca="1" ref="BD27" ca="1">SUMPRODUCT(BD$54:BD$113,TRANSPOSE(SAP_Speadsheet!$E$87:$BL$87))</f>
        <v>0</v>
      </c>
      <c r="BE27" s="340" cm="1">
        <f t="array" aca="1" ref="BE27" ca="1">SUMPRODUCT(BE$54:BE$113,TRANSPOSE(SAP_Speadsheet!$E$87:$BL$87))</f>
        <v>0</v>
      </c>
      <c r="BF27" s="340" cm="1">
        <f t="array" aca="1" ref="BF27" ca="1">SUMPRODUCT(BF$54:BF$113,TRANSPOSE(SAP_Speadsheet!$E$87:$BL$87))</f>
        <v>0</v>
      </c>
      <c r="BG27" s="340" cm="1">
        <f t="array" aca="1" ref="BG27" ca="1">SUMPRODUCT(BG$54:BG$113,TRANSPOSE(SAP_Speadsheet!$E$87:$BL$87))</f>
        <v>0</v>
      </c>
      <c r="BH27" s="340" cm="1">
        <f t="array" aca="1" ref="BH27" ca="1">SUMPRODUCT(BH$54:BH$113,TRANSPOSE(SAP_Speadsheet!$E$87:$BL$87))</f>
        <v>0</v>
      </c>
      <c r="BI27" s="340" cm="1">
        <f t="array" aca="1" ref="BI27" ca="1">SUMPRODUCT(BI$54:BI$113,TRANSPOSE(SAP_Speadsheet!$E$87:$BL$87))</f>
        <v>0</v>
      </c>
    </row>
    <row r="28" spans="1:61" x14ac:dyDescent="0.15">
      <c r="A28" s="333" t="s">
        <v>457</v>
      </c>
      <c r="B28" s="340" cm="1">
        <f t="array" aca="1" ref="B28" ca="1">SUMPRODUCT(B$54:B$113,TRANSPOSE(SAP_Speadsheet!$E$91:$BL$91))</f>
        <v>0</v>
      </c>
      <c r="C28" s="340" cm="1">
        <f t="array" aca="1" ref="C28" ca="1">SUMPRODUCT(C$54:C$113,TRANSPOSE(SAP_Speadsheet!$E$91:$BL$91))</f>
        <v>0</v>
      </c>
      <c r="D28" s="340" cm="1">
        <f t="array" aca="1" ref="D28" ca="1">SUMPRODUCT(D$54:D$113,TRANSPOSE(SAP_Speadsheet!$E$91:$BL$91))</f>
        <v>0</v>
      </c>
      <c r="E28" s="340" cm="1">
        <f t="array" aca="1" ref="E28" ca="1">SUMPRODUCT(E$54:E$113,TRANSPOSE(SAP_Speadsheet!$E$91:$BL$91))</f>
        <v>-68.125</v>
      </c>
      <c r="F28" s="340" cm="1">
        <f t="array" aca="1" ref="F28" ca="1">SUMPRODUCT(F$54:F$113,TRANSPOSE(SAP_Speadsheet!$E$91:$BL$91))</f>
        <v>-90.387</v>
      </c>
      <c r="G28" s="340" cm="1">
        <f t="array" aca="1" ref="G28" ca="1">SUMPRODUCT(G$54:G$113,TRANSPOSE(SAP_Speadsheet!$E$91:$BL$91))</f>
        <v>-134.82499999999999</v>
      </c>
      <c r="H28" s="340" cm="1">
        <f t="array" aca="1" ref="H28" ca="1">SUMPRODUCT(H$54:H$113,TRANSPOSE(SAP_Speadsheet!$E$91:$BL$91))</f>
        <v>0</v>
      </c>
      <c r="I28" s="340" cm="1">
        <f t="array" aca="1" ref="I28" ca="1">SUMPRODUCT(I$54:I$113,TRANSPOSE(SAP_Speadsheet!$E$91:$BL$91))</f>
        <v>0</v>
      </c>
      <c r="J28" s="340" cm="1">
        <f t="array" aca="1" ref="J28" ca="1">SUMPRODUCT(J$54:J$113,TRANSPOSE(SAP_Speadsheet!$E$91:$BL$91))</f>
        <v>0</v>
      </c>
      <c r="K28" s="340" cm="1">
        <f t="array" aca="1" ref="K28" ca="1">SUMPRODUCT(K$54:K$113,TRANSPOSE(SAP_Speadsheet!$E$91:$BL$91))</f>
        <v>0</v>
      </c>
      <c r="L28" s="340" cm="1">
        <f t="array" aca="1" ref="L28" ca="1">SUMPRODUCT(L$54:L$113,TRANSPOSE(SAP_Speadsheet!$E$91:$BL$91))</f>
        <v>0</v>
      </c>
      <c r="M28" s="340" cm="1">
        <f t="array" aca="1" ref="M28" ca="1">SUMPRODUCT(M$54:M$113,TRANSPOSE(SAP_Speadsheet!$E$91:$BL$91))</f>
        <v>0</v>
      </c>
      <c r="N28" s="340" cm="1">
        <f t="array" aca="1" ref="N28" ca="1">SUMPRODUCT(N$54:N$113,TRANSPOSE(SAP_Speadsheet!$E$91:$BL$91))</f>
        <v>0</v>
      </c>
      <c r="O28" s="340" cm="1">
        <f t="array" aca="1" ref="O28" ca="1">SUMPRODUCT(O$54:O$113,TRANSPOSE(SAP_Speadsheet!$E$91:$BL$91))</f>
        <v>0</v>
      </c>
      <c r="P28" s="340" cm="1">
        <f t="array" aca="1" ref="P28" ca="1">SUMPRODUCT(P$54:P$113,TRANSPOSE(SAP_Speadsheet!$E$91:$BL$91))</f>
        <v>0</v>
      </c>
      <c r="Q28" s="340" cm="1">
        <f t="array" aca="1" ref="Q28" ca="1">SUMPRODUCT(Q$54:Q$113,TRANSPOSE(SAP_Speadsheet!$E$91:$BL$91))</f>
        <v>0</v>
      </c>
      <c r="R28" s="340" cm="1">
        <f t="array" aca="1" ref="R28" ca="1">SUMPRODUCT(R$54:R$113,TRANSPOSE(SAP_Speadsheet!$E$91:$BL$91))</f>
        <v>0</v>
      </c>
      <c r="S28" s="340" cm="1">
        <f t="array" aca="1" ref="S28" ca="1">SUMPRODUCT(S$54:S$113,TRANSPOSE(SAP_Speadsheet!$E$91:$BL$91))</f>
        <v>0</v>
      </c>
      <c r="T28" s="340" cm="1">
        <f t="array" aca="1" ref="T28" ca="1">SUMPRODUCT(T$54:T$113,TRANSPOSE(SAP_Speadsheet!$E$91:$BL$91))</f>
        <v>0</v>
      </c>
      <c r="U28" s="340" cm="1">
        <f t="array" aca="1" ref="U28" ca="1">SUMPRODUCT(U$54:U$113,TRANSPOSE(SAP_Speadsheet!$E$91:$BL$91))</f>
        <v>0</v>
      </c>
      <c r="V28" s="340" cm="1">
        <f t="array" aca="1" ref="V28" ca="1">SUMPRODUCT(V$54:V$113,TRANSPOSE(SAP_Speadsheet!$E$91:$BL$91))</f>
        <v>0</v>
      </c>
      <c r="W28" s="340" cm="1">
        <f t="array" aca="1" ref="W28" ca="1">SUMPRODUCT(W$54:W$113,TRANSPOSE(SAP_Speadsheet!$E$91:$BL$91))</f>
        <v>0</v>
      </c>
      <c r="X28" s="340" cm="1">
        <f t="array" aca="1" ref="X28" ca="1">SUMPRODUCT(X$54:X$113,TRANSPOSE(SAP_Speadsheet!$E$91:$BL$91))</f>
        <v>0</v>
      </c>
      <c r="Y28" s="340" cm="1">
        <f t="array" aca="1" ref="Y28" ca="1">SUMPRODUCT(Y$54:Y$113,TRANSPOSE(SAP_Speadsheet!$E$91:$BL$91))</f>
        <v>0</v>
      </c>
      <c r="Z28" s="340" cm="1">
        <f t="array" aca="1" ref="Z28" ca="1">SUMPRODUCT(Z$54:Z$113,TRANSPOSE(SAP_Speadsheet!$E$91:$BL$91))</f>
        <v>0</v>
      </c>
      <c r="AA28" s="340" cm="1">
        <f t="array" aca="1" ref="AA28" ca="1">SUMPRODUCT(AA$54:AA$113,TRANSPOSE(SAP_Speadsheet!$E$91:$BL$91))</f>
        <v>0</v>
      </c>
      <c r="AB28" s="340" cm="1">
        <f t="array" aca="1" ref="AB28" ca="1">SUMPRODUCT(AB$54:AB$113,TRANSPOSE(SAP_Speadsheet!$E$91:$BL$91))</f>
        <v>0</v>
      </c>
      <c r="AC28" s="340" cm="1">
        <f t="array" aca="1" ref="AC28" ca="1">SUMPRODUCT(AC$54:AC$113,TRANSPOSE(SAP_Speadsheet!$E$91:$BL$91))</f>
        <v>0</v>
      </c>
      <c r="AD28" s="340" cm="1">
        <f t="array" aca="1" ref="AD28" ca="1">SUMPRODUCT(AD$54:AD$113,TRANSPOSE(SAP_Speadsheet!$E$91:$BL$91))</f>
        <v>0</v>
      </c>
      <c r="AE28" s="340" cm="1">
        <f t="array" aca="1" ref="AE28" ca="1">SUMPRODUCT(AE$54:AE$113,TRANSPOSE(SAP_Speadsheet!$E$91:$BL$91))</f>
        <v>0</v>
      </c>
      <c r="AF28" s="340" cm="1">
        <f t="array" aca="1" ref="AF28" ca="1">SUMPRODUCT(AF$54:AF$113,TRANSPOSE(SAP_Speadsheet!$E$91:$BL$91))</f>
        <v>0</v>
      </c>
      <c r="AG28" s="340" cm="1">
        <f t="array" aca="1" ref="AG28" ca="1">SUMPRODUCT(AG$54:AG$113,TRANSPOSE(SAP_Speadsheet!$E$91:$BL$91))</f>
        <v>0</v>
      </c>
      <c r="AH28" s="340" cm="1">
        <f t="array" aca="1" ref="AH28" ca="1">SUMPRODUCT(AH$54:AH$113,TRANSPOSE(SAP_Speadsheet!$E$91:$BL$91))</f>
        <v>0</v>
      </c>
      <c r="AI28" s="340" cm="1">
        <f t="array" aca="1" ref="AI28" ca="1">SUMPRODUCT(AI$54:AI$113,TRANSPOSE(SAP_Speadsheet!$E$91:$BL$91))</f>
        <v>0</v>
      </c>
      <c r="AJ28" s="340" cm="1">
        <f t="array" aca="1" ref="AJ28" ca="1">SUMPRODUCT(AJ$54:AJ$113,TRANSPOSE(SAP_Speadsheet!$E$91:$BL$91))</f>
        <v>0</v>
      </c>
      <c r="AK28" s="340" cm="1">
        <f t="array" aca="1" ref="AK28" ca="1">SUMPRODUCT(AK$54:AK$113,TRANSPOSE(SAP_Speadsheet!$E$91:$BL$91))</f>
        <v>0</v>
      </c>
      <c r="AL28" s="340" cm="1">
        <f t="array" aca="1" ref="AL28" ca="1">SUMPRODUCT(AL$54:AL$113,TRANSPOSE(SAP_Speadsheet!$E$91:$BL$91))</f>
        <v>0</v>
      </c>
      <c r="AM28" s="340" cm="1">
        <f t="array" aca="1" ref="AM28" ca="1">SUMPRODUCT(AM$54:AM$113,TRANSPOSE(SAP_Speadsheet!$E$91:$BL$91))</f>
        <v>0</v>
      </c>
      <c r="AN28" s="340" cm="1">
        <f t="array" aca="1" ref="AN28" ca="1">SUMPRODUCT(AN$54:AN$113,TRANSPOSE(SAP_Speadsheet!$E$91:$BL$91))</f>
        <v>0</v>
      </c>
      <c r="AO28" s="340" cm="1">
        <f t="array" aca="1" ref="AO28" ca="1">SUMPRODUCT(AO$54:AO$113,TRANSPOSE(SAP_Speadsheet!$E$91:$BL$91))</f>
        <v>0</v>
      </c>
      <c r="AP28" s="340" cm="1">
        <f t="array" aca="1" ref="AP28" ca="1">SUMPRODUCT(AP$54:AP$113,TRANSPOSE(SAP_Speadsheet!$E$91:$BL$91))</f>
        <v>0</v>
      </c>
      <c r="AQ28" s="340" cm="1">
        <f t="array" aca="1" ref="AQ28" ca="1">SUMPRODUCT(AQ$54:AQ$113,TRANSPOSE(SAP_Speadsheet!$E$91:$BL$91))</f>
        <v>0</v>
      </c>
      <c r="AR28" s="340" cm="1">
        <f t="array" aca="1" ref="AR28" ca="1">SUMPRODUCT(AR$54:AR$113,TRANSPOSE(SAP_Speadsheet!$E$91:$BL$91))</f>
        <v>0</v>
      </c>
      <c r="AS28" s="340" cm="1">
        <f t="array" aca="1" ref="AS28" ca="1">SUMPRODUCT(AS$54:AS$113,TRANSPOSE(SAP_Speadsheet!$E$91:$BL$91))</f>
        <v>0</v>
      </c>
      <c r="AT28" s="340" cm="1">
        <f t="array" aca="1" ref="AT28" ca="1">SUMPRODUCT(AT$54:AT$113,TRANSPOSE(SAP_Speadsheet!$E$91:$BL$91))</f>
        <v>0</v>
      </c>
      <c r="AU28" s="340" cm="1">
        <f t="array" aca="1" ref="AU28" ca="1">SUMPRODUCT(AU$54:AU$113,TRANSPOSE(SAP_Speadsheet!$E$91:$BL$91))</f>
        <v>0</v>
      </c>
      <c r="AV28" s="340" cm="1">
        <f t="array" aca="1" ref="AV28" ca="1">SUMPRODUCT(AV$54:AV$113,TRANSPOSE(SAP_Speadsheet!$E$91:$BL$91))</f>
        <v>0</v>
      </c>
      <c r="AW28" s="340" cm="1">
        <f t="array" aca="1" ref="AW28" ca="1">SUMPRODUCT(AW$54:AW$113,TRANSPOSE(SAP_Speadsheet!$E$91:$BL$91))</f>
        <v>0</v>
      </c>
      <c r="AX28" s="340" cm="1">
        <f t="array" aca="1" ref="AX28" ca="1">SUMPRODUCT(AX$54:AX$113,TRANSPOSE(SAP_Speadsheet!$E$91:$BL$91))</f>
        <v>0</v>
      </c>
      <c r="AY28" s="340" cm="1">
        <f t="array" aca="1" ref="AY28" ca="1">SUMPRODUCT(AY$54:AY$113,TRANSPOSE(SAP_Speadsheet!$E$91:$BL$91))</f>
        <v>0</v>
      </c>
      <c r="AZ28" s="340" cm="1">
        <f t="array" aca="1" ref="AZ28" ca="1">SUMPRODUCT(AZ$54:AZ$113,TRANSPOSE(SAP_Speadsheet!$E$91:$BL$91))</f>
        <v>0</v>
      </c>
      <c r="BA28" s="340" cm="1">
        <f t="array" aca="1" ref="BA28" ca="1">SUMPRODUCT(BA$54:BA$113,TRANSPOSE(SAP_Speadsheet!$E$91:$BL$91))</f>
        <v>0</v>
      </c>
      <c r="BB28" s="340" cm="1">
        <f t="array" aca="1" ref="BB28" ca="1">SUMPRODUCT(BB$54:BB$113,TRANSPOSE(SAP_Speadsheet!$E$91:$BL$91))</f>
        <v>0</v>
      </c>
      <c r="BC28" s="340" cm="1">
        <f t="array" aca="1" ref="BC28" ca="1">SUMPRODUCT(BC$54:BC$113,TRANSPOSE(SAP_Speadsheet!$E$91:$BL$91))</f>
        <v>0</v>
      </c>
      <c r="BD28" s="340" cm="1">
        <f t="array" aca="1" ref="BD28" ca="1">SUMPRODUCT(BD$54:BD$113,TRANSPOSE(SAP_Speadsheet!$E$91:$BL$91))</f>
        <v>0</v>
      </c>
      <c r="BE28" s="340" cm="1">
        <f t="array" aca="1" ref="BE28" ca="1">SUMPRODUCT(BE$54:BE$113,TRANSPOSE(SAP_Speadsheet!$E$91:$BL$91))</f>
        <v>0</v>
      </c>
      <c r="BF28" s="340" cm="1">
        <f t="array" aca="1" ref="BF28" ca="1">SUMPRODUCT(BF$54:BF$113,TRANSPOSE(SAP_Speadsheet!$E$91:$BL$91))</f>
        <v>0</v>
      </c>
      <c r="BG28" s="340" cm="1">
        <f t="array" aca="1" ref="BG28" ca="1">SUMPRODUCT(BG$54:BG$113,TRANSPOSE(SAP_Speadsheet!$E$91:$BL$91))</f>
        <v>0</v>
      </c>
      <c r="BH28" s="340" cm="1">
        <f t="array" aca="1" ref="BH28" ca="1">SUMPRODUCT(BH$54:BH$113,TRANSPOSE(SAP_Speadsheet!$E$91:$BL$91))</f>
        <v>0</v>
      </c>
      <c r="BI28" s="340" cm="1">
        <f t="array" aca="1" ref="BI28" ca="1">SUMPRODUCT(BI$54:BI$113,TRANSPOSE(SAP_Speadsheet!$E$91:$BL$91))</f>
        <v>0</v>
      </c>
    </row>
    <row r="29" spans="1:61" x14ac:dyDescent="0.15">
      <c r="A29" s="333" t="s">
        <v>247</v>
      </c>
      <c r="B29" s="340" cm="1">
        <f t="array" aca="1" ref="B29" ca="1">SUMPRODUCT(B$54:B$113,TRANSPOSE(SAP_Speadsheet!$E$95:$BL$95))</f>
        <v>0</v>
      </c>
      <c r="C29" s="340" cm="1">
        <f t="array" aca="1" ref="C29" ca="1">SUMPRODUCT(C$54:C$113,TRANSPOSE(SAP_Speadsheet!$E$95:$BL$95))</f>
        <v>0</v>
      </c>
      <c r="D29" s="340" cm="1">
        <f t="array" aca="1" ref="D29" ca="1">SUMPRODUCT(D$54:D$113,TRANSPOSE(SAP_Speadsheet!$E$95:$BL$95))</f>
        <v>0</v>
      </c>
      <c r="E29" s="340" cm="1">
        <f t="array" aca="1" ref="E29" ca="1">SUMPRODUCT(E$54:E$113,TRANSPOSE(SAP_Speadsheet!$E$95:$BL$95))</f>
        <v>-4404.0744413050888</v>
      </c>
      <c r="F29" s="340" cm="1">
        <f t="array" aca="1" ref="F29" ca="1">SUMPRODUCT(F$54:F$113,TRANSPOSE(SAP_Speadsheet!$E$95:$BL$95))</f>
        <v>-5843.2451600182467</v>
      </c>
      <c r="G29" s="340" cm="1">
        <f t="array" aca="1" ref="G29" ca="1">SUMPRODUCT(G$54:G$113,TRANSPOSE(SAP_Speadsheet!$E$95:$BL$95))</f>
        <v>-8716.0269585168226</v>
      </c>
      <c r="H29" s="340" cm="1">
        <f t="array" aca="1" ref="H29" ca="1">SUMPRODUCT(H$54:H$113,TRANSPOSE(SAP_Speadsheet!$E$95:$BL$95))</f>
        <v>0</v>
      </c>
      <c r="I29" s="340" cm="1">
        <f t="array" aca="1" ref="I29" ca="1">SUMPRODUCT(I$54:I$113,TRANSPOSE(SAP_Speadsheet!$E$95:$BL$95))</f>
        <v>0</v>
      </c>
      <c r="J29" s="340" cm="1">
        <f t="array" aca="1" ref="J29" ca="1">SUMPRODUCT(J$54:J$113,TRANSPOSE(SAP_Speadsheet!$E$95:$BL$95))</f>
        <v>0</v>
      </c>
      <c r="K29" s="340" cm="1">
        <f t="array" aca="1" ref="K29" ca="1">SUMPRODUCT(K$54:K$113,TRANSPOSE(SAP_Speadsheet!$E$95:$BL$95))</f>
        <v>0</v>
      </c>
      <c r="L29" s="340" cm="1">
        <f t="array" aca="1" ref="L29" ca="1">SUMPRODUCT(L$54:L$113,TRANSPOSE(SAP_Speadsheet!$E$95:$BL$95))</f>
        <v>0</v>
      </c>
      <c r="M29" s="340" cm="1">
        <f t="array" aca="1" ref="M29" ca="1">SUMPRODUCT(M$54:M$113,TRANSPOSE(SAP_Speadsheet!$E$95:$BL$95))</f>
        <v>0</v>
      </c>
      <c r="N29" s="340" cm="1">
        <f t="array" aca="1" ref="N29" ca="1">SUMPRODUCT(N$54:N$113,TRANSPOSE(SAP_Speadsheet!$E$95:$BL$95))</f>
        <v>0</v>
      </c>
      <c r="O29" s="340" cm="1">
        <f t="array" aca="1" ref="O29" ca="1">SUMPRODUCT(O$54:O$113,TRANSPOSE(SAP_Speadsheet!$E$95:$BL$95))</f>
        <v>0</v>
      </c>
      <c r="P29" s="340" cm="1">
        <f t="array" aca="1" ref="P29" ca="1">SUMPRODUCT(P$54:P$113,TRANSPOSE(SAP_Speadsheet!$E$95:$BL$95))</f>
        <v>0</v>
      </c>
      <c r="Q29" s="340" cm="1">
        <f t="array" aca="1" ref="Q29" ca="1">SUMPRODUCT(Q$54:Q$113,TRANSPOSE(SAP_Speadsheet!$E$95:$BL$95))</f>
        <v>0</v>
      </c>
      <c r="R29" s="340" cm="1">
        <f t="array" aca="1" ref="R29" ca="1">SUMPRODUCT(R$54:R$113,TRANSPOSE(SAP_Speadsheet!$E$95:$BL$95))</f>
        <v>0</v>
      </c>
      <c r="S29" s="340" cm="1">
        <f t="array" aca="1" ref="S29" ca="1">SUMPRODUCT(S$54:S$113,TRANSPOSE(SAP_Speadsheet!$E$95:$BL$95))</f>
        <v>0</v>
      </c>
      <c r="T29" s="340" cm="1">
        <f t="array" aca="1" ref="T29" ca="1">SUMPRODUCT(T$54:T$113,TRANSPOSE(SAP_Speadsheet!$E$95:$BL$95))</f>
        <v>0</v>
      </c>
      <c r="U29" s="340" cm="1">
        <f t="array" aca="1" ref="U29" ca="1">SUMPRODUCT(U$54:U$113,TRANSPOSE(SAP_Speadsheet!$E$95:$BL$95))</f>
        <v>0</v>
      </c>
      <c r="V29" s="340" cm="1">
        <f t="array" aca="1" ref="V29" ca="1">SUMPRODUCT(V$54:V$113,TRANSPOSE(SAP_Speadsheet!$E$95:$BL$95))</f>
        <v>0</v>
      </c>
      <c r="W29" s="340" cm="1">
        <f t="array" aca="1" ref="W29" ca="1">SUMPRODUCT(W$54:W$113,TRANSPOSE(SAP_Speadsheet!$E$95:$BL$95))</f>
        <v>0</v>
      </c>
      <c r="X29" s="340" cm="1">
        <f t="array" aca="1" ref="X29" ca="1">SUMPRODUCT(X$54:X$113,TRANSPOSE(SAP_Speadsheet!$E$95:$BL$95))</f>
        <v>0</v>
      </c>
      <c r="Y29" s="340" cm="1">
        <f t="array" aca="1" ref="Y29" ca="1">SUMPRODUCT(Y$54:Y$113,TRANSPOSE(SAP_Speadsheet!$E$95:$BL$95))</f>
        <v>0</v>
      </c>
      <c r="Z29" s="340" cm="1">
        <f t="array" aca="1" ref="Z29" ca="1">SUMPRODUCT(Z$54:Z$113,TRANSPOSE(SAP_Speadsheet!$E$95:$BL$95))</f>
        <v>0</v>
      </c>
      <c r="AA29" s="340" cm="1">
        <f t="array" aca="1" ref="AA29" ca="1">SUMPRODUCT(AA$54:AA$113,TRANSPOSE(SAP_Speadsheet!$E$95:$BL$95))</f>
        <v>0</v>
      </c>
      <c r="AB29" s="340" cm="1">
        <f t="array" aca="1" ref="AB29" ca="1">SUMPRODUCT(AB$54:AB$113,TRANSPOSE(SAP_Speadsheet!$E$95:$BL$95))</f>
        <v>0</v>
      </c>
      <c r="AC29" s="340" cm="1">
        <f t="array" aca="1" ref="AC29" ca="1">SUMPRODUCT(AC$54:AC$113,TRANSPOSE(SAP_Speadsheet!$E$95:$BL$95))</f>
        <v>0</v>
      </c>
      <c r="AD29" s="340" cm="1">
        <f t="array" aca="1" ref="AD29" ca="1">SUMPRODUCT(AD$54:AD$113,TRANSPOSE(SAP_Speadsheet!$E$95:$BL$95))</f>
        <v>0</v>
      </c>
      <c r="AE29" s="340" cm="1">
        <f t="array" aca="1" ref="AE29" ca="1">SUMPRODUCT(AE$54:AE$113,TRANSPOSE(SAP_Speadsheet!$E$95:$BL$95))</f>
        <v>0</v>
      </c>
      <c r="AF29" s="340" cm="1">
        <f t="array" aca="1" ref="AF29" ca="1">SUMPRODUCT(AF$54:AF$113,TRANSPOSE(SAP_Speadsheet!$E$95:$BL$95))</f>
        <v>0</v>
      </c>
      <c r="AG29" s="340" cm="1">
        <f t="array" aca="1" ref="AG29" ca="1">SUMPRODUCT(AG$54:AG$113,TRANSPOSE(SAP_Speadsheet!$E$95:$BL$95))</f>
        <v>0</v>
      </c>
      <c r="AH29" s="340" cm="1">
        <f t="array" aca="1" ref="AH29" ca="1">SUMPRODUCT(AH$54:AH$113,TRANSPOSE(SAP_Speadsheet!$E$95:$BL$95))</f>
        <v>0</v>
      </c>
      <c r="AI29" s="340" cm="1">
        <f t="array" aca="1" ref="AI29" ca="1">SUMPRODUCT(AI$54:AI$113,TRANSPOSE(SAP_Speadsheet!$E$95:$BL$95))</f>
        <v>0</v>
      </c>
      <c r="AJ29" s="340" cm="1">
        <f t="array" aca="1" ref="AJ29" ca="1">SUMPRODUCT(AJ$54:AJ$113,TRANSPOSE(SAP_Speadsheet!$E$95:$BL$95))</f>
        <v>0</v>
      </c>
      <c r="AK29" s="340" cm="1">
        <f t="array" aca="1" ref="AK29" ca="1">SUMPRODUCT(AK$54:AK$113,TRANSPOSE(SAP_Speadsheet!$E$95:$BL$95))</f>
        <v>0</v>
      </c>
      <c r="AL29" s="340" cm="1">
        <f t="array" aca="1" ref="AL29" ca="1">SUMPRODUCT(AL$54:AL$113,TRANSPOSE(SAP_Speadsheet!$E$95:$BL$95))</f>
        <v>0</v>
      </c>
      <c r="AM29" s="340" cm="1">
        <f t="array" aca="1" ref="AM29" ca="1">SUMPRODUCT(AM$54:AM$113,TRANSPOSE(SAP_Speadsheet!$E$95:$BL$95))</f>
        <v>0</v>
      </c>
      <c r="AN29" s="340" cm="1">
        <f t="array" aca="1" ref="AN29" ca="1">SUMPRODUCT(AN$54:AN$113,TRANSPOSE(SAP_Speadsheet!$E$95:$BL$95))</f>
        <v>0</v>
      </c>
      <c r="AO29" s="340" cm="1">
        <f t="array" aca="1" ref="AO29" ca="1">SUMPRODUCT(AO$54:AO$113,TRANSPOSE(SAP_Speadsheet!$E$95:$BL$95))</f>
        <v>0</v>
      </c>
      <c r="AP29" s="340" cm="1">
        <f t="array" aca="1" ref="AP29" ca="1">SUMPRODUCT(AP$54:AP$113,TRANSPOSE(SAP_Speadsheet!$E$95:$BL$95))</f>
        <v>0</v>
      </c>
      <c r="AQ29" s="340" cm="1">
        <f t="array" aca="1" ref="AQ29" ca="1">SUMPRODUCT(AQ$54:AQ$113,TRANSPOSE(SAP_Speadsheet!$E$95:$BL$95))</f>
        <v>0</v>
      </c>
      <c r="AR29" s="340" cm="1">
        <f t="array" aca="1" ref="AR29" ca="1">SUMPRODUCT(AR$54:AR$113,TRANSPOSE(SAP_Speadsheet!$E$95:$BL$95))</f>
        <v>0</v>
      </c>
      <c r="AS29" s="340" cm="1">
        <f t="array" aca="1" ref="AS29" ca="1">SUMPRODUCT(AS$54:AS$113,TRANSPOSE(SAP_Speadsheet!$E$95:$BL$95))</f>
        <v>0</v>
      </c>
      <c r="AT29" s="340" cm="1">
        <f t="array" aca="1" ref="AT29" ca="1">SUMPRODUCT(AT$54:AT$113,TRANSPOSE(SAP_Speadsheet!$E$95:$BL$95))</f>
        <v>0</v>
      </c>
      <c r="AU29" s="340" cm="1">
        <f t="array" aca="1" ref="AU29" ca="1">SUMPRODUCT(AU$54:AU$113,TRANSPOSE(SAP_Speadsheet!$E$95:$BL$95))</f>
        <v>0</v>
      </c>
      <c r="AV29" s="340" cm="1">
        <f t="array" aca="1" ref="AV29" ca="1">SUMPRODUCT(AV$54:AV$113,TRANSPOSE(SAP_Speadsheet!$E$95:$BL$95))</f>
        <v>0</v>
      </c>
      <c r="AW29" s="340" cm="1">
        <f t="array" aca="1" ref="AW29" ca="1">SUMPRODUCT(AW$54:AW$113,TRANSPOSE(SAP_Speadsheet!$E$95:$BL$95))</f>
        <v>0</v>
      </c>
      <c r="AX29" s="340" cm="1">
        <f t="array" aca="1" ref="AX29" ca="1">SUMPRODUCT(AX$54:AX$113,TRANSPOSE(SAP_Speadsheet!$E$95:$BL$95))</f>
        <v>0</v>
      </c>
      <c r="AY29" s="340" cm="1">
        <f t="array" aca="1" ref="AY29" ca="1">SUMPRODUCT(AY$54:AY$113,TRANSPOSE(SAP_Speadsheet!$E$95:$BL$95))</f>
        <v>0</v>
      </c>
      <c r="AZ29" s="340" cm="1">
        <f t="array" aca="1" ref="AZ29" ca="1">SUMPRODUCT(AZ$54:AZ$113,TRANSPOSE(SAP_Speadsheet!$E$95:$BL$95))</f>
        <v>0</v>
      </c>
      <c r="BA29" s="340" cm="1">
        <f t="array" aca="1" ref="BA29" ca="1">SUMPRODUCT(BA$54:BA$113,TRANSPOSE(SAP_Speadsheet!$E$95:$BL$95))</f>
        <v>0</v>
      </c>
      <c r="BB29" s="340" cm="1">
        <f t="array" aca="1" ref="BB29" ca="1">SUMPRODUCT(BB$54:BB$113,TRANSPOSE(SAP_Speadsheet!$E$95:$BL$95))</f>
        <v>0</v>
      </c>
      <c r="BC29" s="340" cm="1">
        <f t="array" aca="1" ref="BC29" ca="1">SUMPRODUCT(BC$54:BC$113,TRANSPOSE(SAP_Speadsheet!$E$95:$BL$95))</f>
        <v>0</v>
      </c>
      <c r="BD29" s="340" cm="1">
        <f t="array" aca="1" ref="BD29" ca="1">SUMPRODUCT(BD$54:BD$113,TRANSPOSE(SAP_Speadsheet!$E$95:$BL$95))</f>
        <v>0</v>
      </c>
      <c r="BE29" s="340" cm="1">
        <f t="array" aca="1" ref="BE29" ca="1">SUMPRODUCT(BE$54:BE$113,TRANSPOSE(SAP_Speadsheet!$E$95:$BL$95))</f>
        <v>0</v>
      </c>
      <c r="BF29" s="340" cm="1">
        <f t="array" aca="1" ref="BF29" ca="1">SUMPRODUCT(BF$54:BF$113,TRANSPOSE(SAP_Speadsheet!$E$95:$BL$95))</f>
        <v>0</v>
      </c>
      <c r="BG29" s="340" cm="1">
        <f t="array" aca="1" ref="BG29" ca="1">SUMPRODUCT(BG$54:BG$113,TRANSPOSE(SAP_Speadsheet!$E$95:$BL$95))</f>
        <v>0</v>
      </c>
      <c r="BH29" s="340" cm="1">
        <f t="array" aca="1" ref="BH29" ca="1">SUMPRODUCT(BH$54:BH$113,TRANSPOSE(SAP_Speadsheet!$E$95:$BL$95))</f>
        <v>0</v>
      </c>
      <c r="BI29" s="340" cm="1">
        <f t="array" aca="1" ref="BI29" ca="1">SUMPRODUCT(BI$54:BI$113,TRANSPOSE(SAP_Speadsheet!$E$95:$BL$95))</f>
        <v>0</v>
      </c>
    </row>
    <row r="30" spans="1:61" x14ac:dyDescent="0.15">
      <c r="A30" s="333" t="s">
        <v>210</v>
      </c>
      <c r="B30" s="340" cm="1">
        <f t="array" aca="1" ref="B30" ca="1">SUMPRODUCT(B$54:B$113,TRANSPOSE(SAP_Speadsheet!$E$175:$BL$175))</f>
        <v>0</v>
      </c>
      <c r="C30" s="340" cm="1">
        <f t="array" aca="1" ref="C30" ca="1">SUMPRODUCT(C$54:C$113,TRANSPOSE(SAP_Speadsheet!$E$175:$BL$175))</f>
        <v>0</v>
      </c>
      <c r="D30" s="340" cm="1">
        <f t="array" aca="1" ref="D30" ca="1">SUMPRODUCT(D$54:D$113,TRANSPOSE(SAP_Speadsheet!$E$175:$BL$175))</f>
        <v>0</v>
      </c>
      <c r="E30" s="340" cm="1">
        <f t="array" aca="1" ref="E30" ca="1">SUMPRODUCT(E$54:E$113,TRANSPOSE(SAP_Speadsheet!$E$175:$BL$175))</f>
        <v>-11153.015168225655</v>
      </c>
      <c r="F30" s="340" cm="1">
        <f t="array" aca="1" ref="F30" ca="1">SUMPRODUCT(F$54:F$113,TRANSPOSE(SAP_Speadsheet!$E$175:$BL$175))</f>
        <v>-14797.615882721646</v>
      </c>
      <c r="G30" s="340" cm="1">
        <f t="array" aca="1" ref="G30" ca="1">SUMPRODUCT(G$54:G$113,TRANSPOSE(SAP_Speadsheet!$E$175:$BL$175))</f>
        <v>-22072.737909079242</v>
      </c>
      <c r="H30" s="340" cm="1">
        <f t="array" aca="1" ref="H30" ca="1">SUMPRODUCT(H$54:H$113,TRANSPOSE(SAP_Speadsheet!$E$175:$BL$175))</f>
        <v>2.4691915179175794E-12</v>
      </c>
      <c r="I30" s="340" cm="1">
        <f t="array" aca="1" ref="I30" ca="1">SUMPRODUCT(I$54:I$113,TRANSPOSE(SAP_Speadsheet!$E$175:$BL$175))</f>
        <v>-3.1661895327772527E-12</v>
      </c>
      <c r="J30" s="340" cm="1">
        <f t="array" aca="1" ref="J30" ca="1">SUMPRODUCT(J$54:J$113,TRANSPOSE(SAP_Speadsheet!$E$175:$BL$175))</f>
        <v>-8.1021855891094674E-12</v>
      </c>
      <c r="K30" s="340" cm="1">
        <f t="array" aca="1" ref="K30" ca="1">SUMPRODUCT(K$54:K$113,TRANSPOSE(SAP_Speadsheet!$E$175:$BL$175))</f>
        <v>-1.2334022692073177E-12</v>
      </c>
      <c r="L30" s="340" cm="1">
        <f t="array" aca="1" ref="L30" ca="1">SUMPRODUCT(L$54:L$113,TRANSPOSE(SAP_Speadsheet!$E$175:$BL$175))</f>
        <v>3.7421454823771683E-12</v>
      </c>
      <c r="M30" s="340" cm="1">
        <f t="array" aca="1" ref="M30" ca="1">SUMPRODUCT(M$54:M$113,TRANSPOSE(SAP_Speadsheet!$E$175:$BL$175))</f>
        <v>0</v>
      </c>
      <c r="N30" s="340" cm="1">
        <f t="array" aca="1" ref="N30" ca="1">SUMPRODUCT(N$54:N$113,TRANSPOSE(SAP_Speadsheet!$E$175:$BL$175))</f>
        <v>0</v>
      </c>
      <c r="O30" s="340" cm="1">
        <f t="array" aca="1" ref="O30" ca="1">SUMPRODUCT(O$54:O$113,TRANSPOSE(SAP_Speadsheet!$E$175:$BL$175))</f>
        <v>0</v>
      </c>
      <c r="P30" s="340" cm="1">
        <f t="array" aca="1" ref="P30" ca="1">SUMPRODUCT(P$54:P$113,TRANSPOSE(SAP_Speadsheet!$E$175:$BL$175))</f>
        <v>0</v>
      </c>
      <c r="Q30" s="340" cm="1">
        <f t="array" aca="1" ref="Q30" ca="1">SUMPRODUCT(Q$54:Q$113,TRANSPOSE(SAP_Speadsheet!$E$175:$BL$175))</f>
        <v>0</v>
      </c>
      <c r="R30" s="340" cm="1">
        <f t="array" aca="1" ref="R30" ca="1">SUMPRODUCT(R$54:R$113,TRANSPOSE(SAP_Speadsheet!$E$175:$BL$175))</f>
        <v>0</v>
      </c>
      <c r="S30" s="340" cm="1">
        <f t="array" aca="1" ref="S30" ca="1">SUMPRODUCT(S$54:S$113,TRANSPOSE(SAP_Speadsheet!$E$175:$BL$175))</f>
        <v>0</v>
      </c>
      <c r="T30" s="340" cm="1">
        <f t="array" aca="1" ref="T30" ca="1">SUMPRODUCT(T$54:T$113,TRANSPOSE(SAP_Speadsheet!$E$175:$BL$175))</f>
        <v>0</v>
      </c>
      <c r="U30" s="340" cm="1">
        <f t="array" aca="1" ref="U30" ca="1">SUMPRODUCT(U$54:U$113,TRANSPOSE(SAP_Speadsheet!$E$175:$BL$175))</f>
        <v>0</v>
      </c>
      <c r="V30" s="340" cm="1">
        <f t="array" aca="1" ref="V30" ca="1">SUMPRODUCT(V$54:V$113,TRANSPOSE(SAP_Speadsheet!$E$175:$BL$175))</f>
        <v>0</v>
      </c>
      <c r="W30" s="340" cm="1">
        <f t="array" aca="1" ref="W30" ca="1">SUMPRODUCT(W$54:W$113,TRANSPOSE(SAP_Speadsheet!$E$175:$BL$175))</f>
        <v>0</v>
      </c>
      <c r="X30" s="340" cm="1">
        <f t="array" aca="1" ref="X30" ca="1">SUMPRODUCT(X$54:X$113,TRANSPOSE(SAP_Speadsheet!$E$175:$BL$175))</f>
        <v>0</v>
      </c>
      <c r="Y30" s="340" cm="1">
        <f t="array" aca="1" ref="Y30" ca="1">SUMPRODUCT(Y$54:Y$113,TRANSPOSE(SAP_Speadsheet!$E$175:$BL$175))</f>
        <v>0</v>
      </c>
      <c r="Z30" s="340" cm="1">
        <f t="array" aca="1" ref="Z30" ca="1">SUMPRODUCT(Z$54:Z$113,TRANSPOSE(SAP_Speadsheet!$E$175:$BL$175))</f>
        <v>0</v>
      </c>
      <c r="AA30" s="340" cm="1">
        <f t="array" aca="1" ref="AA30" ca="1">SUMPRODUCT(AA$54:AA$113,TRANSPOSE(SAP_Speadsheet!$E$175:$BL$175))</f>
        <v>0</v>
      </c>
      <c r="AB30" s="340" cm="1">
        <f t="array" aca="1" ref="AB30" ca="1">SUMPRODUCT(AB$54:AB$113,TRANSPOSE(SAP_Speadsheet!$E$175:$BL$175))</f>
        <v>0</v>
      </c>
      <c r="AC30" s="340" cm="1">
        <f t="array" aca="1" ref="AC30" ca="1">SUMPRODUCT(AC$54:AC$113,TRANSPOSE(SAP_Speadsheet!$E$175:$BL$175))</f>
        <v>0</v>
      </c>
      <c r="AD30" s="340" cm="1">
        <f t="array" aca="1" ref="AD30" ca="1">SUMPRODUCT(AD$54:AD$113,TRANSPOSE(SAP_Speadsheet!$E$175:$BL$175))</f>
        <v>0</v>
      </c>
      <c r="AE30" s="340" cm="1">
        <f t="array" aca="1" ref="AE30" ca="1">SUMPRODUCT(AE$54:AE$113,TRANSPOSE(SAP_Speadsheet!$E$175:$BL$175))</f>
        <v>0</v>
      </c>
      <c r="AF30" s="340" cm="1">
        <f t="array" aca="1" ref="AF30" ca="1">SUMPRODUCT(AF$54:AF$113,TRANSPOSE(SAP_Speadsheet!$E$175:$BL$175))</f>
        <v>0</v>
      </c>
      <c r="AG30" s="340" cm="1">
        <f t="array" aca="1" ref="AG30" ca="1">SUMPRODUCT(AG$54:AG$113,TRANSPOSE(SAP_Speadsheet!$E$175:$BL$175))</f>
        <v>0</v>
      </c>
      <c r="AH30" s="340" cm="1">
        <f t="array" aca="1" ref="AH30" ca="1">SUMPRODUCT(AH$54:AH$113,TRANSPOSE(SAP_Speadsheet!$E$175:$BL$175))</f>
        <v>0</v>
      </c>
      <c r="AI30" s="340" cm="1">
        <f t="array" aca="1" ref="AI30" ca="1">SUMPRODUCT(AI$54:AI$113,TRANSPOSE(SAP_Speadsheet!$E$175:$BL$175))</f>
        <v>0</v>
      </c>
      <c r="AJ30" s="340" cm="1">
        <f t="array" aca="1" ref="AJ30" ca="1">SUMPRODUCT(AJ$54:AJ$113,TRANSPOSE(SAP_Speadsheet!$E$175:$BL$175))</f>
        <v>0</v>
      </c>
      <c r="AK30" s="340" cm="1">
        <f t="array" aca="1" ref="AK30" ca="1">SUMPRODUCT(AK$54:AK$113,TRANSPOSE(SAP_Speadsheet!$E$175:$BL$175))</f>
        <v>0</v>
      </c>
      <c r="AL30" s="340" cm="1">
        <f t="array" aca="1" ref="AL30" ca="1">SUMPRODUCT(AL$54:AL$113,TRANSPOSE(SAP_Speadsheet!$E$175:$BL$175))</f>
        <v>0</v>
      </c>
      <c r="AM30" s="340" cm="1">
        <f t="array" aca="1" ref="AM30" ca="1">SUMPRODUCT(AM$54:AM$113,TRANSPOSE(SAP_Speadsheet!$E$175:$BL$175))</f>
        <v>0</v>
      </c>
      <c r="AN30" s="340" cm="1">
        <f t="array" aca="1" ref="AN30" ca="1">SUMPRODUCT(AN$54:AN$113,TRANSPOSE(SAP_Speadsheet!$E$175:$BL$175))</f>
        <v>0</v>
      </c>
      <c r="AO30" s="340" cm="1">
        <f t="array" aca="1" ref="AO30" ca="1">SUMPRODUCT(AO$54:AO$113,TRANSPOSE(SAP_Speadsheet!$E$175:$BL$175))</f>
        <v>0</v>
      </c>
      <c r="AP30" s="340" cm="1">
        <f t="array" aca="1" ref="AP30" ca="1">SUMPRODUCT(AP$54:AP$113,TRANSPOSE(SAP_Speadsheet!$E$175:$BL$175))</f>
        <v>0</v>
      </c>
      <c r="AQ30" s="340" cm="1">
        <f t="array" aca="1" ref="AQ30" ca="1">SUMPRODUCT(AQ$54:AQ$113,TRANSPOSE(SAP_Speadsheet!$E$175:$BL$175))</f>
        <v>0</v>
      </c>
      <c r="AR30" s="340" cm="1">
        <f t="array" aca="1" ref="AR30" ca="1">SUMPRODUCT(AR$54:AR$113,TRANSPOSE(SAP_Speadsheet!$E$175:$BL$175))</f>
        <v>0</v>
      </c>
      <c r="AS30" s="340" cm="1">
        <f t="array" aca="1" ref="AS30" ca="1">SUMPRODUCT(AS$54:AS$113,TRANSPOSE(SAP_Speadsheet!$E$175:$BL$175))</f>
        <v>0</v>
      </c>
      <c r="AT30" s="340" cm="1">
        <f t="array" aca="1" ref="AT30" ca="1">SUMPRODUCT(AT$54:AT$113,TRANSPOSE(SAP_Speadsheet!$E$175:$BL$175))</f>
        <v>0</v>
      </c>
      <c r="AU30" s="340" cm="1">
        <f t="array" aca="1" ref="AU30" ca="1">SUMPRODUCT(AU$54:AU$113,TRANSPOSE(SAP_Speadsheet!$E$175:$BL$175))</f>
        <v>0</v>
      </c>
      <c r="AV30" s="340" cm="1">
        <f t="array" aca="1" ref="AV30" ca="1">SUMPRODUCT(AV$54:AV$113,TRANSPOSE(SAP_Speadsheet!$E$175:$BL$175))</f>
        <v>0</v>
      </c>
      <c r="AW30" s="340" cm="1">
        <f t="array" aca="1" ref="AW30" ca="1">SUMPRODUCT(AW$54:AW$113,TRANSPOSE(SAP_Speadsheet!$E$175:$BL$175))</f>
        <v>0</v>
      </c>
      <c r="AX30" s="340" cm="1">
        <f t="array" aca="1" ref="AX30" ca="1">SUMPRODUCT(AX$54:AX$113,TRANSPOSE(SAP_Speadsheet!$E$175:$BL$175))</f>
        <v>0</v>
      </c>
      <c r="AY30" s="340" cm="1">
        <f t="array" aca="1" ref="AY30" ca="1">SUMPRODUCT(AY$54:AY$113,TRANSPOSE(SAP_Speadsheet!$E$175:$BL$175))</f>
        <v>0</v>
      </c>
      <c r="AZ30" s="340" cm="1">
        <f t="array" aca="1" ref="AZ30" ca="1">SUMPRODUCT(AZ$54:AZ$113,TRANSPOSE(SAP_Speadsheet!$E$175:$BL$175))</f>
        <v>0</v>
      </c>
      <c r="BA30" s="340" cm="1">
        <f t="array" aca="1" ref="BA30" ca="1">SUMPRODUCT(BA$54:BA$113,TRANSPOSE(SAP_Speadsheet!$E$175:$BL$175))</f>
        <v>0</v>
      </c>
      <c r="BB30" s="340" cm="1">
        <f t="array" aca="1" ref="BB30" ca="1">SUMPRODUCT(BB$54:BB$113,TRANSPOSE(SAP_Speadsheet!$E$175:$BL$175))</f>
        <v>0</v>
      </c>
      <c r="BC30" s="340" cm="1">
        <f t="array" aca="1" ref="BC30" ca="1">SUMPRODUCT(BC$54:BC$113,TRANSPOSE(SAP_Speadsheet!$E$175:$BL$175))</f>
        <v>0</v>
      </c>
      <c r="BD30" s="340" cm="1">
        <f t="array" aca="1" ref="BD30" ca="1">SUMPRODUCT(BD$54:BD$113,TRANSPOSE(SAP_Speadsheet!$E$175:$BL$175))</f>
        <v>0</v>
      </c>
      <c r="BE30" s="340" cm="1">
        <f t="array" aca="1" ref="BE30" ca="1">SUMPRODUCT(BE$54:BE$113,TRANSPOSE(SAP_Speadsheet!$E$175:$BL$175))</f>
        <v>0</v>
      </c>
      <c r="BF30" s="340" cm="1">
        <f t="array" aca="1" ref="BF30" ca="1">SUMPRODUCT(BF$54:BF$113,TRANSPOSE(SAP_Speadsheet!$E$175:$BL$175))</f>
        <v>0</v>
      </c>
      <c r="BG30" s="340" cm="1">
        <f t="array" aca="1" ref="BG30" ca="1">SUMPRODUCT(BG$54:BG$113,TRANSPOSE(SAP_Speadsheet!$E$175:$BL$175))</f>
        <v>0</v>
      </c>
      <c r="BH30" s="340" cm="1">
        <f t="array" aca="1" ref="BH30" ca="1">SUMPRODUCT(BH$54:BH$113,TRANSPOSE(SAP_Speadsheet!$E$175:$BL$175))</f>
        <v>0</v>
      </c>
      <c r="BI30" s="340" cm="1">
        <f t="array" aca="1" ref="BI30" ca="1">SUMPRODUCT(BI$54:BI$113,TRANSPOSE(SAP_Speadsheet!$E$175:$BL$175))</f>
        <v>0</v>
      </c>
    </row>
    <row r="31" spans="1:61" x14ac:dyDescent="0.15">
      <c r="A31" s="333" t="s">
        <v>220</v>
      </c>
      <c r="B31" s="340" cm="1">
        <f t="array" aca="1" ref="B31" ca="1">SUMPRODUCT(B$54:B$113,TRANSPOSE(SAP_Speadsheet!$E$181:$BL$181))</f>
        <v>0</v>
      </c>
      <c r="C31" s="340" cm="1">
        <f t="array" aca="1" ref="C31" ca="1">SUMPRODUCT(C$54:C$113,TRANSPOSE(SAP_Speadsheet!$E$181:$BL$181))</f>
        <v>0</v>
      </c>
      <c r="D31" s="340" cm="1">
        <f t="array" aca="1" ref="D31" ca="1">SUMPRODUCT(D$54:D$113,TRANSPOSE(SAP_Speadsheet!$E$181:$BL$181))</f>
        <v>0</v>
      </c>
      <c r="E31" s="340" cm="1">
        <f t="array" aca="1" ref="E31" ca="1">SUMPRODUCT(E$54:E$113,TRANSPOSE(SAP_Speadsheet!$E$181:$BL$181))</f>
        <v>-249.75365551954459</v>
      </c>
      <c r="F31" s="340" cm="1">
        <f t="array" aca="1" ref="F31" ca="1">SUMPRODUCT(F$54:F$113,TRANSPOSE(SAP_Speadsheet!$E$181:$BL$181))</f>
        <v>-265.88655832993095</v>
      </c>
      <c r="G31" s="340" cm="1">
        <f t="array" aca="1" ref="G31" ca="1">SUMPRODUCT(G$54:G$113,TRANSPOSE(SAP_Speadsheet!$E$181:$BL$181))</f>
        <v>-467.40980223755332</v>
      </c>
      <c r="H31" s="340" cm="1">
        <f t="array" aca="1" ref="H31" ca="1">SUMPRODUCT(H$54:H$113,TRANSPOSE(SAP_Speadsheet!$E$181:$BL$181))</f>
        <v>3859.3389561144372</v>
      </c>
      <c r="I31" s="340" cm="1">
        <f t="array" aca="1" ref="I31" ca="1">SUMPRODUCT(I$54:I$113,TRANSPOSE(SAP_Speadsheet!$E$181:$BL$181))</f>
        <v>4840.7606567130752</v>
      </c>
      <c r="J31" s="340" cm="1">
        <f t="array" aca="1" ref="J31" ca="1">SUMPRODUCT(J$54:J$113,TRANSPOSE(SAP_Speadsheet!$E$181:$BL$181))</f>
        <v>7319.7086007608723</v>
      </c>
      <c r="K31" s="340" cm="1">
        <f t="array" aca="1" ref="K31" ca="1">SUMPRODUCT(K$54:K$113,TRANSPOSE(SAP_Speadsheet!$E$181:$BL$181))</f>
        <v>-366.85733791506686</v>
      </c>
      <c r="L31" s="340" cm="1">
        <f t="array" aca="1" ref="L31" ca="1">SUMPRODUCT(L$54:L$113,TRANSPOSE(SAP_Speadsheet!$E$181:$BL$181))</f>
        <v>-258.65305504118044</v>
      </c>
      <c r="M31" s="340" cm="1">
        <f t="array" aca="1" ref="M31" ca="1">SUMPRODUCT(M$54:M$113,TRANSPOSE(SAP_Speadsheet!$E$181:$BL$181))</f>
        <v>-109.13705129238849</v>
      </c>
      <c r="N31" s="340" cm="1">
        <f t="array" aca="1" ref="N31" ca="1">SUMPRODUCT(N$54:N$113,TRANSPOSE(SAP_Speadsheet!$E$181:$BL$181))</f>
        <v>0</v>
      </c>
      <c r="O31" s="340" cm="1">
        <f t="array" aca="1" ref="O31" ca="1">SUMPRODUCT(O$54:O$113,TRANSPOSE(SAP_Speadsheet!$E$181:$BL$181))</f>
        <v>0</v>
      </c>
      <c r="P31" s="340" cm="1">
        <f t="array" aca="1" ref="P31" ca="1">SUMPRODUCT(P$54:P$113,TRANSPOSE(SAP_Speadsheet!$E$181:$BL$181))</f>
        <v>0</v>
      </c>
      <c r="Q31" s="340" cm="1">
        <f t="array" aca="1" ref="Q31" ca="1">SUMPRODUCT(Q$54:Q$113,TRANSPOSE(SAP_Speadsheet!$E$181:$BL$181))</f>
        <v>0</v>
      </c>
      <c r="R31" s="340" cm="1">
        <f t="array" aca="1" ref="R31" ca="1">SUMPRODUCT(R$54:R$113,TRANSPOSE(SAP_Speadsheet!$E$181:$BL$181))</f>
        <v>0</v>
      </c>
      <c r="S31" s="340" cm="1">
        <f t="array" aca="1" ref="S31" ca="1">SUMPRODUCT(S$54:S$113,TRANSPOSE(SAP_Speadsheet!$E$181:$BL$181))</f>
        <v>0</v>
      </c>
      <c r="T31" s="340" cm="1">
        <f t="array" aca="1" ref="T31" ca="1">SUMPRODUCT(T$54:T$113,TRANSPOSE(SAP_Speadsheet!$E$181:$BL$181))</f>
        <v>0</v>
      </c>
      <c r="U31" s="340" cm="1">
        <f t="array" aca="1" ref="U31" ca="1">SUMPRODUCT(U$54:U$113,TRANSPOSE(SAP_Speadsheet!$E$181:$BL$181))</f>
        <v>0</v>
      </c>
      <c r="V31" s="340" cm="1">
        <f t="array" aca="1" ref="V31" ca="1">SUMPRODUCT(V$54:V$113,TRANSPOSE(SAP_Speadsheet!$E$181:$BL$181))</f>
        <v>0</v>
      </c>
      <c r="W31" s="340" cm="1">
        <f t="array" aca="1" ref="W31" ca="1">SUMPRODUCT(W$54:W$113,TRANSPOSE(SAP_Speadsheet!$E$181:$BL$181))</f>
        <v>0</v>
      </c>
      <c r="X31" s="340" cm="1">
        <f t="array" aca="1" ref="X31" ca="1">SUMPRODUCT(X$54:X$113,TRANSPOSE(SAP_Speadsheet!$E$181:$BL$181))</f>
        <v>0</v>
      </c>
      <c r="Y31" s="340" cm="1">
        <f t="array" aca="1" ref="Y31" ca="1">SUMPRODUCT(Y$54:Y$113,TRANSPOSE(SAP_Speadsheet!$E$181:$BL$181))</f>
        <v>0</v>
      </c>
      <c r="Z31" s="340" cm="1">
        <f t="array" aca="1" ref="Z31" ca="1">SUMPRODUCT(Z$54:Z$113,TRANSPOSE(SAP_Speadsheet!$E$181:$BL$181))</f>
        <v>0</v>
      </c>
      <c r="AA31" s="340" cm="1">
        <f t="array" aca="1" ref="AA31" ca="1">SUMPRODUCT(AA$54:AA$113,TRANSPOSE(SAP_Speadsheet!$E$181:$BL$181))</f>
        <v>0</v>
      </c>
      <c r="AB31" s="340" cm="1">
        <f t="array" aca="1" ref="AB31" ca="1">SUMPRODUCT(AB$54:AB$113,TRANSPOSE(SAP_Speadsheet!$E$181:$BL$181))</f>
        <v>0</v>
      </c>
      <c r="AC31" s="340" cm="1">
        <f t="array" aca="1" ref="AC31" ca="1">SUMPRODUCT(AC$54:AC$113,TRANSPOSE(SAP_Speadsheet!$E$181:$BL$181))</f>
        <v>0</v>
      </c>
      <c r="AD31" s="340" cm="1">
        <f t="array" aca="1" ref="AD31" ca="1">SUMPRODUCT(AD$54:AD$113,TRANSPOSE(SAP_Speadsheet!$E$181:$BL$181))</f>
        <v>0</v>
      </c>
      <c r="AE31" s="340" cm="1">
        <f t="array" aca="1" ref="AE31" ca="1">SUMPRODUCT(AE$54:AE$113,TRANSPOSE(SAP_Speadsheet!$E$181:$BL$181))</f>
        <v>0</v>
      </c>
      <c r="AF31" s="340" cm="1">
        <f t="array" aca="1" ref="AF31" ca="1">SUMPRODUCT(AF$54:AF$113,TRANSPOSE(SAP_Speadsheet!$E$181:$BL$181))</f>
        <v>0</v>
      </c>
      <c r="AG31" s="340" cm="1">
        <f t="array" aca="1" ref="AG31" ca="1">SUMPRODUCT(AG$54:AG$113,TRANSPOSE(SAP_Speadsheet!$E$181:$BL$181))</f>
        <v>0</v>
      </c>
      <c r="AH31" s="340" cm="1">
        <f t="array" aca="1" ref="AH31" ca="1">SUMPRODUCT(AH$54:AH$113,TRANSPOSE(SAP_Speadsheet!$E$181:$BL$181))</f>
        <v>0</v>
      </c>
      <c r="AI31" s="340" cm="1">
        <f t="array" aca="1" ref="AI31" ca="1">SUMPRODUCT(AI$54:AI$113,TRANSPOSE(SAP_Speadsheet!$E$181:$BL$181))</f>
        <v>0</v>
      </c>
      <c r="AJ31" s="340" cm="1">
        <f t="array" aca="1" ref="AJ31" ca="1">SUMPRODUCT(AJ$54:AJ$113,TRANSPOSE(SAP_Speadsheet!$E$181:$BL$181))</f>
        <v>0</v>
      </c>
      <c r="AK31" s="340" cm="1">
        <f t="array" aca="1" ref="AK31" ca="1">SUMPRODUCT(AK$54:AK$113,TRANSPOSE(SAP_Speadsheet!$E$181:$BL$181))</f>
        <v>0</v>
      </c>
      <c r="AL31" s="340" cm="1">
        <f t="array" aca="1" ref="AL31" ca="1">SUMPRODUCT(AL$54:AL$113,TRANSPOSE(SAP_Speadsheet!$E$181:$BL$181))</f>
        <v>0</v>
      </c>
      <c r="AM31" s="340" cm="1">
        <f t="array" aca="1" ref="AM31" ca="1">SUMPRODUCT(AM$54:AM$113,TRANSPOSE(SAP_Speadsheet!$E$181:$BL$181))</f>
        <v>0</v>
      </c>
      <c r="AN31" s="340" cm="1">
        <f t="array" aca="1" ref="AN31" ca="1">SUMPRODUCT(AN$54:AN$113,TRANSPOSE(SAP_Speadsheet!$E$181:$BL$181))</f>
        <v>0</v>
      </c>
      <c r="AO31" s="340" cm="1">
        <f t="array" aca="1" ref="AO31" ca="1">SUMPRODUCT(AO$54:AO$113,TRANSPOSE(SAP_Speadsheet!$E$181:$BL$181))</f>
        <v>0</v>
      </c>
      <c r="AP31" s="340" cm="1">
        <f t="array" aca="1" ref="AP31" ca="1">SUMPRODUCT(AP$54:AP$113,TRANSPOSE(SAP_Speadsheet!$E$181:$BL$181))</f>
        <v>0</v>
      </c>
      <c r="AQ31" s="340" cm="1">
        <f t="array" aca="1" ref="AQ31" ca="1">SUMPRODUCT(AQ$54:AQ$113,TRANSPOSE(SAP_Speadsheet!$E$181:$BL$181))</f>
        <v>0</v>
      </c>
      <c r="AR31" s="340" cm="1">
        <f t="array" aca="1" ref="AR31" ca="1">SUMPRODUCT(AR$54:AR$113,TRANSPOSE(SAP_Speadsheet!$E$181:$BL$181))</f>
        <v>0</v>
      </c>
      <c r="AS31" s="340" cm="1">
        <f t="array" aca="1" ref="AS31" ca="1">SUMPRODUCT(AS$54:AS$113,TRANSPOSE(SAP_Speadsheet!$E$181:$BL$181))</f>
        <v>0</v>
      </c>
      <c r="AT31" s="340" cm="1">
        <f t="array" aca="1" ref="AT31" ca="1">SUMPRODUCT(AT$54:AT$113,TRANSPOSE(SAP_Speadsheet!$E$181:$BL$181))</f>
        <v>0</v>
      </c>
      <c r="AU31" s="340" cm="1">
        <f t="array" aca="1" ref="AU31" ca="1">SUMPRODUCT(AU$54:AU$113,TRANSPOSE(SAP_Speadsheet!$E$181:$BL$181))</f>
        <v>0</v>
      </c>
      <c r="AV31" s="340" cm="1">
        <f t="array" aca="1" ref="AV31" ca="1">SUMPRODUCT(AV$54:AV$113,TRANSPOSE(SAP_Speadsheet!$E$181:$BL$181))</f>
        <v>0</v>
      </c>
      <c r="AW31" s="340" cm="1">
        <f t="array" aca="1" ref="AW31" ca="1">SUMPRODUCT(AW$54:AW$113,TRANSPOSE(SAP_Speadsheet!$E$181:$BL$181))</f>
        <v>0</v>
      </c>
      <c r="AX31" s="340" cm="1">
        <f t="array" aca="1" ref="AX31" ca="1">SUMPRODUCT(AX$54:AX$113,TRANSPOSE(SAP_Speadsheet!$E$181:$BL$181))</f>
        <v>0</v>
      </c>
      <c r="AY31" s="340" cm="1">
        <f t="array" aca="1" ref="AY31" ca="1">SUMPRODUCT(AY$54:AY$113,TRANSPOSE(SAP_Speadsheet!$E$181:$BL$181))</f>
        <v>0</v>
      </c>
      <c r="AZ31" s="340" cm="1">
        <f t="array" aca="1" ref="AZ31" ca="1">SUMPRODUCT(AZ$54:AZ$113,TRANSPOSE(SAP_Speadsheet!$E$181:$BL$181))</f>
        <v>0</v>
      </c>
      <c r="BA31" s="340" cm="1">
        <f t="array" aca="1" ref="BA31" ca="1">SUMPRODUCT(BA$54:BA$113,TRANSPOSE(SAP_Speadsheet!$E$181:$BL$181))</f>
        <v>0</v>
      </c>
      <c r="BB31" s="340" cm="1">
        <f t="array" aca="1" ref="BB31" ca="1">SUMPRODUCT(BB$54:BB$113,TRANSPOSE(SAP_Speadsheet!$E$181:$BL$181))</f>
        <v>0</v>
      </c>
      <c r="BC31" s="340" cm="1">
        <f t="array" aca="1" ref="BC31" ca="1">SUMPRODUCT(BC$54:BC$113,TRANSPOSE(SAP_Speadsheet!$E$181:$BL$181))</f>
        <v>0</v>
      </c>
      <c r="BD31" s="340" cm="1">
        <f t="array" aca="1" ref="BD31" ca="1">SUMPRODUCT(BD$54:BD$113,TRANSPOSE(SAP_Speadsheet!$E$181:$BL$181))</f>
        <v>0</v>
      </c>
      <c r="BE31" s="340" cm="1">
        <f t="array" aca="1" ref="BE31" ca="1">SUMPRODUCT(BE$54:BE$113,TRANSPOSE(SAP_Speadsheet!$E$181:$BL$181))</f>
        <v>0</v>
      </c>
      <c r="BF31" s="340" cm="1">
        <f t="array" aca="1" ref="BF31" ca="1">SUMPRODUCT(BF$54:BF$113,TRANSPOSE(SAP_Speadsheet!$E$181:$BL$181))</f>
        <v>0</v>
      </c>
      <c r="BG31" s="340" cm="1">
        <f t="array" aca="1" ref="BG31" ca="1">SUMPRODUCT(BG$54:BG$113,TRANSPOSE(SAP_Speadsheet!$E$181:$BL$181))</f>
        <v>0</v>
      </c>
      <c r="BH31" s="340" cm="1">
        <f t="array" aca="1" ref="BH31" ca="1">SUMPRODUCT(BH$54:BH$113,TRANSPOSE(SAP_Speadsheet!$E$181:$BL$181))</f>
        <v>0</v>
      </c>
      <c r="BI31" s="340" cm="1">
        <f t="array" aca="1" ref="BI31" ca="1">SUMPRODUCT(BI$54:BI$113,TRANSPOSE(SAP_Speadsheet!$E$181:$BL$181))</f>
        <v>0</v>
      </c>
    </row>
    <row r="32" spans="1:61" s="347" customFormat="1" x14ac:dyDescent="0.15">
      <c r="A32" s="347" t="s">
        <v>435</v>
      </c>
      <c r="B32" s="348">
        <f t="shared" ref="B32:BI32" ca="1" si="5">B9+B18+B30-B31</f>
        <v>0</v>
      </c>
      <c r="C32" s="348">
        <f t="shared" ca="1" si="5"/>
        <v>0</v>
      </c>
      <c r="D32" s="348">
        <f t="shared" ca="1" si="5"/>
        <v>0</v>
      </c>
      <c r="E32" s="348">
        <f t="shared" ca="1" si="5"/>
        <v>7.673861546209082E-13</v>
      </c>
      <c r="F32" s="348">
        <f t="shared" ca="1" si="5"/>
        <v>-6.5938365878537297E-12</v>
      </c>
      <c r="G32" s="348">
        <f t="shared" ca="1" si="5"/>
        <v>2.2737367544323206E-12</v>
      </c>
      <c r="H32" s="348">
        <f t="shared" ca="1" si="5"/>
        <v>0</v>
      </c>
      <c r="I32" s="348">
        <f t="shared" ca="1" si="5"/>
        <v>0</v>
      </c>
      <c r="J32" s="348">
        <f t="shared" ca="1" si="5"/>
        <v>0</v>
      </c>
      <c r="K32" s="348">
        <f t="shared" ca="1" si="5"/>
        <v>0</v>
      </c>
      <c r="L32" s="348">
        <f t="shared" ca="1" si="5"/>
        <v>0</v>
      </c>
      <c r="M32" s="348">
        <f t="shared" ca="1" si="5"/>
        <v>0</v>
      </c>
      <c r="N32" s="348">
        <f t="shared" ca="1" si="5"/>
        <v>0</v>
      </c>
      <c r="O32" s="348">
        <f t="shared" ca="1" si="5"/>
        <v>0</v>
      </c>
      <c r="P32" s="348">
        <f t="shared" ca="1" si="5"/>
        <v>0</v>
      </c>
      <c r="Q32" s="348">
        <f t="shared" ca="1" si="5"/>
        <v>0</v>
      </c>
      <c r="R32" s="348">
        <f t="shared" ca="1" si="5"/>
        <v>0</v>
      </c>
      <c r="S32" s="348">
        <f t="shared" ca="1" si="5"/>
        <v>0</v>
      </c>
      <c r="T32" s="348">
        <f t="shared" ca="1" si="5"/>
        <v>0</v>
      </c>
      <c r="U32" s="348">
        <f t="shared" ca="1" si="5"/>
        <v>0</v>
      </c>
      <c r="V32" s="348">
        <f t="shared" ca="1" si="5"/>
        <v>0</v>
      </c>
      <c r="W32" s="348">
        <f t="shared" ca="1" si="5"/>
        <v>0</v>
      </c>
      <c r="X32" s="348">
        <f t="shared" ca="1" si="5"/>
        <v>0</v>
      </c>
      <c r="Y32" s="348">
        <f t="shared" ca="1" si="5"/>
        <v>0</v>
      </c>
      <c r="Z32" s="348">
        <f t="shared" ca="1" si="5"/>
        <v>0</v>
      </c>
      <c r="AA32" s="348">
        <f t="shared" ca="1" si="5"/>
        <v>0</v>
      </c>
      <c r="AB32" s="348">
        <f t="shared" ca="1" si="5"/>
        <v>0</v>
      </c>
      <c r="AC32" s="348">
        <f t="shared" ca="1" si="5"/>
        <v>0</v>
      </c>
      <c r="AD32" s="348">
        <f t="shared" ca="1" si="5"/>
        <v>0</v>
      </c>
      <c r="AE32" s="348">
        <f t="shared" ca="1" si="5"/>
        <v>0</v>
      </c>
      <c r="AF32" s="348">
        <f t="shared" ca="1" si="5"/>
        <v>0</v>
      </c>
      <c r="AG32" s="348">
        <f t="shared" ca="1" si="5"/>
        <v>0</v>
      </c>
      <c r="AH32" s="348">
        <f t="shared" ca="1" si="5"/>
        <v>0</v>
      </c>
      <c r="AI32" s="348">
        <f t="shared" ca="1" si="5"/>
        <v>0</v>
      </c>
      <c r="AJ32" s="348">
        <f t="shared" ca="1" si="5"/>
        <v>0</v>
      </c>
      <c r="AK32" s="348">
        <f t="shared" ca="1" si="5"/>
        <v>0</v>
      </c>
      <c r="AL32" s="348">
        <f t="shared" ca="1" si="5"/>
        <v>0</v>
      </c>
      <c r="AM32" s="348">
        <f t="shared" ca="1" si="5"/>
        <v>0</v>
      </c>
      <c r="AN32" s="348">
        <f t="shared" ca="1" si="5"/>
        <v>0</v>
      </c>
      <c r="AO32" s="348">
        <f t="shared" ca="1" si="5"/>
        <v>0</v>
      </c>
      <c r="AP32" s="348">
        <f t="shared" ca="1" si="5"/>
        <v>0</v>
      </c>
      <c r="AQ32" s="348">
        <f t="shared" ca="1" si="5"/>
        <v>0</v>
      </c>
      <c r="AR32" s="348">
        <f t="shared" ca="1" si="5"/>
        <v>0</v>
      </c>
      <c r="AS32" s="348">
        <f t="shared" ca="1" si="5"/>
        <v>0</v>
      </c>
      <c r="AT32" s="348">
        <f t="shared" ca="1" si="5"/>
        <v>0</v>
      </c>
      <c r="AU32" s="348">
        <f t="shared" ca="1" si="5"/>
        <v>0</v>
      </c>
      <c r="AV32" s="348">
        <f t="shared" ca="1" si="5"/>
        <v>0</v>
      </c>
      <c r="AW32" s="348">
        <f t="shared" ca="1" si="5"/>
        <v>0</v>
      </c>
      <c r="AX32" s="348">
        <f t="shared" ca="1" si="5"/>
        <v>0</v>
      </c>
      <c r="AY32" s="348">
        <f t="shared" ca="1" si="5"/>
        <v>0</v>
      </c>
      <c r="AZ32" s="348">
        <f t="shared" ca="1" si="5"/>
        <v>0</v>
      </c>
      <c r="BA32" s="348">
        <f t="shared" ca="1" si="5"/>
        <v>0</v>
      </c>
      <c r="BB32" s="348">
        <f t="shared" ca="1" si="5"/>
        <v>0</v>
      </c>
      <c r="BC32" s="348">
        <f t="shared" ca="1" si="5"/>
        <v>0</v>
      </c>
      <c r="BD32" s="348">
        <f t="shared" ca="1" si="5"/>
        <v>0</v>
      </c>
      <c r="BE32" s="348">
        <f t="shared" ca="1" si="5"/>
        <v>0</v>
      </c>
      <c r="BF32" s="348">
        <f t="shared" ca="1" si="5"/>
        <v>0</v>
      </c>
      <c r="BG32" s="348">
        <f t="shared" ca="1" si="5"/>
        <v>0</v>
      </c>
      <c r="BH32" s="348">
        <f t="shared" ca="1" si="5"/>
        <v>0</v>
      </c>
      <c r="BI32" s="348">
        <f t="shared" ca="1" si="5"/>
        <v>0</v>
      </c>
    </row>
    <row r="34" spans="1:61" x14ac:dyDescent="0.15">
      <c r="A34" s="333" t="s">
        <v>467</v>
      </c>
      <c r="D34" s="349"/>
      <c r="K34" s="350"/>
    </row>
    <row r="35" spans="1:61" x14ac:dyDescent="0.15">
      <c r="A35" s="334" t="s">
        <v>374</v>
      </c>
      <c r="B35" s="345" cm="1">
        <f t="array" aca="1" ref="B35" ca="1">SUMPRODUCT(B$54:B$113,TRANSPOSE(SAP_Speadsheet!$E$25:$BL$25))</f>
        <v>0</v>
      </c>
      <c r="C35" s="345" cm="1">
        <f t="array" aca="1" ref="C35" ca="1">SUMPRODUCT(C$54:C$113,TRANSPOSE(SAP_Speadsheet!$E$25:$BL$25))</f>
        <v>0</v>
      </c>
      <c r="D35" s="345" cm="1">
        <f t="array" aca="1" ref="D35" ca="1">SUMPRODUCT(D$54:D$113,TRANSPOSE(SAP_Speadsheet!$E$25:$BL$25))</f>
        <v>0</v>
      </c>
      <c r="E35" s="345" cm="1">
        <f t="array" aca="1" ref="E35" ca="1">SUMPRODUCT(E$54:E$113,TRANSPOSE(SAP_Speadsheet!$E$25:$BL$25))</f>
        <v>0</v>
      </c>
      <c r="F35" s="345" cm="1">
        <f t="array" aca="1" ref="F35" ca="1">SUMPRODUCT(F$54:F$113,TRANSPOSE(SAP_Speadsheet!$E$25:$BL$25))</f>
        <v>0</v>
      </c>
      <c r="G35" s="345" cm="1">
        <f t="array" aca="1" ref="G35" ca="1">SUMPRODUCT(G$54:G$113,TRANSPOSE(SAP_Speadsheet!$E$25:$BL$25))</f>
        <v>0</v>
      </c>
      <c r="H35" s="345" cm="1">
        <f t="array" aca="1" ref="H35" ca="1">SUMPRODUCT(H$54:H$113,TRANSPOSE(SAP_Speadsheet!$E$25:$BL$25))</f>
        <v>0</v>
      </c>
      <c r="I35" s="345" cm="1">
        <f t="array" aca="1" ref="I35" ca="1">SUMPRODUCT(I$54:I$113,TRANSPOSE(SAP_Speadsheet!$E$25:$BL$25))</f>
        <v>0</v>
      </c>
      <c r="J35" s="345" cm="1">
        <f t="array" aca="1" ref="J35" ca="1">SUMPRODUCT(J$54:J$113,TRANSPOSE(SAP_Speadsheet!$E$25:$BL$25))</f>
        <v>0</v>
      </c>
      <c r="K35" s="345" cm="1">
        <f t="array" aca="1" ref="K35" ca="1">SUMPRODUCT(K$54:K$113,TRANSPOSE(SAP_Speadsheet!$E$25:$BL$25))</f>
        <v>0</v>
      </c>
      <c r="L35" s="345" cm="1">
        <f t="array" aca="1" ref="L35" ca="1">SUMPRODUCT(L$54:L$113,TRANSPOSE(SAP_Speadsheet!$E$25:$BL$25))</f>
        <v>0</v>
      </c>
      <c r="M35" s="345" cm="1">
        <f t="array" aca="1" ref="M35" ca="1">SUMPRODUCT(M$54:M$113,TRANSPOSE(SAP_Speadsheet!$E$25:$BL$25))</f>
        <v>0</v>
      </c>
      <c r="N35" s="345" cm="1">
        <f t="array" aca="1" ref="N35" ca="1">SUMPRODUCT(N$54:N$113,TRANSPOSE(SAP_Speadsheet!$E$25:$BL$25))</f>
        <v>0</v>
      </c>
      <c r="O35" s="345" cm="1">
        <f t="array" aca="1" ref="O35" ca="1">SUMPRODUCT(O$54:O$113,TRANSPOSE(SAP_Speadsheet!$E$25:$BL$25))</f>
        <v>0</v>
      </c>
      <c r="P35" s="345" cm="1">
        <f t="array" aca="1" ref="P35" ca="1">SUMPRODUCT(P$54:P$113,TRANSPOSE(SAP_Speadsheet!$E$25:$BL$25))</f>
        <v>0</v>
      </c>
      <c r="Q35" s="345" cm="1">
        <f t="array" aca="1" ref="Q35" ca="1">SUMPRODUCT(Q$54:Q$113,TRANSPOSE(SAP_Speadsheet!$E$25:$BL$25))</f>
        <v>0</v>
      </c>
      <c r="R35" s="345" cm="1">
        <f t="array" aca="1" ref="R35" ca="1">SUMPRODUCT(R$54:R$113,TRANSPOSE(SAP_Speadsheet!$E$25:$BL$25))</f>
        <v>0</v>
      </c>
      <c r="S35" s="345" cm="1">
        <f t="array" aca="1" ref="S35" ca="1">SUMPRODUCT(S$54:S$113,TRANSPOSE(SAP_Speadsheet!$E$25:$BL$25))</f>
        <v>0</v>
      </c>
      <c r="T35" s="345" cm="1">
        <f t="array" aca="1" ref="T35" ca="1">SUMPRODUCT(T$54:T$113,TRANSPOSE(SAP_Speadsheet!$E$25:$BL$25))</f>
        <v>0</v>
      </c>
      <c r="U35" s="345" cm="1">
        <f t="array" aca="1" ref="U35" ca="1">SUMPRODUCT(U$54:U$113,TRANSPOSE(SAP_Speadsheet!$E$25:$BL$25))</f>
        <v>0</v>
      </c>
      <c r="V35" s="345" cm="1">
        <f t="array" aca="1" ref="V35" ca="1">SUMPRODUCT(V$54:V$113,TRANSPOSE(SAP_Speadsheet!$E$25:$BL$25))</f>
        <v>0</v>
      </c>
      <c r="W35" s="345" cm="1">
        <f t="array" aca="1" ref="W35" ca="1">SUMPRODUCT(W$54:W$113,TRANSPOSE(SAP_Speadsheet!$E$25:$BL$25))</f>
        <v>0</v>
      </c>
      <c r="X35" s="345" cm="1">
        <f t="array" aca="1" ref="X35" ca="1">SUMPRODUCT(X$54:X$113,TRANSPOSE(SAP_Speadsheet!$E$25:$BL$25))</f>
        <v>0</v>
      </c>
      <c r="Y35" s="345" cm="1">
        <f t="array" aca="1" ref="Y35" ca="1">SUMPRODUCT(Y$54:Y$113,TRANSPOSE(SAP_Speadsheet!$E$25:$BL$25))</f>
        <v>0</v>
      </c>
      <c r="Z35" s="345" cm="1">
        <f t="array" aca="1" ref="Z35" ca="1">SUMPRODUCT(Z$54:Z$113,TRANSPOSE(SAP_Speadsheet!$E$25:$BL$25))</f>
        <v>0</v>
      </c>
      <c r="AA35" s="345" cm="1">
        <f t="array" aca="1" ref="AA35" ca="1">SUMPRODUCT(AA$54:AA$113,TRANSPOSE(SAP_Speadsheet!$E$25:$BL$25))</f>
        <v>0</v>
      </c>
      <c r="AB35" s="345" cm="1">
        <f t="array" aca="1" ref="AB35" ca="1">SUMPRODUCT(AB$54:AB$113,TRANSPOSE(SAP_Speadsheet!$E$25:$BL$25))</f>
        <v>0</v>
      </c>
      <c r="AC35" s="345" cm="1">
        <f t="array" aca="1" ref="AC35" ca="1">SUMPRODUCT(AC$54:AC$113,TRANSPOSE(SAP_Speadsheet!$E$25:$BL$25))</f>
        <v>0</v>
      </c>
      <c r="AD35" s="345" cm="1">
        <f t="array" aca="1" ref="AD35" ca="1">SUMPRODUCT(AD$54:AD$113,TRANSPOSE(SAP_Speadsheet!$E$25:$BL$25))</f>
        <v>0</v>
      </c>
      <c r="AE35" s="345" cm="1">
        <f t="array" aca="1" ref="AE35" ca="1">SUMPRODUCT(AE$54:AE$113,TRANSPOSE(SAP_Speadsheet!$E$25:$BL$25))</f>
        <v>0</v>
      </c>
      <c r="AF35" s="345" cm="1">
        <f t="array" aca="1" ref="AF35" ca="1">SUMPRODUCT(AF$54:AF$113,TRANSPOSE(SAP_Speadsheet!$E$25:$BL$25))</f>
        <v>0</v>
      </c>
      <c r="AG35" s="345" cm="1">
        <f t="array" aca="1" ref="AG35" ca="1">SUMPRODUCT(AG$54:AG$113,TRANSPOSE(SAP_Speadsheet!$E$25:$BL$25))</f>
        <v>0</v>
      </c>
      <c r="AH35" s="345" cm="1">
        <f t="array" aca="1" ref="AH35" ca="1">SUMPRODUCT(AH$54:AH$113,TRANSPOSE(SAP_Speadsheet!$E$25:$BL$25))</f>
        <v>0</v>
      </c>
      <c r="AI35" s="345" cm="1">
        <f t="array" aca="1" ref="AI35" ca="1">SUMPRODUCT(AI$54:AI$113,TRANSPOSE(SAP_Speadsheet!$E$25:$BL$25))</f>
        <v>0</v>
      </c>
      <c r="AJ35" s="345" cm="1">
        <f t="array" aca="1" ref="AJ35" ca="1">SUMPRODUCT(AJ$54:AJ$113,TRANSPOSE(SAP_Speadsheet!$E$25:$BL$25))</f>
        <v>0</v>
      </c>
      <c r="AK35" s="345" cm="1">
        <f t="array" aca="1" ref="AK35" ca="1">SUMPRODUCT(AK$54:AK$113,TRANSPOSE(SAP_Speadsheet!$E$25:$BL$25))</f>
        <v>0</v>
      </c>
      <c r="AL35" s="345" cm="1">
        <f t="array" aca="1" ref="AL35" ca="1">SUMPRODUCT(AL$54:AL$113,TRANSPOSE(SAP_Speadsheet!$E$25:$BL$25))</f>
        <v>0</v>
      </c>
      <c r="AM35" s="345" cm="1">
        <f t="array" aca="1" ref="AM35" ca="1">SUMPRODUCT(AM$54:AM$113,TRANSPOSE(SAP_Speadsheet!$E$25:$BL$25))</f>
        <v>0</v>
      </c>
      <c r="AN35" s="345" cm="1">
        <f t="array" aca="1" ref="AN35" ca="1">SUMPRODUCT(AN$54:AN$113,TRANSPOSE(SAP_Speadsheet!$E$25:$BL$25))</f>
        <v>0</v>
      </c>
      <c r="AO35" s="345" cm="1">
        <f t="array" aca="1" ref="AO35" ca="1">SUMPRODUCT(AO$54:AO$113,TRANSPOSE(SAP_Speadsheet!$E$25:$BL$25))</f>
        <v>0</v>
      </c>
      <c r="AP35" s="345" cm="1">
        <f t="array" aca="1" ref="AP35" ca="1">SUMPRODUCT(AP$54:AP$113,TRANSPOSE(SAP_Speadsheet!$E$25:$BL$25))</f>
        <v>0</v>
      </c>
      <c r="AQ35" s="345" cm="1">
        <f t="array" aca="1" ref="AQ35" ca="1">SUMPRODUCT(AQ$54:AQ$113,TRANSPOSE(SAP_Speadsheet!$E$25:$BL$25))</f>
        <v>0</v>
      </c>
      <c r="AR35" s="345" cm="1">
        <f t="array" aca="1" ref="AR35" ca="1">SUMPRODUCT(AR$54:AR$113,TRANSPOSE(SAP_Speadsheet!$E$25:$BL$25))</f>
        <v>0</v>
      </c>
      <c r="AS35" s="345" cm="1">
        <f t="array" aca="1" ref="AS35" ca="1">SUMPRODUCT(AS$54:AS$113,TRANSPOSE(SAP_Speadsheet!$E$25:$BL$25))</f>
        <v>0</v>
      </c>
      <c r="AT35" s="345" cm="1">
        <f t="array" aca="1" ref="AT35" ca="1">SUMPRODUCT(AT$54:AT$113,TRANSPOSE(SAP_Speadsheet!$E$25:$BL$25))</f>
        <v>0</v>
      </c>
      <c r="AU35" s="345" cm="1">
        <f t="array" aca="1" ref="AU35" ca="1">SUMPRODUCT(AU$54:AU$113,TRANSPOSE(SAP_Speadsheet!$E$25:$BL$25))</f>
        <v>0</v>
      </c>
      <c r="AV35" s="345" cm="1">
        <f t="array" aca="1" ref="AV35" ca="1">SUMPRODUCT(AV$54:AV$113,TRANSPOSE(SAP_Speadsheet!$E$25:$BL$25))</f>
        <v>0</v>
      </c>
      <c r="AW35" s="345" cm="1">
        <f t="array" aca="1" ref="AW35" ca="1">SUMPRODUCT(AW$54:AW$113,TRANSPOSE(SAP_Speadsheet!$E$25:$BL$25))</f>
        <v>0</v>
      </c>
      <c r="AX35" s="345" cm="1">
        <f t="array" aca="1" ref="AX35" ca="1">SUMPRODUCT(AX$54:AX$113,TRANSPOSE(SAP_Speadsheet!$E$25:$BL$25))</f>
        <v>0</v>
      </c>
      <c r="AY35" s="345" cm="1">
        <f t="array" aca="1" ref="AY35" ca="1">SUMPRODUCT(AY$54:AY$113,TRANSPOSE(SAP_Speadsheet!$E$25:$BL$25))</f>
        <v>0</v>
      </c>
      <c r="AZ35" s="345" cm="1">
        <f t="array" aca="1" ref="AZ35" ca="1">SUMPRODUCT(AZ$54:AZ$113,TRANSPOSE(SAP_Speadsheet!$E$25:$BL$25))</f>
        <v>0</v>
      </c>
      <c r="BA35" s="345" cm="1">
        <f t="array" aca="1" ref="BA35" ca="1">SUMPRODUCT(BA$54:BA$113,TRANSPOSE(SAP_Speadsheet!$E$25:$BL$25))</f>
        <v>0</v>
      </c>
      <c r="BB35" s="345" cm="1">
        <f t="array" aca="1" ref="BB35" ca="1">SUMPRODUCT(BB$54:BB$113,TRANSPOSE(SAP_Speadsheet!$E$25:$BL$25))</f>
        <v>0</v>
      </c>
      <c r="BC35" s="345" cm="1">
        <f t="array" aca="1" ref="BC35" ca="1">SUMPRODUCT(BC$54:BC$113,TRANSPOSE(SAP_Speadsheet!$E$25:$BL$25))</f>
        <v>0</v>
      </c>
      <c r="BD35" s="345" cm="1">
        <f t="array" aca="1" ref="BD35" ca="1">SUMPRODUCT(BD$54:BD$113,TRANSPOSE(SAP_Speadsheet!$E$25:$BL$25))</f>
        <v>0</v>
      </c>
      <c r="BE35" s="345" cm="1">
        <f t="array" aca="1" ref="BE35" ca="1">SUMPRODUCT(BE$54:BE$113,TRANSPOSE(SAP_Speadsheet!$E$25:$BL$25))</f>
        <v>0</v>
      </c>
      <c r="BF35" s="345" cm="1">
        <f t="array" aca="1" ref="BF35" ca="1">SUMPRODUCT(BF$54:BF$113,TRANSPOSE(SAP_Speadsheet!$E$25:$BL$25))</f>
        <v>0</v>
      </c>
      <c r="BG35" s="345" cm="1">
        <f t="array" aca="1" ref="BG35" ca="1">SUMPRODUCT(BG$54:BG$113,TRANSPOSE(SAP_Speadsheet!$E$25:$BL$25))</f>
        <v>0</v>
      </c>
      <c r="BH35" s="345" cm="1">
        <f t="array" aca="1" ref="BH35" ca="1">SUMPRODUCT(BH$54:BH$113,TRANSPOSE(SAP_Speadsheet!$E$25:$BL$25))</f>
        <v>0</v>
      </c>
      <c r="BI35" s="345" cm="1">
        <f t="array" aca="1" ref="BI35" ca="1">SUMPRODUCT(BI$54:BI$113,TRANSPOSE(SAP_Speadsheet!$E$25:$BL$25))</f>
        <v>0</v>
      </c>
    </row>
    <row r="36" spans="1:61" x14ac:dyDescent="0.15">
      <c r="A36" s="334" t="s">
        <v>376</v>
      </c>
      <c r="B36" s="345" cm="1">
        <f t="array" aca="1" ref="B36" ca="1">SUMPRODUCT(B$54:B$113,TRANSPOSE(SAP_Speadsheet!$E$26:$BL$26))</f>
        <v>0</v>
      </c>
      <c r="C36" s="345" cm="1">
        <f t="array" aca="1" ref="C36" ca="1">SUMPRODUCT(C$54:C$113,TRANSPOSE(SAP_Speadsheet!$E$26:$BL$26))</f>
        <v>0</v>
      </c>
      <c r="D36" s="345" cm="1">
        <f t="array" aca="1" ref="D36" ca="1">SUMPRODUCT(D$54:D$113,TRANSPOSE(SAP_Speadsheet!$E$26:$BL$26))</f>
        <v>0</v>
      </c>
      <c r="E36" s="345" cm="1">
        <f t="array" aca="1" ref="E36" ca="1">SUMPRODUCT(E$54:E$113,TRANSPOSE(SAP_Speadsheet!$E$26:$BL$26))</f>
        <v>17986.377199023649</v>
      </c>
      <c r="F36" s="345" cm="1">
        <f t="array" aca="1" ref="F36" ca="1">SUMPRODUCT(F$54:F$113,TRANSPOSE(SAP_Speadsheet!$E$26:$BL$26))</f>
        <v>23863.995242394867</v>
      </c>
      <c r="G36" s="345" cm="1">
        <f t="array" aca="1" ref="G36" ca="1">SUMPRODUCT(G$54:G$113,TRANSPOSE(SAP_Speadsheet!$E$26:$BL$26))</f>
        <v>35596.525590581477</v>
      </c>
      <c r="H36" s="345" cm="1">
        <f t="array" aca="1" ref="H36" ca="1">SUMPRODUCT(H$54:H$113,TRANSPOSE(SAP_Speadsheet!$E$26:$BL$26))</f>
        <v>0</v>
      </c>
      <c r="I36" s="345" cm="1">
        <f t="array" aca="1" ref="I36" ca="1">SUMPRODUCT(I$54:I$113,TRANSPOSE(SAP_Speadsheet!$E$26:$BL$26))</f>
        <v>0</v>
      </c>
      <c r="J36" s="345" cm="1">
        <f t="array" aca="1" ref="J36" ca="1">SUMPRODUCT(J$54:J$113,TRANSPOSE(SAP_Speadsheet!$E$26:$BL$26))</f>
        <v>0</v>
      </c>
      <c r="K36" s="345" cm="1">
        <f t="array" aca="1" ref="K36" ca="1">SUMPRODUCT(K$54:K$113,TRANSPOSE(SAP_Speadsheet!$E$26:$BL$26))</f>
        <v>0</v>
      </c>
      <c r="L36" s="345" cm="1">
        <f t="array" aca="1" ref="L36" ca="1">SUMPRODUCT(L$54:L$113,TRANSPOSE(SAP_Speadsheet!$E$26:$BL$26))</f>
        <v>0</v>
      </c>
      <c r="M36" s="345" cm="1">
        <f t="array" aca="1" ref="M36" ca="1">SUMPRODUCT(M$54:M$113,TRANSPOSE(SAP_Speadsheet!$E$26:$BL$26))</f>
        <v>0</v>
      </c>
      <c r="N36" s="345" cm="1">
        <f t="array" aca="1" ref="N36" ca="1">SUMPRODUCT(N$54:N$113,TRANSPOSE(SAP_Speadsheet!$E$26:$BL$26))</f>
        <v>0</v>
      </c>
      <c r="O36" s="345" cm="1">
        <f t="array" aca="1" ref="O36" ca="1">SUMPRODUCT(O$54:O$113,TRANSPOSE(SAP_Speadsheet!$E$26:$BL$26))</f>
        <v>0</v>
      </c>
      <c r="P36" s="345" cm="1">
        <f t="array" aca="1" ref="P36" ca="1">SUMPRODUCT(P$54:P$113,TRANSPOSE(SAP_Speadsheet!$E$26:$BL$26))</f>
        <v>0</v>
      </c>
      <c r="Q36" s="345" cm="1">
        <f t="array" aca="1" ref="Q36" ca="1">SUMPRODUCT(Q$54:Q$113,TRANSPOSE(SAP_Speadsheet!$E$26:$BL$26))</f>
        <v>0</v>
      </c>
      <c r="R36" s="345" cm="1">
        <f t="array" aca="1" ref="R36" ca="1">SUMPRODUCT(R$54:R$113,TRANSPOSE(SAP_Speadsheet!$E$26:$BL$26))</f>
        <v>0</v>
      </c>
      <c r="S36" s="345" cm="1">
        <f t="array" aca="1" ref="S36" ca="1">SUMPRODUCT(S$54:S$113,TRANSPOSE(SAP_Speadsheet!$E$26:$BL$26))</f>
        <v>0</v>
      </c>
      <c r="T36" s="345" cm="1">
        <f t="array" aca="1" ref="T36" ca="1">SUMPRODUCT(T$54:T$113,TRANSPOSE(SAP_Speadsheet!$E$26:$BL$26))</f>
        <v>0</v>
      </c>
      <c r="U36" s="345" cm="1">
        <f t="array" aca="1" ref="U36" ca="1">SUMPRODUCT(U$54:U$113,TRANSPOSE(SAP_Speadsheet!$E$26:$BL$26))</f>
        <v>0</v>
      </c>
      <c r="V36" s="345" cm="1">
        <f t="array" aca="1" ref="V36" ca="1">SUMPRODUCT(V$54:V$113,TRANSPOSE(SAP_Speadsheet!$E$26:$BL$26))</f>
        <v>0</v>
      </c>
      <c r="W36" s="345" cm="1">
        <f t="array" aca="1" ref="W36" ca="1">SUMPRODUCT(W$54:W$113,TRANSPOSE(SAP_Speadsheet!$E$26:$BL$26))</f>
        <v>0</v>
      </c>
      <c r="X36" s="345" cm="1">
        <f t="array" aca="1" ref="X36" ca="1">SUMPRODUCT(X$54:X$113,TRANSPOSE(SAP_Speadsheet!$E$26:$BL$26))</f>
        <v>0</v>
      </c>
      <c r="Y36" s="345" cm="1">
        <f t="array" aca="1" ref="Y36" ca="1">SUMPRODUCT(Y$54:Y$113,TRANSPOSE(SAP_Speadsheet!$E$26:$BL$26))</f>
        <v>0</v>
      </c>
      <c r="Z36" s="345" cm="1">
        <f t="array" aca="1" ref="Z36" ca="1">SUMPRODUCT(Z$54:Z$113,TRANSPOSE(SAP_Speadsheet!$E$26:$BL$26))</f>
        <v>0</v>
      </c>
      <c r="AA36" s="345" cm="1">
        <f t="array" aca="1" ref="AA36" ca="1">SUMPRODUCT(AA$54:AA$113,TRANSPOSE(SAP_Speadsheet!$E$26:$BL$26))</f>
        <v>0</v>
      </c>
      <c r="AB36" s="345" cm="1">
        <f t="array" aca="1" ref="AB36" ca="1">SUMPRODUCT(AB$54:AB$113,TRANSPOSE(SAP_Speadsheet!$E$26:$BL$26))</f>
        <v>0</v>
      </c>
      <c r="AC36" s="345" cm="1">
        <f t="array" aca="1" ref="AC36" ca="1">SUMPRODUCT(AC$54:AC$113,TRANSPOSE(SAP_Speadsheet!$E$26:$BL$26))</f>
        <v>0</v>
      </c>
      <c r="AD36" s="345" cm="1">
        <f t="array" aca="1" ref="AD36" ca="1">SUMPRODUCT(AD$54:AD$113,TRANSPOSE(SAP_Speadsheet!$E$26:$BL$26))</f>
        <v>0</v>
      </c>
      <c r="AE36" s="345" cm="1">
        <f t="array" aca="1" ref="AE36" ca="1">SUMPRODUCT(AE$54:AE$113,TRANSPOSE(SAP_Speadsheet!$E$26:$BL$26))</f>
        <v>0</v>
      </c>
      <c r="AF36" s="345" cm="1">
        <f t="array" aca="1" ref="AF36" ca="1">SUMPRODUCT(AF$54:AF$113,TRANSPOSE(SAP_Speadsheet!$E$26:$BL$26))</f>
        <v>0</v>
      </c>
      <c r="AG36" s="345" cm="1">
        <f t="array" aca="1" ref="AG36" ca="1">SUMPRODUCT(AG$54:AG$113,TRANSPOSE(SAP_Speadsheet!$E$26:$BL$26))</f>
        <v>0</v>
      </c>
      <c r="AH36" s="345" cm="1">
        <f t="array" aca="1" ref="AH36" ca="1">SUMPRODUCT(AH$54:AH$113,TRANSPOSE(SAP_Speadsheet!$E$26:$BL$26))</f>
        <v>0</v>
      </c>
      <c r="AI36" s="345" cm="1">
        <f t="array" aca="1" ref="AI36" ca="1">SUMPRODUCT(AI$54:AI$113,TRANSPOSE(SAP_Speadsheet!$E$26:$BL$26))</f>
        <v>0</v>
      </c>
      <c r="AJ36" s="345" cm="1">
        <f t="array" aca="1" ref="AJ36" ca="1">SUMPRODUCT(AJ$54:AJ$113,TRANSPOSE(SAP_Speadsheet!$E$26:$BL$26))</f>
        <v>0</v>
      </c>
      <c r="AK36" s="345" cm="1">
        <f t="array" aca="1" ref="AK36" ca="1">SUMPRODUCT(AK$54:AK$113,TRANSPOSE(SAP_Speadsheet!$E$26:$BL$26))</f>
        <v>0</v>
      </c>
      <c r="AL36" s="345" cm="1">
        <f t="array" aca="1" ref="AL36" ca="1">SUMPRODUCT(AL$54:AL$113,TRANSPOSE(SAP_Speadsheet!$E$26:$BL$26))</f>
        <v>0</v>
      </c>
      <c r="AM36" s="345" cm="1">
        <f t="array" aca="1" ref="AM36" ca="1">SUMPRODUCT(AM$54:AM$113,TRANSPOSE(SAP_Speadsheet!$E$26:$BL$26))</f>
        <v>0</v>
      </c>
      <c r="AN36" s="345" cm="1">
        <f t="array" aca="1" ref="AN36" ca="1">SUMPRODUCT(AN$54:AN$113,TRANSPOSE(SAP_Speadsheet!$E$26:$BL$26))</f>
        <v>0</v>
      </c>
      <c r="AO36" s="345" cm="1">
        <f t="array" aca="1" ref="AO36" ca="1">SUMPRODUCT(AO$54:AO$113,TRANSPOSE(SAP_Speadsheet!$E$26:$BL$26))</f>
        <v>0</v>
      </c>
      <c r="AP36" s="345" cm="1">
        <f t="array" aca="1" ref="AP36" ca="1">SUMPRODUCT(AP$54:AP$113,TRANSPOSE(SAP_Speadsheet!$E$26:$BL$26))</f>
        <v>0</v>
      </c>
      <c r="AQ36" s="345" cm="1">
        <f t="array" aca="1" ref="AQ36" ca="1">SUMPRODUCT(AQ$54:AQ$113,TRANSPOSE(SAP_Speadsheet!$E$26:$BL$26))</f>
        <v>0</v>
      </c>
      <c r="AR36" s="345" cm="1">
        <f t="array" aca="1" ref="AR36" ca="1">SUMPRODUCT(AR$54:AR$113,TRANSPOSE(SAP_Speadsheet!$E$26:$BL$26))</f>
        <v>0</v>
      </c>
      <c r="AS36" s="345" cm="1">
        <f t="array" aca="1" ref="AS36" ca="1">SUMPRODUCT(AS$54:AS$113,TRANSPOSE(SAP_Speadsheet!$E$26:$BL$26))</f>
        <v>0</v>
      </c>
      <c r="AT36" s="345" cm="1">
        <f t="array" aca="1" ref="AT36" ca="1">SUMPRODUCT(AT$54:AT$113,TRANSPOSE(SAP_Speadsheet!$E$26:$BL$26))</f>
        <v>0</v>
      </c>
      <c r="AU36" s="345" cm="1">
        <f t="array" aca="1" ref="AU36" ca="1">SUMPRODUCT(AU$54:AU$113,TRANSPOSE(SAP_Speadsheet!$E$26:$BL$26))</f>
        <v>0</v>
      </c>
      <c r="AV36" s="345" cm="1">
        <f t="array" aca="1" ref="AV36" ca="1">SUMPRODUCT(AV$54:AV$113,TRANSPOSE(SAP_Speadsheet!$E$26:$BL$26))</f>
        <v>0</v>
      </c>
      <c r="AW36" s="345" cm="1">
        <f t="array" aca="1" ref="AW36" ca="1">SUMPRODUCT(AW$54:AW$113,TRANSPOSE(SAP_Speadsheet!$E$26:$BL$26))</f>
        <v>0</v>
      </c>
      <c r="AX36" s="345" cm="1">
        <f t="array" aca="1" ref="AX36" ca="1">SUMPRODUCT(AX$54:AX$113,TRANSPOSE(SAP_Speadsheet!$E$26:$BL$26))</f>
        <v>0</v>
      </c>
      <c r="AY36" s="345" cm="1">
        <f t="array" aca="1" ref="AY36" ca="1">SUMPRODUCT(AY$54:AY$113,TRANSPOSE(SAP_Speadsheet!$E$26:$BL$26))</f>
        <v>0</v>
      </c>
      <c r="AZ36" s="345" cm="1">
        <f t="array" aca="1" ref="AZ36" ca="1">SUMPRODUCT(AZ$54:AZ$113,TRANSPOSE(SAP_Speadsheet!$E$26:$BL$26))</f>
        <v>0</v>
      </c>
      <c r="BA36" s="345" cm="1">
        <f t="array" aca="1" ref="BA36" ca="1">SUMPRODUCT(BA$54:BA$113,TRANSPOSE(SAP_Speadsheet!$E$26:$BL$26))</f>
        <v>0</v>
      </c>
      <c r="BB36" s="345" cm="1">
        <f t="array" aca="1" ref="BB36" ca="1">SUMPRODUCT(BB$54:BB$113,TRANSPOSE(SAP_Speadsheet!$E$26:$BL$26))</f>
        <v>0</v>
      </c>
      <c r="BC36" s="345" cm="1">
        <f t="array" aca="1" ref="BC36" ca="1">SUMPRODUCT(BC$54:BC$113,TRANSPOSE(SAP_Speadsheet!$E$26:$BL$26))</f>
        <v>0</v>
      </c>
      <c r="BD36" s="345" cm="1">
        <f t="array" aca="1" ref="BD36" ca="1">SUMPRODUCT(BD$54:BD$113,TRANSPOSE(SAP_Speadsheet!$E$26:$BL$26))</f>
        <v>0</v>
      </c>
      <c r="BE36" s="345" cm="1">
        <f t="array" aca="1" ref="BE36" ca="1">SUMPRODUCT(BE$54:BE$113,TRANSPOSE(SAP_Speadsheet!$E$26:$BL$26))</f>
        <v>0</v>
      </c>
      <c r="BF36" s="345" cm="1">
        <f t="array" aca="1" ref="BF36" ca="1">SUMPRODUCT(BF$54:BF$113,TRANSPOSE(SAP_Speadsheet!$E$26:$BL$26))</f>
        <v>0</v>
      </c>
      <c r="BG36" s="345" cm="1">
        <f t="array" aca="1" ref="BG36" ca="1">SUMPRODUCT(BG$54:BG$113,TRANSPOSE(SAP_Speadsheet!$E$26:$BL$26))</f>
        <v>0</v>
      </c>
      <c r="BH36" s="345" cm="1">
        <f t="array" aca="1" ref="BH36" ca="1">SUMPRODUCT(BH$54:BH$113,TRANSPOSE(SAP_Speadsheet!$E$26:$BL$26))</f>
        <v>0</v>
      </c>
      <c r="BI36" s="345" cm="1">
        <f t="array" aca="1" ref="BI36" ca="1">SUMPRODUCT(BI$54:BI$113,TRANSPOSE(SAP_Speadsheet!$E$26:$BL$26))</f>
        <v>0</v>
      </c>
    </row>
    <row r="37" spans="1:61" x14ac:dyDescent="0.15">
      <c r="A37" s="334" t="s">
        <v>377</v>
      </c>
      <c r="B37" s="345" cm="1">
        <f t="array" aca="1" ref="B37" ca="1">SUMPRODUCT(B$54:B$113,TRANSPOSE(SAP_Speadsheet!$E$27:$BL$27))</f>
        <v>0</v>
      </c>
      <c r="C37" s="345" cm="1">
        <f t="array" aca="1" ref="C37" ca="1">SUMPRODUCT(C$54:C$113,TRANSPOSE(SAP_Speadsheet!$E$27:$BL$27))</f>
        <v>0</v>
      </c>
      <c r="D37" s="345" cm="1">
        <f t="array" aca="1" ref="D37" ca="1">SUMPRODUCT(D$54:D$113,TRANSPOSE(SAP_Speadsheet!$E$27:$BL$27))</f>
        <v>0</v>
      </c>
      <c r="E37" s="345" cm="1">
        <f t="array" aca="1" ref="E37" ca="1">SUMPRODUCT(E$54:E$113,TRANSPOSE(SAP_Speadsheet!$E$27:$BL$27))</f>
        <v>0</v>
      </c>
      <c r="F37" s="345" cm="1">
        <f t="array" aca="1" ref="F37" ca="1">SUMPRODUCT(F$54:F$113,TRANSPOSE(SAP_Speadsheet!$E$27:$BL$27))</f>
        <v>13849.510443248209</v>
      </c>
      <c r="G37" s="345" cm="1">
        <f t="array" aca="1" ref="G37" ca="1">SUMPRODUCT(G$54:G$113,TRANSPOSE(SAP_Speadsheet!$E$27:$BL$27))</f>
        <v>18375.276336644049</v>
      </c>
      <c r="H37" s="345" cm="1">
        <f t="array" aca="1" ref="H37" ca="1">SUMPRODUCT(H$54:H$113,TRANSPOSE(SAP_Speadsheet!$E$27:$BL$27))</f>
        <v>27409.324704747742</v>
      </c>
      <c r="I37" s="345" cm="1">
        <f t="array" aca="1" ref="I37" ca="1">SUMPRODUCT(I$54:I$113,TRANSPOSE(SAP_Speadsheet!$E$27:$BL$27))</f>
        <v>0</v>
      </c>
      <c r="J37" s="345" cm="1">
        <f t="array" aca="1" ref="J37" ca="1">SUMPRODUCT(J$54:J$113,TRANSPOSE(SAP_Speadsheet!$E$27:$BL$27))</f>
        <v>0</v>
      </c>
      <c r="K37" s="345" cm="1">
        <f t="array" aca="1" ref="K37" ca="1">SUMPRODUCT(K$54:K$113,TRANSPOSE(SAP_Speadsheet!$E$27:$BL$27))</f>
        <v>0</v>
      </c>
      <c r="L37" s="345" cm="1">
        <f t="array" aca="1" ref="L37" ca="1">SUMPRODUCT(L$54:L$113,TRANSPOSE(SAP_Speadsheet!$E$27:$BL$27))</f>
        <v>0</v>
      </c>
      <c r="M37" s="345" cm="1">
        <f t="array" aca="1" ref="M37" ca="1">SUMPRODUCT(M$54:M$113,TRANSPOSE(SAP_Speadsheet!$E$27:$BL$27))</f>
        <v>0</v>
      </c>
      <c r="N37" s="345" cm="1">
        <f t="array" aca="1" ref="N37" ca="1">SUMPRODUCT(N$54:N$113,TRANSPOSE(SAP_Speadsheet!$E$27:$BL$27))</f>
        <v>0</v>
      </c>
      <c r="O37" s="345" cm="1">
        <f t="array" aca="1" ref="O37" ca="1">SUMPRODUCT(O$54:O$113,TRANSPOSE(SAP_Speadsheet!$E$27:$BL$27))</f>
        <v>0</v>
      </c>
      <c r="P37" s="345" cm="1">
        <f t="array" aca="1" ref="P37" ca="1">SUMPRODUCT(P$54:P$113,TRANSPOSE(SAP_Speadsheet!$E$27:$BL$27))</f>
        <v>0</v>
      </c>
      <c r="Q37" s="345" cm="1">
        <f t="array" aca="1" ref="Q37" ca="1">SUMPRODUCT(Q$54:Q$113,TRANSPOSE(SAP_Speadsheet!$E$27:$BL$27))</f>
        <v>0</v>
      </c>
      <c r="R37" s="345" cm="1">
        <f t="array" aca="1" ref="R37" ca="1">SUMPRODUCT(R$54:R$113,TRANSPOSE(SAP_Speadsheet!$E$27:$BL$27))</f>
        <v>0</v>
      </c>
      <c r="S37" s="345" cm="1">
        <f t="array" aca="1" ref="S37" ca="1">SUMPRODUCT(S$54:S$113,TRANSPOSE(SAP_Speadsheet!$E$27:$BL$27))</f>
        <v>0</v>
      </c>
      <c r="T37" s="345" cm="1">
        <f t="array" aca="1" ref="T37" ca="1">SUMPRODUCT(T$54:T$113,TRANSPOSE(SAP_Speadsheet!$E$27:$BL$27))</f>
        <v>0</v>
      </c>
      <c r="U37" s="345" cm="1">
        <f t="array" aca="1" ref="U37" ca="1">SUMPRODUCT(U$54:U$113,TRANSPOSE(SAP_Speadsheet!$E$27:$BL$27))</f>
        <v>0</v>
      </c>
      <c r="V37" s="345" cm="1">
        <f t="array" aca="1" ref="V37" ca="1">SUMPRODUCT(V$54:V$113,TRANSPOSE(SAP_Speadsheet!$E$27:$BL$27))</f>
        <v>0</v>
      </c>
      <c r="W37" s="345" cm="1">
        <f t="array" aca="1" ref="W37" ca="1">SUMPRODUCT(W$54:W$113,TRANSPOSE(SAP_Speadsheet!$E$27:$BL$27))</f>
        <v>0</v>
      </c>
      <c r="X37" s="345" cm="1">
        <f t="array" aca="1" ref="X37" ca="1">SUMPRODUCT(X$54:X$113,TRANSPOSE(SAP_Speadsheet!$E$27:$BL$27))</f>
        <v>0</v>
      </c>
      <c r="Y37" s="345" cm="1">
        <f t="array" aca="1" ref="Y37" ca="1">SUMPRODUCT(Y$54:Y$113,TRANSPOSE(SAP_Speadsheet!$E$27:$BL$27))</f>
        <v>0</v>
      </c>
      <c r="Z37" s="345" cm="1">
        <f t="array" aca="1" ref="Z37" ca="1">SUMPRODUCT(Z$54:Z$113,TRANSPOSE(SAP_Speadsheet!$E$27:$BL$27))</f>
        <v>0</v>
      </c>
      <c r="AA37" s="345" cm="1">
        <f t="array" aca="1" ref="AA37" ca="1">SUMPRODUCT(AA$54:AA$113,TRANSPOSE(SAP_Speadsheet!$E$27:$BL$27))</f>
        <v>0</v>
      </c>
      <c r="AB37" s="345" cm="1">
        <f t="array" aca="1" ref="AB37" ca="1">SUMPRODUCT(AB$54:AB$113,TRANSPOSE(SAP_Speadsheet!$E$27:$BL$27))</f>
        <v>0</v>
      </c>
      <c r="AC37" s="345" cm="1">
        <f t="array" aca="1" ref="AC37" ca="1">SUMPRODUCT(AC$54:AC$113,TRANSPOSE(SAP_Speadsheet!$E$27:$BL$27))</f>
        <v>0</v>
      </c>
      <c r="AD37" s="345" cm="1">
        <f t="array" aca="1" ref="AD37" ca="1">SUMPRODUCT(AD$54:AD$113,TRANSPOSE(SAP_Speadsheet!$E$27:$BL$27))</f>
        <v>0</v>
      </c>
      <c r="AE37" s="345" cm="1">
        <f t="array" aca="1" ref="AE37" ca="1">SUMPRODUCT(AE$54:AE$113,TRANSPOSE(SAP_Speadsheet!$E$27:$BL$27))</f>
        <v>0</v>
      </c>
      <c r="AF37" s="345" cm="1">
        <f t="array" aca="1" ref="AF37" ca="1">SUMPRODUCT(AF$54:AF$113,TRANSPOSE(SAP_Speadsheet!$E$27:$BL$27))</f>
        <v>0</v>
      </c>
      <c r="AG37" s="345" cm="1">
        <f t="array" aca="1" ref="AG37" ca="1">SUMPRODUCT(AG$54:AG$113,TRANSPOSE(SAP_Speadsheet!$E$27:$BL$27))</f>
        <v>0</v>
      </c>
      <c r="AH37" s="345" cm="1">
        <f t="array" aca="1" ref="AH37" ca="1">SUMPRODUCT(AH$54:AH$113,TRANSPOSE(SAP_Speadsheet!$E$27:$BL$27))</f>
        <v>0</v>
      </c>
      <c r="AI37" s="345" cm="1">
        <f t="array" aca="1" ref="AI37" ca="1">SUMPRODUCT(AI$54:AI$113,TRANSPOSE(SAP_Speadsheet!$E$27:$BL$27))</f>
        <v>0</v>
      </c>
      <c r="AJ37" s="345" cm="1">
        <f t="array" aca="1" ref="AJ37" ca="1">SUMPRODUCT(AJ$54:AJ$113,TRANSPOSE(SAP_Speadsheet!$E$27:$BL$27))</f>
        <v>0</v>
      </c>
      <c r="AK37" s="345" cm="1">
        <f t="array" aca="1" ref="AK37" ca="1">SUMPRODUCT(AK$54:AK$113,TRANSPOSE(SAP_Speadsheet!$E$27:$BL$27))</f>
        <v>0</v>
      </c>
      <c r="AL37" s="345" cm="1">
        <f t="array" aca="1" ref="AL37" ca="1">SUMPRODUCT(AL$54:AL$113,TRANSPOSE(SAP_Speadsheet!$E$27:$BL$27))</f>
        <v>0</v>
      </c>
      <c r="AM37" s="345" cm="1">
        <f t="array" aca="1" ref="AM37" ca="1">SUMPRODUCT(AM$54:AM$113,TRANSPOSE(SAP_Speadsheet!$E$27:$BL$27))</f>
        <v>0</v>
      </c>
      <c r="AN37" s="345" cm="1">
        <f t="array" aca="1" ref="AN37" ca="1">SUMPRODUCT(AN$54:AN$113,TRANSPOSE(SAP_Speadsheet!$E$27:$BL$27))</f>
        <v>0</v>
      </c>
      <c r="AO37" s="345" cm="1">
        <f t="array" aca="1" ref="AO37" ca="1">SUMPRODUCT(AO$54:AO$113,TRANSPOSE(SAP_Speadsheet!$E$27:$BL$27))</f>
        <v>0</v>
      </c>
      <c r="AP37" s="345" cm="1">
        <f t="array" aca="1" ref="AP37" ca="1">SUMPRODUCT(AP$54:AP$113,TRANSPOSE(SAP_Speadsheet!$E$27:$BL$27))</f>
        <v>0</v>
      </c>
      <c r="AQ37" s="345" cm="1">
        <f t="array" aca="1" ref="AQ37" ca="1">SUMPRODUCT(AQ$54:AQ$113,TRANSPOSE(SAP_Speadsheet!$E$27:$BL$27))</f>
        <v>0</v>
      </c>
      <c r="AR37" s="345" cm="1">
        <f t="array" aca="1" ref="AR37" ca="1">SUMPRODUCT(AR$54:AR$113,TRANSPOSE(SAP_Speadsheet!$E$27:$BL$27))</f>
        <v>0</v>
      </c>
      <c r="AS37" s="345" cm="1">
        <f t="array" aca="1" ref="AS37" ca="1">SUMPRODUCT(AS$54:AS$113,TRANSPOSE(SAP_Speadsheet!$E$27:$BL$27))</f>
        <v>0</v>
      </c>
      <c r="AT37" s="345" cm="1">
        <f t="array" aca="1" ref="AT37" ca="1">SUMPRODUCT(AT$54:AT$113,TRANSPOSE(SAP_Speadsheet!$E$27:$BL$27))</f>
        <v>0</v>
      </c>
      <c r="AU37" s="345" cm="1">
        <f t="array" aca="1" ref="AU37" ca="1">SUMPRODUCT(AU$54:AU$113,TRANSPOSE(SAP_Speadsheet!$E$27:$BL$27))</f>
        <v>0</v>
      </c>
      <c r="AV37" s="345" cm="1">
        <f t="array" aca="1" ref="AV37" ca="1">SUMPRODUCT(AV$54:AV$113,TRANSPOSE(SAP_Speadsheet!$E$27:$BL$27))</f>
        <v>0</v>
      </c>
      <c r="AW37" s="345" cm="1">
        <f t="array" aca="1" ref="AW37" ca="1">SUMPRODUCT(AW$54:AW$113,TRANSPOSE(SAP_Speadsheet!$E$27:$BL$27))</f>
        <v>0</v>
      </c>
      <c r="AX37" s="345" cm="1">
        <f t="array" aca="1" ref="AX37" ca="1">SUMPRODUCT(AX$54:AX$113,TRANSPOSE(SAP_Speadsheet!$E$27:$BL$27))</f>
        <v>0</v>
      </c>
      <c r="AY37" s="345" cm="1">
        <f t="array" aca="1" ref="AY37" ca="1">SUMPRODUCT(AY$54:AY$113,TRANSPOSE(SAP_Speadsheet!$E$27:$BL$27))</f>
        <v>0</v>
      </c>
      <c r="AZ37" s="345" cm="1">
        <f t="array" aca="1" ref="AZ37" ca="1">SUMPRODUCT(AZ$54:AZ$113,TRANSPOSE(SAP_Speadsheet!$E$27:$BL$27))</f>
        <v>0</v>
      </c>
      <c r="BA37" s="345" cm="1">
        <f t="array" aca="1" ref="BA37" ca="1">SUMPRODUCT(BA$54:BA$113,TRANSPOSE(SAP_Speadsheet!$E$27:$BL$27))</f>
        <v>0</v>
      </c>
      <c r="BB37" s="345" cm="1">
        <f t="array" aca="1" ref="BB37" ca="1">SUMPRODUCT(BB$54:BB$113,TRANSPOSE(SAP_Speadsheet!$E$27:$BL$27))</f>
        <v>0</v>
      </c>
      <c r="BC37" s="345" cm="1">
        <f t="array" aca="1" ref="BC37" ca="1">SUMPRODUCT(BC$54:BC$113,TRANSPOSE(SAP_Speadsheet!$E$27:$BL$27))</f>
        <v>0</v>
      </c>
      <c r="BD37" s="345" cm="1">
        <f t="array" aca="1" ref="BD37" ca="1">SUMPRODUCT(BD$54:BD$113,TRANSPOSE(SAP_Speadsheet!$E$27:$BL$27))</f>
        <v>0</v>
      </c>
      <c r="BE37" s="345" cm="1">
        <f t="array" aca="1" ref="BE37" ca="1">SUMPRODUCT(BE$54:BE$113,TRANSPOSE(SAP_Speadsheet!$E$27:$BL$27))</f>
        <v>0</v>
      </c>
      <c r="BF37" s="345" cm="1">
        <f t="array" aca="1" ref="BF37" ca="1">SUMPRODUCT(BF$54:BF$113,TRANSPOSE(SAP_Speadsheet!$E$27:$BL$27))</f>
        <v>0</v>
      </c>
      <c r="BG37" s="345" cm="1">
        <f t="array" aca="1" ref="BG37" ca="1">SUMPRODUCT(BG$54:BG$113,TRANSPOSE(SAP_Speadsheet!$E$27:$BL$27))</f>
        <v>0</v>
      </c>
      <c r="BH37" s="345" cm="1">
        <f t="array" aca="1" ref="BH37" ca="1">SUMPRODUCT(BH$54:BH$113,TRANSPOSE(SAP_Speadsheet!$E$27:$BL$27))</f>
        <v>0</v>
      </c>
      <c r="BI37" s="345" cm="1">
        <f t="array" aca="1" ref="BI37" ca="1">SUMPRODUCT(BI$54:BI$113,TRANSPOSE(SAP_Speadsheet!$E$27:$BL$27))</f>
        <v>0</v>
      </c>
    </row>
    <row r="38" spans="1:61" x14ac:dyDescent="0.15">
      <c r="A38" s="334" t="s">
        <v>378</v>
      </c>
      <c r="B38" s="345" cm="1">
        <f t="array" aca="1" ref="B38" ca="1">SUMPRODUCT(B$54:B$113,TRANSPOSE(SAP_Speadsheet!$E$28:$BL$28))</f>
        <v>0</v>
      </c>
      <c r="C38" s="345" cm="1">
        <f t="array" aca="1" ref="C38" ca="1">SUMPRODUCT(C$54:C$113,TRANSPOSE(SAP_Speadsheet!$E$28:$BL$28))</f>
        <v>0</v>
      </c>
      <c r="D38" s="345" cm="1">
        <f t="array" aca="1" ref="D38" ca="1">SUMPRODUCT(D$54:D$113,TRANSPOSE(SAP_Speadsheet!$E$28:$BL$28))</f>
        <v>0</v>
      </c>
      <c r="E38" s="345" cm="1">
        <f t="array" aca="1" ref="E38" ca="1">SUMPRODUCT(E$54:E$113,TRANSPOSE(SAP_Speadsheet!$E$28:$BL$28))</f>
        <v>0</v>
      </c>
      <c r="F38" s="345" cm="1">
        <f t="array" aca="1" ref="F38" ca="1">SUMPRODUCT(F$54:F$113,TRANSPOSE(SAP_Speadsheet!$E$28:$BL$28))</f>
        <v>0</v>
      </c>
      <c r="G38" s="345" cm="1">
        <f t="array" aca="1" ref="G38" ca="1">SUMPRODUCT(G$54:G$113,TRANSPOSE(SAP_Speadsheet!$E$28:$BL$28))</f>
        <v>12653.587336014041</v>
      </c>
      <c r="H38" s="345" cm="1">
        <f t="array" aca="1" ref="H38" ca="1">SUMPRODUCT(H$54:H$113,TRANSPOSE(SAP_Speadsheet!$E$28:$BL$28))</f>
        <v>16788.547501509005</v>
      </c>
      <c r="I38" s="345" cm="1">
        <f t="array" aca="1" ref="I38" ca="1">SUMPRODUCT(I$54:I$113,TRANSPOSE(SAP_Speadsheet!$E$28:$BL$28))</f>
        <v>25042.494129586688</v>
      </c>
      <c r="J38" s="345" cm="1">
        <f t="array" aca="1" ref="J38" ca="1">SUMPRODUCT(J$54:J$113,TRANSPOSE(SAP_Speadsheet!$E$28:$BL$28))</f>
        <v>0</v>
      </c>
      <c r="K38" s="345" cm="1">
        <f t="array" aca="1" ref="K38" ca="1">SUMPRODUCT(K$54:K$113,TRANSPOSE(SAP_Speadsheet!$E$28:$BL$28))</f>
        <v>0</v>
      </c>
      <c r="L38" s="345" cm="1">
        <f t="array" aca="1" ref="L38" ca="1">SUMPRODUCT(L$54:L$113,TRANSPOSE(SAP_Speadsheet!$E$28:$BL$28))</f>
        <v>0</v>
      </c>
      <c r="M38" s="345" cm="1">
        <f t="array" aca="1" ref="M38" ca="1">SUMPRODUCT(M$54:M$113,TRANSPOSE(SAP_Speadsheet!$E$28:$BL$28))</f>
        <v>0</v>
      </c>
      <c r="N38" s="345" cm="1">
        <f t="array" aca="1" ref="N38" ca="1">SUMPRODUCT(N$54:N$113,TRANSPOSE(SAP_Speadsheet!$E$28:$BL$28))</f>
        <v>0</v>
      </c>
      <c r="O38" s="345" cm="1">
        <f t="array" aca="1" ref="O38" ca="1">SUMPRODUCT(O$54:O$113,TRANSPOSE(SAP_Speadsheet!$E$28:$BL$28))</f>
        <v>0</v>
      </c>
      <c r="P38" s="345" cm="1">
        <f t="array" aca="1" ref="P38" ca="1">SUMPRODUCT(P$54:P$113,TRANSPOSE(SAP_Speadsheet!$E$28:$BL$28))</f>
        <v>0</v>
      </c>
      <c r="Q38" s="345" cm="1">
        <f t="array" aca="1" ref="Q38" ca="1">SUMPRODUCT(Q$54:Q$113,TRANSPOSE(SAP_Speadsheet!$E$28:$BL$28))</f>
        <v>0</v>
      </c>
      <c r="R38" s="345" cm="1">
        <f t="array" aca="1" ref="R38" ca="1">SUMPRODUCT(R$54:R$113,TRANSPOSE(SAP_Speadsheet!$E$28:$BL$28))</f>
        <v>0</v>
      </c>
      <c r="S38" s="345" cm="1">
        <f t="array" aca="1" ref="S38" ca="1">SUMPRODUCT(S$54:S$113,TRANSPOSE(SAP_Speadsheet!$E$28:$BL$28))</f>
        <v>0</v>
      </c>
      <c r="T38" s="345" cm="1">
        <f t="array" aca="1" ref="T38" ca="1">SUMPRODUCT(T$54:T$113,TRANSPOSE(SAP_Speadsheet!$E$28:$BL$28))</f>
        <v>0</v>
      </c>
      <c r="U38" s="345" cm="1">
        <f t="array" aca="1" ref="U38" ca="1">SUMPRODUCT(U$54:U$113,TRANSPOSE(SAP_Speadsheet!$E$28:$BL$28))</f>
        <v>0</v>
      </c>
      <c r="V38" s="345" cm="1">
        <f t="array" aca="1" ref="V38" ca="1">SUMPRODUCT(V$54:V$113,TRANSPOSE(SAP_Speadsheet!$E$28:$BL$28))</f>
        <v>0</v>
      </c>
      <c r="W38" s="345" cm="1">
        <f t="array" aca="1" ref="W38" ca="1">SUMPRODUCT(W$54:W$113,TRANSPOSE(SAP_Speadsheet!$E$28:$BL$28))</f>
        <v>0</v>
      </c>
      <c r="X38" s="345" cm="1">
        <f t="array" aca="1" ref="X38" ca="1">SUMPRODUCT(X$54:X$113,TRANSPOSE(SAP_Speadsheet!$E$28:$BL$28))</f>
        <v>0</v>
      </c>
      <c r="Y38" s="345" cm="1">
        <f t="array" aca="1" ref="Y38" ca="1">SUMPRODUCT(Y$54:Y$113,TRANSPOSE(SAP_Speadsheet!$E$28:$BL$28))</f>
        <v>0</v>
      </c>
      <c r="Z38" s="345" cm="1">
        <f t="array" aca="1" ref="Z38" ca="1">SUMPRODUCT(Z$54:Z$113,TRANSPOSE(SAP_Speadsheet!$E$28:$BL$28))</f>
        <v>0</v>
      </c>
      <c r="AA38" s="345" cm="1">
        <f t="array" aca="1" ref="AA38" ca="1">SUMPRODUCT(AA$54:AA$113,TRANSPOSE(SAP_Speadsheet!$E$28:$BL$28))</f>
        <v>0</v>
      </c>
      <c r="AB38" s="345" cm="1">
        <f t="array" aca="1" ref="AB38" ca="1">SUMPRODUCT(AB$54:AB$113,TRANSPOSE(SAP_Speadsheet!$E$28:$BL$28))</f>
        <v>0</v>
      </c>
      <c r="AC38" s="345" cm="1">
        <f t="array" aca="1" ref="AC38" ca="1">SUMPRODUCT(AC$54:AC$113,TRANSPOSE(SAP_Speadsheet!$E$28:$BL$28))</f>
        <v>0</v>
      </c>
      <c r="AD38" s="345" cm="1">
        <f t="array" aca="1" ref="AD38" ca="1">SUMPRODUCT(AD$54:AD$113,TRANSPOSE(SAP_Speadsheet!$E$28:$BL$28))</f>
        <v>0</v>
      </c>
      <c r="AE38" s="345" cm="1">
        <f t="array" aca="1" ref="AE38" ca="1">SUMPRODUCT(AE$54:AE$113,TRANSPOSE(SAP_Speadsheet!$E$28:$BL$28))</f>
        <v>0</v>
      </c>
      <c r="AF38" s="345" cm="1">
        <f t="array" aca="1" ref="AF38" ca="1">SUMPRODUCT(AF$54:AF$113,TRANSPOSE(SAP_Speadsheet!$E$28:$BL$28))</f>
        <v>0</v>
      </c>
      <c r="AG38" s="345" cm="1">
        <f t="array" aca="1" ref="AG38" ca="1">SUMPRODUCT(AG$54:AG$113,TRANSPOSE(SAP_Speadsheet!$E$28:$BL$28))</f>
        <v>0</v>
      </c>
      <c r="AH38" s="345" cm="1">
        <f t="array" aca="1" ref="AH38" ca="1">SUMPRODUCT(AH$54:AH$113,TRANSPOSE(SAP_Speadsheet!$E$28:$BL$28))</f>
        <v>0</v>
      </c>
      <c r="AI38" s="345" cm="1">
        <f t="array" aca="1" ref="AI38" ca="1">SUMPRODUCT(AI$54:AI$113,TRANSPOSE(SAP_Speadsheet!$E$28:$BL$28))</f>
        <v>0</v>
      </c>
      <c r="AJ38" s="345" cm="1">
        <f t="array" aca="1" ref="AJ38" ca="1">SUMPRODUCT(AJ$54:AJ$113,TRANSPOSE(SAP_Speadsheet!$E$28:$BL$28))</f>
        <v>0</v>
      </c>
      <c r="AK38" s="345" cm="1">
        <f t="array" aca="1" ref="AK38" ca="1">SUMPRODUCT(AK$54:AK$113,TRANSPOSE(SAP_Speadsheet!$E$28:$BL$28))</f>
        <v>0</v>
      </c>
      <c r="AL38" s="345" cm="1">
        <f t="array" aca="1" ref="AL38" ca="1">SUMPRODUCT(AL$54:AL$113,TRANSPOSE(SAP_Speadsheet!$E$28:$BL$28))</f>
        <v>0</v>
      </c>
      <c r="AM38" s="345" cm="1">
        <f t="array" aca="1" ref="AM38" ca="1">SUMPRODUCT(AM$54:AM$113,TRANSPOSE(SAP_Speadsheet!$E$28:$BL$28))</f>
        <v>0</v>
      </c>
      <c r="AN38" s="345" cm="1">
        <f t="array" aca="1" ref="AN38" ca="1">SUMPRODUCT(AN$54:AN$113,TRANSPOSE(SAP_Speadsheet!$E$28:$BL$28))</f>
        <v>0</v>
      </c>
      <c r="AO38" s="345" cm="1">
        <f t="array" aca="1" ref="AO38" ca="1">SUMPRODUCT(AO$54:AO$113,TRANSPOSE(SAP_Speadsheet!$E$28:$BL$28))</f>
        <v>0</v>
      </c>
      <c r="AP38" s="345" cm="1">
        <f t="array" aca="1" ref="AP38" ca="1">SUMPRODUCT(AP$54:AP$113,TRANSPOSE(SAP_Speadsheet!$E$28:$BL$28))</f>
        <v>0</v>
      </c>
      <c r="AQ38" s="345" cm="1">
        <f t="array" aca="1" ref="AQ38" ca="1">SUMPRODUCT(AQ$54:AQ$113,TRANSPOSE(SAP_Speadsheet!$E$28:$BL$28))</f>
        <v>0</v>
      </c>
      <c r="AR38" s="345" cm="1">
        <f t="array" aca="1" ref="AR38" ca="1">SUMPRODUCT(AR$54:AR$113,TRANSPOSE(SAP_Speadsheet!$E$28:$BL$28))</f>
        <v>0</v>
      </c>
      <c r="AS38" s="345" cm="1">
        <f t="array" aca="1" ref="AS38" ca="1">SUMPRODUCT(AS$54:AS$113,TRANSPOSE(SAP_Speadsheet!$E$28:$BL$28))</f>
        <v>0</v>
      </c>
      <c r="AT38" s="345" cm="1">
        <f t="array" aca="1" ref="AT38" ca="1">SUMPRODUCT(AT$54:AT$113,TRANSPOSE(SAP_Speadsheet!$E$28:$BL$28))</f>
        <v>0</v>
      </c>
      <c r="AU38" s="345" cm="1">
        <f t="array" aca="1" ref="AU38" ca="1">SUMPRODUCT(AU$54:AU$113,TRANSPOSE(SAP_Speadsheet!$E$28:$BL$28))</f>
        <v>0</v>
      </c>
      <c r="AV38" s="345" cm="1">
        <f t="array" aca="1" ref="AV38" ca="1">SUMPRODUCT(AV$54:AV$113,TRANSPOSE(SAP_Speadsheet!$E$28:$BL$28))</f>
        <v>0</v>
      </c>
      <c r="AW38" s="345" cm="1">
        <f t="array" aca="1" ref="AW38" ca="1">SUMPRODUCT(AW$54:AW$113,TRANSPOSE(SAP_Speadsheet!$E$28:$BL$28))</f>
        <v>0</v>
      </c>
      <c r="AX38" s="345" cm="1">
        <f t="array" aca="1" ref="AX38" ca="1">SUMPRODUCT(AX$54:AX$113,TRANSPOSE(SAP_Speadsheet!$E$28:$BL$28))</f>
        <v>0</v>
      </c>
      <c r="AY38" s="345" cm="1">
        <f t="array" aca="1" ref="AY38" ca="1">SUMPRODUCT(AY$54:AY$113,TRANSPOSE(SAP_Speadsheet!$E$28:$BL$28))</f>
        <v>0</v>
      </c>
      <c r="AZ38" s="345" cm="1">
        <f t="array" aca="1" ref="AZ38" ca="1">SUMPRODUCT(AZ$54:AZ$113,TRANSPOSE(SAP_Speadsheet!$E$28:$BL$28))</f>
        <v>0</v>
      </c>
      <c r="BA38" s="345" cm="1">
        <f t="array" aca="1" ref="BA38" ca="1">SUMPRODUCT(BA$54:BA$113,TRANSPOSE(SAP_Speadsheet!$E$28:$BL$28))</f>
        <v>0</v>
      </c>
      <c r="BB38" s="345" cm="1">
        <f t="array" aca="1" ref="BB38" ca="1">SUMPRODUCT(BB$54:BB$113,TRANSPOSE(SAP_Speadsheet!$E$28:$BL$28))</f>
        <v>0</v>
      </c>
      <c r="BC38" s="345" cm="1">
        <f t="array" aca="1" ref="BC38" ca="1">SUMPRODUCT(BC$54:BC$113,TRANSPOSE(SAP_Speadsheet!$E$28:$BL$28))</f>
        <v>0</v>
      </c>
      <c r="BD38" s="345" cm="1">
        <f t="array" aca="1" ref="BD38" ca="1">SUMPRODUCT(BD$54:BD$113,TRANSPOSE(SAP_Speadsheet!$E$28:$BL$28))</f>
        <v>0</v>
      </c>
      <c r="BE38" s="345" cm="1">
        <f t="array" aca="1" ref="BE38" ca="1">SUMPRODUCT(BE$54:BE$113,TRANSPOSE(SAP_Speadsheet!$E$28:$BL$28))</f>
        <v>0</v>
      </c>
      <c r="BF38" s="345" cm="1">
        <f t="array" aca="1" ref="BF38" ca="1">SUMPRODUCT(BF$54:BF$113,TRANSPOSE(SAP_Speadsheet!$E$28:$BL$28))</f>
        <v>0</v>
      </c>
      <c r="BG38" s="345" cm="1">
        <f t="array" aca="1" ref="BG38" ca="1">SUMPRODUCT(BG$54:BG$113,TRANSPOSE(SAP_Speadsheet!$E$28:$BL$28))</f>
        <v>0</v>
      </c>
      <c r="BH38" s="345" cm="1">
        <f t="array" aca="1" ref="BH38" ca="1">SUMPRODUCT(BH$54:BH$113,TRANSPOSE(SAP_Speadsheet!$E$28:$BL$28))</f>
        <v>0</v>
      </c>
      <c r="BI38" s="345" cm="1">
        <f t="array" aca="1" ref="BI38" ca="1">SUMPRODUCT(BI$54:BI$113,TRANSPOSE(SAP_Speadsheet!$E$28:$BL$28))</f>
        <v>0</v>
      </c>
    </row>
    <row r="39" spans="1:61" x14ac:dyDescent="0.15">
      <c r="A39" s="334" t="s">
        <v>380</v>
      </c>
      <c r="B39" s="345" cm="1">
        <f t="array" aca="1" ref="B39" ca="1">SUMPRODUCT(B$54:B$113,TRANSPOSE(SAP_Speadsheet!$E$29:$BL$29))</f>
        <v>0</v>
      </c>
      <c r="C39" s="345" cm="1">
        <f t="array" aca="1" ref="C39" ca="1">SUMPRODUCT(C$54:C$113,TRANSPOSE(SAP_Speadsheet!$E$29:$BL$29))</f>
        <v>0</v>
      </c>
      <c r="D39" s="345" cm="1">
        <f t="array" aca="1" ref="D39" ca="1">SUMPRODUCT(D$54:D$113,TRANSPOSE(SAP_Speadsheet!$E$29:$BL$29))</f>
        <v>0</v>
      </c>
      <c r="E39" s="345" cm="1">
        <f t="array" aca="1" ref="E39" ca="1">SUMPRODUCT(E$54:E$113,TRANSPOSE(SAP_Speadsheet!$E$29:$BL$29))</f>
        <v>0</v>
      </c>
      <c r="F39" s="345" cm="1">
        <f t="array" aca="1" ref="F39" ca="1">SUMPRODUCT(F$54:F$113,TRANSPOSE(SAP_Speadsheet!$E$29:$BL$29))</f>
        <v>0</v>
      </c>
      <c r="G39" s="345" cm="1">
        <f t="array" aca="1" ref="G39" ca="1">SUMPRODUCT(G$54:G$113,TRANSPOSE(SAP_Speadsheet!$E$29:$BL$29))</f>
        <v>0</v>
      </c>
      <c r="H39" s="345" cm="1">
        <f t="array" aca="1" ref="H39" ca="1">SUMPRODUCT(H$54:H$113,TRANSPOSE(SAP_Speadsheet!$E$29:$BL$29))</f>
        <v>12273.979715933619</v>
      </c>
      <c r="I39" s="345" cm="1">
        <f t="array" aca="1" ref="I39" ca="1">SUMPRODUCT(I$54:I$113,TRANSPOSE(SAP_Speadsheet!$E$29:$BL$29))</f>
        <v>16284.891076463737</v>
      </c>
      <c r="J39" s="345" cm="1">
        <f t="array" aca="1" ref="J39" ca="1">SUMPRODUCT(J$54:J$113,TRANSPOSE(SAP_Speadsheet!$E$29:$BL$29))</f>
        <v>24291.219305699084</v>
      </c>
      <c r="K39" s="345" cm="1">
        <f t="array" aca="1" ref="K39" ca="1">SUMPRODUCT(K$54:K$113,TRANSPOSE(SAP_Speadsheet!$E$29:$BL$29))</f>
        <v>0</v>
      </c>
      <c r="L39" s="345" cm="1">
        <f t="array" aca="1" ref="L39" ca="1">SUMPRODUCT(L$54:L$113,TRANSPOSE(SAP_Speadsheet!$E$29:$BL$29))</f>
        <v>0</v>
      </c>
      <c r="M39" s="345" cm="1">
        <f t="array" aca="1" ref="M39" ca="1">SUMPRODUCT(M$54:M$113,TRANSPOSE(SAP_Speadsheet!$E$29:$BL$29))</f>
        <v>0</v>
      </c>
      <c r="N39" s="345" cm="1">
        <f t="array" aca="1" ref="N39" ca="1">SUMPRODUCT(N$54:N$113,TRANSPOSE(SAP_Speadsheet!$E$29:$BL$29))</f>
        <v>0</v>
      </c>
      <c r="O39" s="345" cm="1">
        <f t="array" aca="1" ref="O39" ca="1">SUMPRODUCT(O$54:O$113,TRANSPOSE(SAP_Speadsheet!$E$29:$BL$29))</f>
        <v>0</v>
      </c>
      <c r="P39" s="345" cm="1">
        <f t="array" aca="1" ref="P39" ca="1">SUMPRODUCT(P$54:P$113,TRANSPOSE(SAP_Speadsheet!$E$29:$BL$29))</f>
        <v>0</v>
      </c>
      <c r="Q39" s="345" cm="1">
        <f t="array" aca="1" ref="Q39" ca="1">SUMPRODUCT(Q$54:Q$113,TRANSPOSE(SAP_Speadsheet!$E$29:$BL$29))</f>
        <v>0</v>
      </c>
      <c r="R39" s="345" cm="1">
        <f t="array" aca="1" ref="R39" ca="1">SUMPRODUCT(R$54:R$113,TRANSPOSE(SAP_Speadsheet!$E$29:$BL$29))</f>
        <v>0</v>
      </c>
      <c r="S39" s="345" cm="1">
        <f t="array" aca="1" ref="S39" ca="1">SUMPRODUCT(S$54:S$113,TRANSPOSE(SAP_Speadsheet!$E$29:$BL$29))</f>
        <v>0</v>
      </c>
      <c r="T39" s="345" cm="1">
        <f t="array" aca="1" ref="T39" ca="1">SUMPRODUCT(T$54:T$113,TRANSPOSE(SAP_Speadsheet!$E$29:$BL$29))</f>
        <v>0</v>
      </c>
      <c r="U39" s="345" cm="1">
        <f t="array" aca="1" ref="U39" ca="1">SUMPRODUCT(U$54:U$113,TRANSPOSE(SAP_Speadsheet!$E$29:$BL$29))</f>
        <v>0</v>
      </c>
      <c r="V39" s="345" cm="1">
        <f t="array" aca="1" ref="V39" ca="1">SUMPRODUCT(V$54:V$113,TRANSPOSE(SAP_Speadsheet!$E$29:$BL$29))</f>
        <v>0</v>
      </c>
      <c r="W39" s="345" cm="1">
        <f t="array" aca="1" ref="W39" ca="1">SUMPRODUCT(W$54:W$113,TRANSPOSE(SAP_Speadsheet!$E$29:$BL$29))</f>
        <v>0</v>
      </c>
      <c r="X39" s="345" cm="1">
        <f t="array" aca="1" ref="X39" ca="1">SUMPRODUCT(X$54:X$113,TRANSPOSE(SAP_Speadsheet!$E$29:$BL$29))</f>
        <v>0</v>
      </c>
      <c r="Y39" s="345" cm="1">
        <f t="array" aca="1" ref="Y39" ca="1">SUMPRODUCT(Y$54:Y$113,TRANSPOSE(SAP_Speadsheet!$E$29:$BL$29))</f>
        <v>0</v>
      </c>
      <c r="Z39" s="345" cm="1">
        <f t="array" aca="1" ref="Z39" ca="1">SUMPRODUCT(Z$54:Z$113,TRANSPOSE(SAP_Speadsheet!$E$29:$BL$29))</f>
        <v>0</v>
      </c>
      <c r="AA39" s="345" cm="1">
        <f t="array" aca="1" ref="AA39" ca="1">SUMPRODUCT(AA$54:AA$113,TRANSPOSE(SAP_Speadsheet!$E$29:$BL$29))</f>
        <v>0</v>
      </c>
      <c r="AB39" s="345" cm="1">
        <f t="array" aca="1" ref="AB39" ca="1">SUMPRODUCT(AB$54:AB$113,TRANSPOSE(SAP_Speadsheet!$E$29:$BL$29))</f>
        <v>0</v>
      </c>
      <c r="AC39" s="345" cm="1">
        <f t="array" aca="1" ref="AC39" ca="1">SUMPRODUCT(AC$54:AC$113,TRANSPOSE(SAP_Speadsheet!$E$29:$BL$29))</f>
        <v>0</v>
      </c>
      <c r="AD39" s="345" cm="1">
        <f t="array" aca="1" ref="AD39" ca="1">SUMPRODUCT(AD$54:AD$113,TRANSPOSE(SAP_Speadsheet!$E$29:$BL$29))</f>
        <v>0</v>
      </c>
      <c r="AE39" s="345" cm="1">
        <f t="array" aca="1" ref="AE39" ca="1">SUMPRODUCT(AE$54:AE$113,TRANSPOSE(SAP_Speadsheet!$E$29:$BL$29))</f>
        <v>0</v>
      </c>
      <c r="AF39" s="345" cm="1">
        <f t="array" aca="1" ref="AF39" ca="1">SUMPRODUCT(AF$54:AF$113,TRANSPOSE(SAP_Speadsheet!$E$29:$BL$29))</f>
        <v>0</v>
      </c>
      <c r="AG39" s="345" cm="1">
        <f t="array" aca="1" ref="AG39" ca="1">SUMPRODUCT(AG$54:AG$113,TRANSPOSE(SAP_Speadsheet!$E$29:$BL$29))</f>
        <v>0</v>
      </c>
      <c r="AH39" s="345" cm="1">
        <f t="array" aca="1" ref="AH39" ca="1">SUMPRODUCT(AH$54:AH$113,TRANSPOSE(SAP_Speadsheet!$E$29:$BL$29))</f>
        <v>0</v>
      </c>
      <c r="AI39" s="345" cm="1">
        <f t="array" aca="1" ref="AI39" ca="1">SUMPRODUCT(AI$54:AI$113,TRANSPOSE(SAP_Speadsheet!$E$29:$BL$29))</f>
        <v>0</v>
      </c>
      <c r="AJ39" s="345" cm="1">
        <f t="array" aca="1" ref="AJ39" ca="1">SUMPRODUCT(AJ$54:AJ$113,TRANSPOSE(SAP_Speadsheet!$E$29:$BL$29))</f>
        <v>0</v>
      </c>
      <c r="AK39" s="345" cm="1">
        <f t="array" aca="1" ref="AK39" ca="1">SUMPRODUCT(AK$54:AK$113,TRANSPOSE(SAP_Speadsheet!$E$29:$BL$29))</f>
        <v>0</v>
      </c>
      <c r="AL39" s="345" cm="1">
        <f t="array" aca="1" ref="AL39" ca="1">SUMPRODUCT(AL$54:AL$113,TRANSPOSE(SAP_Speadsheet!$E$29:$BL$29))</f>
        <v>0</v>
      </c>
      <c r="AM39" s="345" cm="1">
        <f t="array" aca="1" ref="AM39" ca="1">SUMPRODUCT(AM$54:AM$113,TRANSPOSE(SAP_Speadsheet!$E$29:$BL$29))</f>
        <v>0</v>
      </c>
      <c r="AN39" s="345" cm="1">
        <f t="array" aca="1" ref="AN39" ca="1">SUMPRODUCT(AN$54:AN$113,TRANSPOSE(SAP_Speadsheet!$E$29:$BL$29))</f>
        <v>0</v>
      </c>
      <c r="AO39" s="345" cm="1">
        <f t="array" aca="1" ref="AO39" ca="1">SUMPRODUCT(AO$54:AO$113,TRANSPOSE(SAP_Speadsheet!$E$29:$BL$29))</f>
        <v>0</v>
      </c>
      <c r="AP39" s="345" cm="1">
        <f t="array" aca="1" ref="AP39" ca="1">SUMPRODUCT(AP$54:AP$113,TRANSPOSE(SAP_Speadsheet!$E$29:$BL$29))</f>
        <v>0</v>
      </c>
      <c r="AQ39" s="345" cm="1">
        <f t="array" aca="1" ref="AQ39" ca="1">SUMPRODUCT(AQ$54:AQ$113,TRANSPOSE(SAP_Speadsheet!$E$29:$BL$29))</f>
        <v>0</v>
      </c>
      <c r="AR39" s="345" cm="1">
        <f t="array" aca="1" ref="AR39" ca="1">SUMPRODUCT(AR$54:AR$113,TRANSPOSE(SAP_Speadsheet!$E$29:$BL$29))</f>
        <v>0</v>
      </c>
      <c r="AS39" s="345" cm="1">
        <f t="array" aca="1" ref="AS39" ca="1">SUMPRODUCT(AS$54:AS$113,TRANSPOSE(SAP_Speadsheet!$E$29:$BL$29))</f>
        <v>0</v>
      </c>
      <c r="AT39" s="345" cm="1">
        <f t="array" aca="1" ref="AT39" ca="1">SUMPRODUCT(AT$54:AT$113,TRANSPOSE(SAP_Speadsheet!$E$29:$BL$29))</f>
        <v>0</v>
      </c>
      <c r="AU39" s="345" cm="1">
        <f t="array" aca="1" ref="AU39" ca="1">SUMPRODUCT(AU$54:AU$113,TRANSPOSE(SAP_Speadsheet!$E$29:$BL$29))</f>
        <v>0</v>
      </c>
      <c r="AV39" s="345" cm="1">
        <f t="array" aca="1" ref="AV39" ca="1">SUMPRODUCT(AV$54:AV$113,TRANSPOSE(SAP_Speadsheet!$E$29:$BL$29))</f>
        <v>0</v>
      </c>
      <c r="AW39" s="345" cm="1">
        <f t="array" aca="1" ref="AW39" ca="1">SUMPRODUCT(AW$54:AW$113,TRANSPOSE(SAP_Speadsheet!$E$29:$BL$29))</f>
        <v>0</v>
      </c>
      <c r="AX39" s="345" cm="1">
        <f t="array" aca="1" ref="AX39" ca="1">SUMPRODUCT(AX$54:AX$113,TRANSPOSE(SAP_Speadsheet!$E$29:$BL$29))</f>
        <v>0</v>
      </c>
      <c r="AY39" s="345" cm="1">
        <f t="array" aca="1" ref="AY39" ca="1">SUMPRODUCT(AY$54:AY$113,TRANSPOSE(SAP_Speadsheet!$E$29:$BL$29))</f>
        <v>0</v>
      </c>
      <c r="AZ39" s="345" cm="1">
        <f t="array" aca="1" ref="AZ39" ca="1">SUMPRODUCT(AZ$54:AZ$113,TRANSPOSE(SAP_Speadsheet!$E$29:$BL$29))</f>
        <v>0</v>
      </c>
      <c r="BA39" s="345" cm="1">
        <f t="array" aca="1" ref="BA39" ca="1">SUMPRODUCT(BA$54:BA$113,TRANSPOSE(SAP_Speadsheet!$E$29:$BL$29))</f>
        <v>0</v>
      </c>
      <c r="BB39" s="345" cm="1">
        <f t="array" aca="1" ref="BB39" ca="1">SUMPRODUCT(BB$54:BB$113,TRANSPOSE(SAP_Speadsheet!$E$29:$BL$29))</f>
        <v>0</v>
      </c>
      <c r="BC39" s="345" cm="1">
        <f t="array" aca="1" ref="BC39" ca="1">SUMPRODUCT(BC$54:BC$113,TRANSPOSE(SAP_Speadsheet!$E$29:$BL$29))</f>
        <v>0</v>
      </c>
      <c r="BD39" s="345" cm="1">
        <f t="array" aca="1" ref="BD39" ca="1">SUMPRODUCT(BD$54:BD$113,TRANSPOSE(SAP_Speadsheet!$E$29:$BL$29))</f>
        <v>0</v>
      </c>
      <c r="BE39" s="345" cm="1">
        <f t="array" aca="1" ref="BE39" ca="1">SUMPRODUCT(BE$54:BE$113,TRANSPOSE(SAP_Speadsheet!$E$29:$BL$29))</f>
        <v>0</v>
      </c>
      <c r="BF39" s="345" cm="1">
        <f t="array" aca="1" ref="BF39" ca="1">SUMPRODUCT(BF$54:BF$113,TRANSPOSE(SAP_Speadsheet!$E$29:$BL$29))</f>
        <v>0</v>
      </c>
      <c r="BG39" s="345" cm="1">
        <f t="array" aca="1" ref="BG39" ca="1">SUMPRODUCT(BG$54:BG$113,TRANSPOSE(SAP_Speadsheet!$E$29:$BL$29))</f>
        <v>0</v>
      </c>
      <c r="BH39" s="345" cm="1">
        <f t="array" aca="1" ref="BH39" ca="1">SUMPRODUCT(BH$54:BH$113,TRANSPOSE(SAP_Speadsheet!$E$29:$BL$29))</f>
        <v>0</v>
      </c>
      <c r="BI39" s="345" cm="1">
        <f t="array" aca="1" ref="BI39" ca="1">SUMPRODUCT(BI$54:BI$113,TRANSPOSE(SAP_Speadsheet!$E$29:$BL$29))</f>
        <v>0</v>
      </c>
    </row>
    <row r="40" spans="1:61" x14ac:dyDescent="0.15">
      <c r="A40" s="334" t="s">
        <v>381</v>
      </c>
      <c r="B40" s="345" cm="1">
        <f t="array" aca="1" ref="B40" ca="1">SUMPRODUCT(B$54:B$113,TRANSPOSE(SAP_Speadsheet!$E$30:$BL$30))</f>
        <v>0</v>
      </c>
      <c r="C40" s="345" cm="1">
        <f t="array" aca="1" ref="C40" ca="1">SUMPRODUCT(C$54:C$113,TRANSPOSE(SAP_Speadsheet!$E$30:$BL$30))</f>
        <v>0</v>
      </c>
      <c r="D40" s="345" cm="1">
        <f t="array" aca="1" ref="D40" ca="1">SUMPRODUCT(D$54:D$113,TRANSPOSE(SAP_Speadsheet!$E$30:$BL$30))</f>
        <v>0</v>
      </c>
      <c r="E40" s="345" cm="1">
        <f t="array" aca="1" ref="E40" ca="1">SUMPRODUCT(E$54:E$113,TRANSPOSE(SAP_Speadsheet!$E$30:$BL$30))</f>
        <v>0</v>
      </c>
      <c r="F40" s="345" cm="1">
        <f t="array" aca="1" ref="F40" ca="1">SUMPRODUCT(F$54:F$113,TRANSPOSE(SAP_Speadsheet!$E$30:$BL$30))</f>
        <v>0</v>
      </c>
      <c r="G40" s="345" cm="1">
        <f t="array" aca="1" ref="G40" ca="1">SUMPRODUCT(G$54:G$113,TRANSPOSE(SAP_Speadsheet!$E$30:$BL$30))</f>
        <v>0</v>
      </c>
      <c r="H40" s="345" cm="1">
        <f t="array" aca="1" ref="H40" ca="1">SUMPRODUCT(H$54:H$113,TRANSPOSE(SAP_Speadsheet!$E$30:$BL$30))</f>
        <v>0</v>
      </c>
      <c r="I40" s="345" cm="1">
        <f t="array" aca="1" ref="I40" ca="1">SUMPRODUCT(I$54:I$113,TRANSPOSE(SAP_Speadsheet!$E$30:$BL$30))</f>
        <v>12151.239918774283</v>
      </c>
      <c r="J40" s="345" cm="1">
        <f t="array" aca="1" ref="J40" ca="1">SUMPRODUCT(J$54:J$113,TRANSPOSE(SAP_Speadsheet!$E$30:$BL$30))</f>
        <v>16122.042165699098</v>
      </c>
      <c r="K40" s="345" cm="1">
        <f t="array" aca="1" ref="K40" ca="1">SUMPRODUCT(K$54:K$113,TRANSPOSE(SAP_Speadsheet!$E$30:$BL$30))</f>
        <v>24048.307112642095</v>
      </c>
      <c r="L40" s="345" cm="1">
        <f t="array" aca="1" ref="L40" ca="1">SUMPRODUCT(L$54:L$113,TRANSPOSE(SAP_Speadsheet!$E$30:$BL$30))</f>
        <v>0</v>
      </c>
      <c r="M40" s="345" cm="1">
        <f t="array" aca="1" ref="M40" ca="1">SUMPRODUCT(M$54:M$113,TRANSPOSE(SAP_Speadsheet!$E$30:$BL$30))</f>
        <v>0</v>
      </c>
      <c r="N40" s="345" cm="1">
        <f t="array" aca="1" ref="N40" ca="1">SUMPRODUCT(N$54:N$113,TRANSPOSE(SAP_Speadsheet!$E$30:$BL$30))</f>
        <v>0</v>
      </c>
      <c r="O40" s="345" cm="1">
        <f t="array" aca="1" ref="O40" ca="1">SUMPRODUCT(O$54:O$113,TRANSPOSE(SAP_Speadsheet!$E$30:$BL$30))</f>
        <v>0</v>
      </c>
      <c r="P40" s="345" cm="1">
        <f t="array" aca="1" ref="P40" ca="1">SUMPRODUCT(P$54:P$113,TRANSPOSE(SAP_Speadsheet!$E$30:$BL$30))</f>
        <v>0</v>
      </c>
      <c r="Q40" s="345" cm="1">
        <f t="array" aca="1" ref="Q40" ca="1">SUMPRODUCT(Q$54:Q$113,TRANSPOSE(SAP_Speadsheet!$E$30:$BL$30))</f>
        <v>0</v>
      </c>
      <c r="R40" s="345" cm="1">
        <f t="array" aca="1" ref="R40" ca="1">SUMPRODUCT(R$54:R$113,TRANSPOSE(SAP_Speadsheet!$E$30:$BL$30))</f>
        <v>0</v>
      </c>
      <c r="S40" s="345" cm="1">
        <f t="array" aca="1" ref="S40" ca="1">SUMPRODUCT(S$54:S$113,TRANSPOSE(SAP_Speadsheet!$E$30:$BL$30))</f>
        <v>0</v>
      </c>
      <c r="T40" s="345" cm="1">
        <f t="array" aca="1" ref="T40" ca="1">SUMPRODUCT(T$54:T$113,TRANSPOSE(SAP_Speadsheet!$E$30:$BL$30))</f>
        <v>0</v>
      </c>
      <c r="U40" s="345" cm="1">
        <f t="array" aca="1" ref="U40" ca="1">SUMPRODUCT(U$54:U$113,TRANSPOSE(SAP_Speadsheet!$E$30:$BL$30))</f>
        <v>0</v>
      </c>
      <c r="V40" s="345" cm="1">
        <f t="array" aca="1" ref="V40" ca="1">SUMPRODUCT(V$54:V$113,TRANSPOSE(SAP_Speadsheet!$E$30:$BL$30))</f>
        <v>0</v>
      </c>
      <c r="W40" s="345" cm="1">
        <f t="array" aca="1" ref="W40" ca="1">SUMPRODUCT(W$54:W$113,TRANSPOSE(SAP_Speadsheet!$E$30:$BL$30))</f>
        <v>0</v>
      </c>
      <c r="X40" s="345" cm="1">
        <f t="array" aca="1" ref="X40" ca="1">SUMPRODUCT(X$54:X$113,TRANSPOSE(SAP_Speadsheet!$E$30:$BL$30))</f>
        <v>0</v>
      </c>
      <c r="Y40" s="345" cm="1">
        <f t="array" aca="1" ref="Y40" ca="1">SUMPRODUCT(Y$54:Y$113,TRANSPOSE(SAP_Speadsheet!$E$30:$BL$30))</f>
        <v>0</v>
      </c>
      <c r="Z40" s="345" cm="1">
        <f t="array" aca="1" ref="Z40" ca="1">SUMPRODUCT(Z$54:Z$113,TRANSPOSE(SAP_Speadsheet!$E$30:$BL$30))</f>
        <v>0</v>
      </c>
      <c r="AA40" s="345" cm="1">
        <f t="array" aca="1" ref="AA40" ca="1">SUMPRODUCT(AA$54:AA$113,TRANSPOSE(SAP_Speadsheet!$E$30:$BL$30))</f>
        <v>0</v>
      </c>
      <c r="AB40" s="345" cm="1">
        <f t="array" aca="1" ref="AB40" ca="1">SUMPRODUCT(AB$54:AB$113,TRANSPOSE(SAP_Speadsheet!$E$30:$BL$30))</f>
        <v>0</v>
      </c>
      <c r="AC40" s="345" cm="1">
        <f t="array" aca="1" ref="AC40" ca="1">SUMPRODUCT(AC$54:AC$113,TRANSPOSE(SAP_Speadsheet!$E$30:$BL$30))</f>
        <v>0</v>
      </c>
      <c r="AD40" s="345" cm="1">
        <f t="array" aca="1" ref="AD40" ca="1">SUMPRODUCT(AD$54:AD$113,TRANSPOSE(SAP_Speadsheet!$E$30:$BL$30))</f>
        <v>0</v>
      </c>
      <c r="AE40" s="345" cm="1">
        <f t="array" aca="1" ref="AE40" ca="1">SUMPRODUCT(AE$54:AE$113,TRANSPOSE(SAP_Speadsheet!$E$30:$BL$30))</f>
        <v>0</v>
      </c>
      <c r="AF40" s="345" cm="1">
        <f t="array" aca="1" ref="AF40" ca="1">SUMPRODUCT(AF$54:AF$113,TRANSPOSE(SAP_Speadsheet!$E$30:$BL$30))</f>
        <v>0</v>
      </c>
      <c r="AG40" s="345" cm="1">
        <f t="array" aca="1" ref="AG40" ca="1">SUMPRODUCT(AG$54:AG$113,TRANSPOSE(SAP_Speadsheet!$E$30:$BL$30))</f>
        <v>0</v>
      </c>
      <c r="AH40" s="345" cm="1">
        <f t="array" aca="1" ref="AH40" ca="1">SUMPRODUCT(AH$54:AH$113,TRANSPOSE(SAP_Speadsheet!$E$30:$BL$30))</f>
        <v>0</v>
      </c>
      <c r="AI40" s="345" cm="1">
        <f t="array" aca="1" ref="AI40" ca="1">SUMPRODUCT(AI$54:AI$113,TRANSPOSE(SAP_Speadsheet!$E$30:$BL$30))</f>
        <v>0</v>
      </c>
      <c r="AJ40" s="345" cm="1">
        <f t="array" aca="1" ref="AJ40" ca="1">SUMPRODUCT(AJ$54:AJ$113,TRANSPOSE(SAP_Speadsheet!$E$30:$BL$30))</f>
        <v>0</v>
      </c>
      <c r="AK40" s="345" cm="1">
        <f t="array" aca="1" ref="AK40" ca="1">SUMPRODUCT(AK$54:AK$113,TRANSPOSE(SAP_Speadsheet!$E$30:$BL$30))</f>
        <v>0</v>
      </c>
      <c r="AL40" s="345" cm="1">
        <f t="array" aca="1" ref="AL40" ca="1">SUMPRODUCT(AL$54:AL$113,TRANSPOSE(SAP_Speadsheet!$E$30:$BL$30))</f>
        <v>0</v>
      </c>
      <c r="AM40" s="345" cm="1">
        <f t="array" aca="1" ref="AM40" ca="1">SUMPRODUCT(AM$54:AM$113,TRANSPOSE(SAP_Speadsheet!$E$30:$BL$30))</f>
        <v>0</v>
      </c>
      <c r="AN40" s="345" cm="1">
        <f t="array" aca="1" ref="AN40" ca="1">SUMPRODUCT(AN$54:AN$113,TRANSPOSE(SAP_Speadsheet!$E$30:$BL$30))</f>
        <v>0</v>
      </c>
      <c r="AO40" s="345" cm="1">
        <f t="array" aca="1" ref="AO40" ca="1">SUMPRODUCT(AO$54:AO$113,TRANSPOSE(SAP_Speadsheet!$E$30:$BL$30))</f>
        <v>0</v>
      </c>
      <c r="AP40" s="345" cm="1">
        <f t="array" aca="1" ref="AP40" ca="1">SUMPRODUCT(AP$54:AP$113,TRANSPOSE(SAP_Speadsheet!$E$30:$BL$30))</f>
        <v>0</v>
      </c>
      <c r="AQ40" s="345" cm="1">
        <f t="array" aca="1" ref="AQ40" ca="1">SUMPRODUCT(AQ$54:AQ$113,TRANSPOSE(SAP_Speadsheet!$E$30:$BL$30))</f>
        <v>0</v>
      </c>
      <c r="AR40" s="345" cm="1">
        <f t="array" aca="1" ref="AR40" ca="1">SUMPRODUCT(AR$54:AR$113,TRANSPOSE(SAP_Speadsheet!$E$30:$BL$30))</f>
        <v>0</v>
      </c>
      <c r="AS40" s="345" cm="1">
        <f t="array" aca="1" ref="AS40" ca="1">SUMPRODUCT(AS$54:AS$113,TRANSPOSE(SAP_Speadsheet!$E$30:$BL$30))</f>
        <v>0</v>
      </c>
      <c r="AT40" s="345" cm="1">
        <f t="array" aca="1" ref="AT40" ca="1">SUMPRODUCT(AT$54:AT$113,TRANSPOSE(SAP_Speadsheet!$E$30:$BL$30))</f>
        <v>0</v>
      </c>
      <c r="AU40" s="345" cm="1">
        <f t="array" aca="1" ref="AU40" ca="1">SUMPRODUCT(AU$54:AU$113,TRANSPOSE(SAP_Speadsheet!$E$30:$BL$30))</f>
        <v>0</v>
      </c>
      <c r="AV40" s="345" cm="1">
        <f t="array" aca="1" ref="AV40" ca="1">SUMPRODUCT(AV$54:AV$113,TRANSPOSE(SAP_Speadsheet!$E$30:$BL$30))</f>
        <v>0</v>
      </c>
      <c r="AW40" s="345" cm="1">
        <f t="array" aca="1" ref="AW40" ca="1">SUMPRODUCT(AW$54:AW$113,TRANSPOSE(SAP_Speadsheet!$E$30:$BL$30))</f>
        <v>0</v>
      </c>
      <c r="AX40" s="345" cm="1">
        <f t="array" aca="1" ref="AX40" ca="1">SUMPRODUCT(AX$54:AX$113,TRANSPOSE(SAP_Speadsheet!$E$30:$BL$30))</f>
        <v>0</v>
      </c>
      <c r="AY40" s="345" cm="1">
        <f t="array" aca="1" ref="AY40" ca="1">SUMPRODUCT(AY$54:AY$113,TRANSPOSE(SAP_Speadsheet!$E$30:$BL$30))</f>
        <v>0</v>
      </c>
      <c r="AZ40" s="345" cm="1">
        <f t="array" aca="1" ref="AZ40" ca="1">SUMPRODUCT(AZ$54:AZ$113,TRANSPOSE(SAP_Speadsheet!$E$30:$BL$30))</f>
        <v>0</v>
      </c>
      <c r="BA40" s="345" cm="1">
        <f t="array" aca="1" ref="BA40" ca="1">SUMPRODUCT(BA$54:BA$113,TRANSPOSE(SAP_Speadsheet!$E$30:$BL$30))</f>
        <v>0</v>
      </c>
      <c r="BB40" s="345" cm="1">
        <f t="array" aca="1" ref="BB40" ca="1">SUMPRODUCT(BB$54:BB$113,TRANSPOSE(SAP_Speadsheet!$E$30:$BL$30))</f>
        <v>0</v>
      </c>
      <c r="BC40" s="345" cm="1">
        <f t="array" aca="1" ref="BC40" ca="1">SUMPRODUCT(BC$54:BC$113,TRANSPOSE(SAP_Speadsheet!$E$30:$BL$30))</f>
        <v>0</v>
      </c>
      <c r="BD40" s="345" cm="1">
        <f t="array" aca="1" ref="BD40" ca="1">SUMPRODUCT(BD$54:BD$113,TRANSPOSE(SAP_Speadsheet!$E$30:$BL$30))</f>
        <v>0</v>
      </c>
      <c r="BE40" s="345" cm="1">
        <f t="array" aca="1" ref="BE40" ca="1">SUMPRODUCT(BE$54:BE$113,TRANSPOSE(SAP_Speadsheet!$E$30:$BL$30))</f>
        <v>0</v>
      </c>
      <c r="BF40" s="345" cm="1">
        <f t="array" aca="1" ref="BF40" ca="1">SUMPRODUCT(BF$54:BF$113,TRANSPOSE(SAP_Speadsheet!$E$30:$BL$30))</f>
        <v>0</v>
      </c>
      <c r="BG40" s="345" cm="1">
        <f t="array" aca="1" ref="BG40" ca="1">SUMPRODUCT(BG$54:BG$113,TRANSPOSE(SAP_Speadsheet!$E$30:$BL$30))</f>
        <v>0</v>
      </c>
      <c r="BH40" s="345" cm="1">
        <f t="array" aca="1" ref="BH40" ca="1">SUMPRODUCT(BH$54:BH$113,TRANSPOSE(SAP_Speadsheet!$E$30:$BL$30))</f>
        <v>0</v>
      </c>
      <c r="BI40" s="345" cm="1">
        <f t="array" aca="1" ref="BI40" ca="1">SUMPRODUCT(BI$54:BI$113,TRANSPOSE(SAP_Speadsheet!$E$30:$BL$30))</f>
        <v>0</v>
      </c>
    </row>
    <row r="41" spans="1:61" x14ac:dyDescent="0.15">
      <c r="A41" s="334" t="s">
        <v>382</v>
      </c>
      <c r="B41" s="345" cm="1">
        <f t="array" aca="1" ref="B41" ca="1">SUMPRODUCT(B$54:B$113,TRANSPOSE(SAP_Speadsheet!$E$31:$BL$31))</f>
        <v>0</v>
      </c>
      <c r="C41" s="345" cm="1">
        <f t="array" aca="1" ref="C41" ca="1">SUMPRODUCT(C$54:C$113,TRANSPOSE(SAP_Speadsheet!$E$31:$BL$31))</f>
        <v>0</v>
      </c>
      <c r="D41" s="345" cm="1">
        <f t="array" aca="1" ref="D41" ca="1">SUMPRODUCT(D$54:D$113,TRANSPOSE(SAP_Speadsheet!$E$31:$BL$31))</f>
        <v>0</v>
      </c>
      <c r="E41" s="345" cm="1">
        <f t="array" aca="1" ref="E41" ca="1">SUMPRODUCT(E$54:E$113,TRANSPOSE(SAP_Speadsheet!$E$31:$BL$31))</f>
        <v>0</v>
      </c>
      <c r="F41" s="345" cm="1">
        <f t="array" aca="1" ref="F41" ca="1">SUMPRODUCT(F$54:F$113,TRANSPOSE(SAP_Speadsheet!$E$31:$BL$31))</f>
        <v>0</v>
      </c>
      <c r="G41" s="345" cm="1">
        <f t="array" aca="1" ref="G41" ca="1">SUMPRODUCT(G$54:G$113,TRANSPOSE(SAP_Speadsheet!$E$31:$BL$31))</f>
        <v>0</v>
      </c>
      <c r="H41" s="345" cm="1">
        <f t="array" aca="1" ref="H41" ca="1">SUMPRODUCT(H$54:H$113,TRANSPOSE(SAP_Speadsheet!$E$31:$BL$31))</f>
        <v>0</v>
      </c>
      <c r="I41" s="345" cm="1">
        <f t="array" aca="1" ref="I41" ca="1">SUMPRODUCT(I$54:I$113,TRANSPOSE(SAP_Speadsheet!$E$31:$BL$31))</f>
        <v>0</v>
      </c>
      <c r="J41" s="345" cm="1">
        <f t="array" aca="1" ref="J41" ca="1">SUMPRODUCT(J$54:J$113,TRANSPOSE(SAP_Speadsheet!$E$31:$BL$31))</f>
        <v>12029.72751958654</v>
      </c>
      <c r="K41" s="345" cm="1">
        <f t="array" aca="1" ref="K41" ca="1">SUMPRODUCT(K$54:K$113,TRANSPOSE(SAP_Speadsheet!$E$31:$BL$31))</f>
        <v>15960.821744042109</v>
      </c>
      <c r="L41" s="345" cm="1">
        <f t="array" aca="1" ref="L41" ca="1">SUMPRODUCT(L$54:L$113,TRANSPOSE(SAP_Speadsheet!$E$31:$BL$31))</f>
        <v>23807.824041515676</v>
      </c>
      <c r="M41" s="345" cm="1">
        <f t="array" aca="1" ref="M41" ca="1">SUMPRODUCT(M$54:M$113,TRANSPOSE(SAP_Speadsheet!$E$31:$BL$31))</f>
        <v>0</v>
      </c>
      <c r="N41" s="345" cm="1">
        <f t="array" aca="1" ref="N41" ca="1">SUMPRODUCT(N$54:N$113,TRANSPOSE(SAP_Speadsheet!$E$31:$BL$31))</f>
        <v>0</v>
      </c>
      <c r="O41" s="345" cm="1">
        <f t="array" aca="1" ref="O41" ca="1">SUMPRODUCT(O$54:O$113,TRANSPOSE(SAP_Speadsheet!$E$31:$BL$31))</f>
        <v>0</v>
      </c>
      <c r="P41" s="345" cm="1">
        <f t="array" aca="1" ref="P41" ca="1">SUMPRODUCT(P$54:P$113,TRANSPOSE(SAP_Speadsheet!$E$31:$BL$31))</f>
        <v>0</v>
      </c>
      <c r="Q41" s="345" cm="1">
        <f t="array" aca="1" ref="Q41" ca="1">SUMPRODUCT(Q$54:Q$113,TRANSPOSE(SAP_Speadsheet!$E$31:$BL$31))</f>
        <v>0</v>
      </c>
      <c r="R41" s="345" cm="1">
        <f t="array" aca="1" ref="R41" ca="1">SUMPRODUCT(R$54:R$113,TRANSPOSE(SAP_Speadsheet!$E$31:$BL$31))</f>
        <v>0</v>
      </c>
      <c r="S41" s="345" cm="1">
        <f t="array" aca="1" ref="S41" ca="1">SUMPRODUCT(S$54:S$113,TRANSPOSE(SAP_Speadsheet!$E$31:$BL$31))</f>
        <v>0</v>
      </c>
      <c r="T41" s="345" cm="1">
        <f t="array" aca="1" ref="T41" ca="1">SUMPRODUCT(T$54:T$113,TRANSPOSE(SAP_Speadsheet!$E$31:$BL$31))</f>
        <v>0</v>
      </c>
      <c r="U41" s="345" cm="1">
        <f t="array" aca="1" ref="U41" ca="1">SUMPRODUCT(U$54:U$113,TRANSPOSE(SAP_Speadsheet!$E$31:$BL$31))</f>
        <v>0</v>
      </c>
      <c r="V41" s="345" cm="1">
        <f t="array" aca="1" ref="V41" ca="1">SUMPRODUCT(V$54:V$113,TRANSPOSE(SAP_Speadsheet!$E$31:$BL$31))</f>
        <v>0</v>
      </c>
      <c r="W41" s="345" cm="1">
        <f t="array" aca="1" ref="W41" ca="1">SUMPRODUCT(W$54:W$113,TRANSPOSE(SAP_Speadsheet!$E$31:$BL$31))</f>
        <v>0</v>
      </c>
      <c r="X41" s="345" cm="1">
        <f t="array" aca="1" ref="X41" ca="1">SUMPRODUCT(X$54:X$113,TRANSPOSE(SAP_Speadsheet!$E$31:$BL$31))</f>
        <v>0</v>
      </c>
      <c r="Y41" s="345" cm="1">
        <f t="array" aca="1" ref="Y41" ca="1">SUMPRODUCT(Y$54:Y$113,TRANSPOSE(SAP_Speadsheet!$E$31:$BL$31))</f>
        <v>0</v>
      </c>
      <c r="Z41" s="345" cm="1">
        <f t="array" aca="1" ref="Z41" ca="1">SUMPRODUCT(Z$54:Z$113,TRANSPOSE(SAP_Speadsheet!$E$31:$BL$31))</f>
        <v>0</v>
      </c>
      <c r="AA41" s="345" cm="1">
        <f t="array" aca="1" ref="AA41" ca="1">SUMPRODUCT(AA$54:AA$113,TRANSPOSE(SAP_Speadsheet!$E$31:$BL$31))</f>
        <v>0</v>
      </c>
      <c r="AB41" s="345" cm="1">
        <f t="array" aca="1" ref="AB41" ca="1">SUMPRODUCT(AB$54:AB$113,TRANSPOSE(SAP_Speadsheet!$E$31:$BL$31))</f>
        <v>0</v>
      </c>
      <c r="AC41" s="345" cm="1">
        <f t="array" aca="1" ref="AC41" ca="1">SUMPRODUCT(AC$54:AC$113,TRANSPOSE(SAP_Speadsheet!$E$31:$BL$31))</f>
        <v>0</v>
      </c>
      <c r="AD41" s="345" cm="1">
        <f t="array" aca="1" ref="AD41" ca="1">SUMPRODUCT(AD$54:AD$113,TRANSPOSE(SAP_Speadsheet!$E$31:$BL$31))</f>
        <v>0</v>
      </c>
      <c r="AE41" s="345" cm="1">
        <f t="array" aca="1" ref="AE41" ca="1">SUMPRODUCT(AE$54:AE$113,TRANSPOSE(SAP_Speadsheet!$E$31:$BL$31))</f>
        <v>0</v>
      </c>
      <c r="AF41" s="345" cm="1">
        <f t="array" aca="1" ref="AF41" ca="1">SUMPRODUCT(AF$54:AF$113,TRANSPOSE(SAP_Speadsheet!$E$31:$BL$31))</f>
        <v>0</v>
      </c>
      <c r="AG41" s="345" cm="1">
        <f t="array" aca="1" ref="AG41" ca="1">SUMPRODUCT(AG$54:AG$113,TRANSPOSE(SAP_Speadsheet!$E$31:$BL$31))</f>
        <v>0</v>
      </c>
      <c r="AH41" s="345" cm="1">
        <f t="array" aca="1" ref="AH41" ca="1">SUMPRODUCT(AH$54:AH$113,TRANSPOSE(SAP_Speadsheet!$E$31:$BL$31))</f>
        <v>0</v>
      </c>
      <c r="AI41" s="345" cm="1">
        <f t="array" aca="1" ref="AI41" ca="1">SUMPRODUCT(AI$54:AI$113,TRANSPOSE(SAP_Speadsheet!$E$31:$BL$31))</f>
        <v>0</v>
      </c>
      <c r="AJ41" s="345" cm="1">
        <f t="array" aca="1" ref="AJ41" ca="1">SUMPRODUCT(AJ$54:AJ$113,TRANSPOSE(SAP_Speadsheet!$E$31:$BL$31))</f>
        <v>0</v>
      </c>
      <c r="AK41" s="345" cm="1">
        <f t="array" aca="1" ref="AK41" ca="1">SUMPRODUCT(AK$54:AK$113,TRANSPOSE(SAP_Speadsheet!$E$31:$BL$31))</f>
        <v>0</v>
      </c>
      <c r="AL41" s="345" cm="1">
        <f t="array" aca="1" ref="AL41" ca="1">SUMPRODUCT(AL$54:AL$113,TRANSPOSE(SAP_Speadsheet!$E$31:$BL$31))</f>
        <v>0</v>
      </c>
      <c r="AM41" s="345" cm="1">
        <f t="array" aca="1" ref="AM41" ca="1">SUMPRODUCT(AM$54:AM$113,TRANSPOSE(SAP_Speadsheet!$E$31:$BL$31))</f>
        <v>0</v>
      </c>
      <c r="AN41" s="345" cm="1">
        <f t="array" aca="1" ref="AN41" ca="1">SUMPRODUCT(AN$54:AN$113,TRANSPOSE(SAP_Speadsheet!$E$31:$BL$31))</f>
        <v>0</v>
      </c>
      <c r="AO41" s="345" cm="1">
        <f t="array" aca="1" ref="AO41" ca="1">SUMPRODUCT(AO$54:AO$113,TRANSPOSE(SAP_Speadsheet!$E$31:$BL$31))</f>
        <v>0</v>
      </c>
      <c r="AP41" s="345" cm="1">
        <f t="array" aca="1" ref="AP41" ca="1">SUMPRODUCT(AP$54:AP$113,TRANSPOSE(SAP_Speadsheet!$E$31:$BL$31))</f>
        <v>0</v>
      </c>
      <c r="AQ41" s="345" cm="1">
        <f t="array" aca="1" ref="AQ41" ca="1">SUMPRODUCT(AQ$54:AQ$113,TRANSPOSE(SAP_Speadsheet!$E$31:$BL$31))</f>
        <v>0</v>
      </c>
      <c r="AR41" s="345" cm="1">
        <f t="array" aca="1" ref="AR41" ca="1">SUMPRODUCT(AR$54:AR$113,TRANSPOSE(SAP_Speadsheet!$E$31:$BL$31))</f>
        <v>0</v>
      </c>
      <c r="AS41" s="345" cm="1">
        <f t="array" aca="1" ref="AS41" ca="1">SUMPRODUCT(AS$54:AS$113,TRANSPOSE(SAP_Speadsheet!$E$31:$BL$31))</f>
        <v>0</v>
      </c>
      <c r="AT41" s="345" cm="1">
        <f t="array" aca="1" ref="AT41" ca="1">SUMPRODUCT(AT$54:AT$113,TRANSPOSE(SAP_Speadsheet!$E$31:$BL$31))</f>
        <v>0</v>
      </c>
      <c r="AU41" s="345" cm="1">
        <f t="array" aca="1" ref="AU41" ca="1">SUMPRODUCT(AU$54:AU$113,TRANSPOSE(SAP_Speadsheet!$E$31:$BL$31))</f>
        <v>0</v>
      </c>
      <c r="AV41" s="345" cm="1">
        <f t="array" aca="1" ref="AV41" ca="1">SUMPRODUCT(AV$54:AV$113,TRANSPOSE(SAP_Speadsheet!$E$31:$BL$31))</f>
        <v>0</v>
      </c>
      <c r="AW41" s="345" cm="1">
        <f t="array" aca="1" ref="AW41" ca="1">SUMPRODUCT(AW$54:AW$113,TRANSPOSE(SAP_Speadsheet!$E$31:$BL$31))</f>
        <v>0</v>
      </c>
      <c r="AX41" s="345" cm="1">
        <f t="array" aca="1" ref="AX41" ca="1">SUMPRODUCT(AX$54:AX$113,TRANSPOSE(SAP_Speadsheet!$E$31:$BL$31))</f>
        <v>0</v>
      </c>
      <c r="AY41" s="345" cm="1">
        <f t="array" aca="1" ref="AY41" ca="1">SUMPRODUCT(AY$54:AY$113,TRANSPOSE(SAP_Speadsheet!$E$31:$BL$31))</f>
        <v>0</v>
      </c>
      <c r="AZ41" s="345" cm="1">
        <f t="array" aca="1" ref="AZ41" ca="1">SUMPRODUCT(AZ$54:AZ$113,TRANSPOSE(SAP_Speadsheet!$E$31:$BL$31))</f>
        <v>0</v>
      </c>
      <c r="BA41" s="345" cm="1">
        <f t="array" aca="1" ref="BA41" ca="1">SUMPRODUCT(BA$54:BA$113,TRANSPOSE(SAP_Speadsheet!$E$31:$BL$31))</f>
        <v>0</v>
      </c>
      <c r="BB41" s="345" cm="1">
        <f t="array" aca="1" ref="BB41" ca="1">SUMPRODUCT(BB$54:BB$113,TRANSPOSE(SAP_Speadsheet!$E$31:$BL$31))</f>
        <v>0</v>
      </c>
      <c r="BC41" s="345" cm="1">
        <f t="array" aca="1" ref="BC41" ca="1">SUMPRODUCT(BC$54:BC$113,TRANSPOSE(SAP_Speadsheet!$E$31:$BL$31))</f>
        <v>0</v>
      </c>
      <c r="BD41" s="345" cm="1">
        <f t="array" aca="1" ref="BD41" ca="1">SUMPRODUCT(BD$54:BD$113,TRANSPOSE(SAP_Speadsheet!$E$31:$BL$31))</f>
        <v>0</v>
      </c>
      <c r="BE41" s="345" cm="1">
        <f t="array" aca="1" ref="BE41" ca="1">SUMPRODUCT(BE$54:BE$113,TRANSPOSE(SAP_Speadsheet!$E$31:$BL$31))</f>
        <v>0</v>
      </c>
      <c r="BF41" s="345" cm="1">
        <f t="array" aca="1" ref="BF41" ca="1">SUMPRODUCT(BF$54:BF$113,TRANSPOSE(SAP_Speadsheet!$E$31:$BL$31))</f>
        <v>0</v>
      </c>
      <c r="BG41" s="345" cm="1">
        <f t="array" aca="1" ref="BG41" ca="1">SUMPRODUCT(BG$54:BG$113,TRANSPOSE(SAP_Speadsheet!$E$31:$BL$31))</f>
        <v>0</v>
      </c>
      <c r="BH41" s="345" cm="1">
        <f t="array" aca="1" ref="BH41" ca="1">SUMPRODUCT(BH$54:BH$113,TRANSPOSE(SAP_Speadsheet!$E$31:$BL$31))</f>
        <v>0</v>
      </c>
      <c r="BI41" s="345" cm="1">
        <f t="array" aca="1" ref="BI41" ca="1">SUMPRODUCT(BI$54:BI$113,TRANSPOSE(SAP_Speadsheet!$E$31:$BL$31))</f>
        <v>0</v>
      </c>
    </row>
    <row r="42" spans="1:61" x14ac:dyDescent="0.15">
      <c r="A42" s="334" t="s">
        <v>384</v>
      </c>
      <c r="B42" s="345" cm="1">
        <f t="array" aca="1" ref="B42" ca="1">SUMPRODUCT(B$54:B$113,TRANSPOSE(SAP_Speadsheet!$E$32:$BL$32))</f>
        <v>0</v>
      </c>
      <c r="C42" s="345" cm="1">
        <f t="array" aca="1" ref="C42" ca="1">SUMPRODUCT(C$54:C$113,TRANSPOSE(SAP_Speadsheet!$E$32:$BL$32))</f>
        <v>0</v>
      </c>
      <c r="D42" s="345" cm="1">
        <f t="array" aca="1" ref="D42" ca="1">SUMPRODUCT(D$54:D$113,TRANSPOSE(SAP_Speadsheet!$E$32:$BL$32))</f>
        <v>0</v>
      </c>
      <c r="E42" s="345" cm="1">
        <f t="array" aca="1" ref="E42" ca="1">SUMPRODUCT(E$54:E$113,TRANSPOSE(SAP_Speadsheet!$E$32:$BL$32))</f>
        <v>0</v>
      </c>
      <c r="F42" s="345" cm="1">
        <f t="array" aca="1" ref="F42" ca="1">SUMPRODUCT(F$54:F$113,TRANSPOSE(SAP_Speadsheet!$E$32:$BL$32))</f>
        <v>0</v>
      </c>
      <c r="G42" s="345" cm="1">
        <f t="array" aca="1" ref="G42" ca="1">SUMPRODUCT(G$54:G$113,TRANSPOSE(SAP_Speadsheet!$E$32:$BL$32))</f>
        <v>0</v>
      </c>
      <c r="H42" s="345" cm="1">
        <f t="array" aca="1" ref="H42" ca="1">SUMPRODUCT(H$54:H$113,TRANSPOSE(SAP_Speadsheet!$E$32:$BL$32))</f>
        <v>0</v>
      </c>
      <c r="I42" s="345" cm="1">
        <f t="array" aca="1" ref="I42" ca="1">SUMPRODUCT(I$54:I$113,TRANSPOSE(SAP_Speadsheet!$E$32:$BL$32))</f>
        <v>0</v>
      </c>
      <c r="J42" s="345" cm="1">
        <f t="array" aca="1" ref="J42" ca="1">SUMPRODUCT(J$54:J$113,TRANSPOSE(SAP_Speadsheet!$E$32:$BL$32))</f>
        <v>0</v>
      </c>
      <c r="K42" s="345" cm="1">
        <f t="array" aca="1" ref="K42" ca="1">SUMPRODUCT(K$54:K$113,TRANSPOSE(SAP_Speadsheet!$E$32:$BL$32))</f>
        <v>11969.578881988609</v>
      </c>
      <c r="L42" s="345" cm="1">
        <f t="array" aca="1" ref="L42" ca="1">SUMPRODUCT(L$54:L$113,TRANSPOSE(SAP_Speadsheet!$E$32:$BL$32))</f>
        <v>15881.017635321899</v>
      </c>
      <c r="M42" s="345" cm="1">
        <f t="array" aca="1" ref="M42" ca="1">SUMPRODUCT(M$54:M$113,TRANSPOSE(SAP_Speadsheet!$E$32:$BL$32))</f>
        <v>23688.784921308099</v>
      </c>
      <c r="N42" s="345" cm="1">
        <f t="array" aca="1" ref="N42" ca="1">SUMPRODUCT(N$54:N$113,TRANSPOSE(SAP_Speadsheet!$E$32:$BL$32))</f>
        <v>0</v>
      </c>
      <c r="O42" s="345" cm="1">
        <f t="array" aca="1" ref="O42" ca="1">SUMPRODUCT(O$54:O$113,TRANSPOSE(SAP_Speadsheet!$E$32:$BL$32))</f>
        <v>0</v>
      </c>
      <c r="P42" s="345" cm="1">
        <f t="array" aca="1" ref="P42" ca="1">SUMPRODUCT(P$54:P$113,TRANSPOSE(SAP_Speadsheet!$E$32:$BL$32))</f>
        <v>0</v>
      </c>
      <c r="Q42" s="345" cm="1">
        <f t="array" aca="1" ref="Q42" ca="1">SUMPRODUCT(Q$54:Q$113,TRANSPOSE(SAP_Speadsheet!$E$32:$BL$32))</f>
        <v>0</v>
      </c>
      <c r="R42" s="345" cm="1">
        <f t="array" aca="1" ref="R42" ca="1">SUMPRODUCT(R$54:R$113,TRANSPOSE(SAP_Speadsheet!$E$32:$BL$32))</f>
        <v>0</v>
      </c>
      <c r="S42" s="345" cm="1">
        <f t="array" aca="1" ref="S42" ca="1">SUMPRODUCT(S$54:S$113,TRANSPOSE(SAP_Speadsheet!$E$32:$BL$32))</f>
        <v>0</v>
      </c>
      <c r="T42" s="345" cm="1">
        <f t="array" aca="1" ref="T42" ca="1">SUMPRODUCT(T$54:T$113,TRANSPOSE(SAP_Speadsheet!$E$32:$BL$32))</f>
        <v>0</v>
      </c>
      <c r="U42" s="345" cm="1">
        <f t="array" aca="1" ref="U42" ca="1">SUMPRODUCT(U$54:U$113,TRANSPOSE(SAP_Speadsheet!$E$32:$BL$32))</f>
        <v>0</v>
      </c>
      <c r="V42" s="345" cm="1">
        <f t="array" aca="1" ref="V42" ca="1">SUMPRODUCT(V$54:V$113,TRANSPOSE(SAP_Speadsheet!$E$32:$BL$32))</f>
        <v>0</v>
      </c>
      <c r="W42" s="345" cm="1">
        <f t="array" aca="1" ref="W42" ca="1">SUMPRODUCT(W$54:W$113,TRANSPOSE(SAP_Speadsheet!$E$32:$BL$32))</f>
        <v>0</v>
      </c>
      <c r="X42" s="345" cm="1">
        <f t="array" aca="1" ref="X42" ca="1">SUMPRODUCT(X$54:X$113,TRANSPOSE(SAP_Speadsheet!$E$32:$BL$32))</f>
        <v>0</v>
      </c>
      <c r="Y42" s="345" cm="1">
        <f t="array" aca="1" ref="Y42" ca="1">SUMPRODUCT(Y$54:Y$113,TRANSPOSE(SAP_Speadsheet!$E$32:$BL$32))</f>
        <v>0</v>
      </c>
      <c r="Z42" s="345" cm="1">
        <f t="array" aca="1" ref="Z42" ca="1">SUMPRODUCT(Z$54:Z$113,TRANSPOSE(SAP_Speadsheet!$E$32:$BL$32))</f>
        <v>0</v>
      </c>
      <c r="AA42" s="345" cm="1">
        <f t="array" aca="1" ref="AA42" ca="1">SUMPRODUCT(AA$54:AA$113,TRANSPOSE(SAP_Speadsheet!$E$32:$BL$32))</f>
        <v>0</v>
      </c>
      <c r="AB42" s="345" cm="1">
        <f t="array" aca="1" ref="AB42" ca="1">SUMPRODUCT(AB$54:AB$113,TRANSPOSE(SAP_Speadsheet!$E$32:$BL$32))</f>
        <v>0</v>
      </c>
      <c r="AC42" s="345" cm="1">
        <f t="array" aca="1" ref="AC42" ca="1">SUMPRODUCT(AC$54:AC$113,TRANSPOSE(SAP_Speadsheet!$E$32:$BL$32))</f>
        <v>0</v>
      </c>
      <c r="AD42" s="345" cm="1">
        <f t="array" aca="1" ref="AD42" ca="1">SUMPRODUCT(AD$54:AD$113,TRANSPOSE(SAP_Speadsheet!$E$32:$BL$32))</f>
        <v>0</v>
      </c>
      <c r="AE42" s="345" cm="1">
        <f t="array" aca="1" ref="AE42" ca="1">SUMPRODUCT(AE$54:AE$113,TRANSPOSE(SAP_Speadsheet!$E$32:$BL$32))</f>
        <v>0</v>
      </c>
      <c r="AF42" s="345" cm="1">
        <f t="array" aca="1" ref="AF42" ca="1">SUMPRODUCT(AF$54:AF$113,TRANSPOSE(SAP_Speadsheet!$E$32:$BL$32))</f>
        <v>0</v>
      </c>
      <c r="AG42" s="345" cm="1">
        <f t="array" aca="1" ref="AG42" ca="1">SUMPRODUCT(AG$54:AG$113,TRANSPOSE(SAP_Speadsheet!$E$32:$BL$32))</f>
        <v>0</v>
      </c>
      <c r="AH42" s="345" cm="1">
        <f t="array" aca="1" ref="AH42" ca="1">SUMPRODUCT(AH$54:AH$113,TRANSPOSE(SAP_Speadsheet!$E$32:$BL$32))</f>
        <v>0</v>
      </c>
      <c r="AI42" s="345" cm="1">
        <f t="array" aca="1" ref="AI42" ca="1">SUMPRODUCT(AI$54:AI$113,TRANSPOSE(SAP_Speadsheet!$E$32:$BL$32))</f>
        <v>0</v>
      </c>
      <c r="AJ42" s="345" cm="1">
        <f t="array" aca="1" ref="AJ42" ca="1">SUMPRODUCT(AJ$54:AJ$113,TRANSPOSE(SAP_Speadsheet!$E$32:$BL$32))</f>
        <v>0</v>
      </c>
      <c r="AK42" s="345" cm="1">
        <f t="array" aca="1" ref="AK42" ca="1">SUMPRODUCT(AK$54:AK$113,TRANSPOSE(SAP_Speadsheet!$E$32:$BL$32))</f>
        <v>0</v>
      </c>
      <c r="AL42" s="345" cm="1">
        <f t="array" aca="1" ref="AL42" ca="1">SUMPRODUCT(AL$54:AL$113,TRANSPOSE(SAP_Speadsheet!$E$32:$BL$32))</f>
        <v>0</v>
      </c>
      <c r="AM42" s="345" cm="1">
        <f t="array" aca="1" ref="AM42" ca="1">SUMPRODUCT(AM$54:AM$113,TRANSPOSE(SAP_Speadsheet!$E$32:$BL$32))</f>
        <v>0</v>
      </c>
      <c r="AN42" s="345" cm="1">
        <f t="array" aca="1" ref="AN42" ca="1">SUMPRODUCT(AN$54:AN$113,TRANSPOSE(SAP_Speadsheet!$E$32:$BL$32))</f>
        <v>0</v>
      </c>
      <c r="AO42" s="345" cm="1">
        <f t="array" aca="1" ref="AO42" ca="1">SUMPRODUCT(AO$54:AO$113,TRANSPOSE(SAP_Speadsheet!$E$32:$BL$32))</f>
        <v>0</v>
      </c>
      <c r="AP42" s="345" cm="1">
        <f t="array" aca="1" ref="AP42" ca="1">SUMPRODUCT(AP$54:AP$113,TRANSPOSE(SAP_Speadsheet!$E$32:$BL$32))</f>
        <v>0</v>
      </c>
      <c r="AQ42" s="345" cm="1">
        <f t="array" aca="1" ref="AQ42" ca="1">SUMPRODUCT(AQ$54:AQ$113,TRANSPOSE(SAP_Speadsheet!$E$32:$BL$32))</f>
        <v>0</v>
      </c>
      <c r="AR42" s="345" cm="1">
        <f t="array" aca="1" ref="AR42" ca="1">SUMPRODUCT(AR$54:AR$113,TRANSPOSE(SAP_Speadsheet!$E$32:$BL$32))</f>
        <v>0</v>
      </c>
      <c r="AS42" s="345" cm="1">
        <f t="array" aca="1" ref="AS42" ca="1">SUMPRODUCT(AS$54:AS$113,TRANSPOSE(SAP_Speadsheet!$E$32:$BL$32))</f>
        <v>0</v>
      </c>
      <c r="AT42" s="345" cm="1">
        <f t="array" aca="1" ref="AT42" ca="1">SUMPRODUCT(AT$54:AT$113,TRANSPOSE(SAP_Speadsheet!$E$32:$BL$32))</f>
        <v>0</v>
      </c>
      <c r="AU42" s="345" cm="1">
        <f t="array" aca="1" ref="AU42" ca="1">SUMPRODUCT(AU$54:AU$113,TRANSPOSE(SAP_Speadsheet!$E$32:$BL$32))</f>
        <v>0</v>
      </c>
      <c r="AV42" s="345" cm="1">
        <f t="array" aca="1" ref="AV42" ca="1">SUMPRODUCT(AV$54:AV$113,TRANSPOSE(SAP_Speadsheet!$E$32:$BL$32))</f>
        <v>0</v>
      </c>
      <c r="AW42" s="345" cm="1">
        <f t="array" aca="1" ref="AW42" ca="1">SUMPRODUCT(AW$54:AW$113,TRANSPOSE(SAP_Speadsheet!$E$32:$BL$32))</f>
        <v>0</v>
      </c>
      <c r="AX42" s="345" cm="1">
        <f t="array" aca="1" ref="AX42" ca="1">SUMPRODUCT(AX$54:AX$113,TRANSPOSE(SAP_Speadsheet!$E$32:$BL$32))</f>
        <v>0</v>
      </c>
      <c r="AY42" s="345" cm="1">
        <f t="array" aca="1" ref="AY42" ca="1">SUMPRODUCT(AY$54:AY$113,TRANSPOSE(SAP_Speadsheet!$E$32:$BL$32))</f>
        <v>0</v>
      </c>
      <c r="AZ42" s="345" cm="1">
        <f t="array" aca="1" ref="AZ42" ca="1">SUMPRODUCT(AZ$54:AZ$113,TRANSPOSE(SAP_Speadsheet!$E$32:$BL$32))</f>
        <v>0</v>
      </c>
      <c r="BA42" s="345" cm="1">
        <f t="array" aca="1" ref="BA42" ca="1">SUMPRODUCT(BA$54:BA$113,TRANSPOSE(SAP_Speadsheet!$E$32:$BL$32))</f>
        <v>0</v>
      </c>
      <c r="BB42" s="345" cm="1">
        <f t="array" aca="1" ref="BB42" ca="1">SUMPRODUCT(BB$54:BB$113,TRANSPOSE(SAP_Speadsheet!$E$32:$BL$32))</f>
        <v>0</v>
      </c>
      <c r="BC42" s="345" cm="1">
        <f t="array" aca="1" ref="BC42" ca="1">SUMPRODUCT(BC$54:BC$113,TRANSPOSE(SAP_Speadsheet!$E$32:$BL$32))</f>
        <v>0</v>
      </c>
      <c r="BD42" s="345" cm="1">
        <f t="array" aca="1" ref="BD42" ca="1">SUMPRODUCT(BD$54:BD$113,TRANSPOSE(SAP_Speadsheet!$E$32:$BL$32))</f>
        <v>0</v>
      </c>
      <c r="BE42" s="345" cm="1">
        <f t="array" aca="1" ref="BE42" ca="1">SUMPRODUCT(BE$54:BE$113,TRANSPOSE(SAP_Speadsheet!$E$32:$BL$32))</f>
        <v>0</v>
      </c>
      <c r="BF42" s="345" cm="1">
        <f t="array" aca="1" ref="BF42" ca="1">SUMPRODUCT(BF$54:BF$113,TRANSPOSE(SAP_Speadsheet!$E$32:$BL$32))</f>
        <v>0</v>
      </c>
      <c r="BG42" s="345" cm="1">
        <f t="array" aca="1" ref="BG42" ca="1">SUMPRODUCT(BG$54:BG$113,TRANSPOSE(SAP_Speadsheet!$E$32:$BL$32))</f>
        <v>0</v>
      </c>
      <c r="BH42" s="345" cm="1">
        <f t="array" aca="1" ref="BH42" ca="1">SUMPRODUCT(BH$54:BH$113,TRANSPOSE(SAP_Speadsheet!$E$32:$BL$32))</f>
        <v>0</v>
      </c>
      <c r="BI42" s="345" cm="1">
        <f t="array" aca="1" ref="BI42" ca="1">SUMPRODUCT(BI$54:BI$113,TRANSPOSE(SAP_Speadsheet!$E$32:$BL$32))</f>
        <v>0</v>
      </c>
    </row>
    <row r="43" spans="1:61" x14ac:dyDescent="0.15">
      <c r="A43" s="334" t="s">
        <v>385</v>
      </c>
      <c r="B43" s="345" cm="1">
        <f t="array" aca="1" ref="B43" ca="1">SUMPRODUCT(B$54:B$113,TRANSPOSE(SAP_Speadsheet!$E$33:$BL$33))</f>
        <v>0</v>
      </c>
      <c r="C43" s="345" cm="1">
        <f t="array" aca="1" ref="C43" ca="1">SUMPRODUCT(C$54:C$113,TRANSPOSE(SAP_Speadsheet!$E$33:$BL$33))</f>
        <v>0</v>
      </c>
      <c r="D43" s="345" cm="1">
        <f t="array" aca="1" ref="D43" ca="1">SUMPRODUCT(D$54:D$113,TRANSPOSE(SAP_Speadsheet!$E$33:$BL$33))</f>
        <v>0</v>
      </c>
      <c r="E43" s="345" cm="1">
        <f t="array" aca="1" ref="E43" ca="1">SUMPRODUCT(E$54:E$113,TRANSPOSE(SAP_Speadsheet!$E$33:$BL$33))</f>
        <v>0</v>
      </c>
      <c r="F43" s="345" cm="1">
        <f t="array" aca="1" ref="F43" ca="1">SUMPRODUCT(F$54:F$113,TRANSPOSE(SAP_Speadsheet!$E$33:$BL$33))</f>
        <v>0</v>
      </c>
      <c r="G43" s="345" cm="1">
        <f t="array" aca="1" ref="G43" ca="1">SUMPRODUCT(G$54:G$113,TRANSPOSE(SAP_Speadsheet!$E$33:$BL$33))</f>
        <v>0</v>
      </c>
      <c r="H43" s="345" cm="1">
        <f t="array" aca="1" ref="H43" ca="1">SUMPRODUCT(H$54:H$113,TRANSPOSE(SAP_Speadsheet!$E$33:$BL$33))</f>
        <v>0</v>
      </c>
      <c r="I43" s="345" cm="1">
        <f t="array" aca="1" ref="I43" ca="1">SUMPRODUCT(I$54:I$113,TRANSPOSE(SAP_Speadsheet!$E$33:$BL$33))</f>
        <v>0</v>
      </c>
      <c r="J43" s="345" cm="1">
        <f t="array" aca="1" ref="J43" ca="1">SUMPRODUCT(J$54:J$113,TRANSPOSE(SAP_Speadsheet!$E$33:$BL$33))</f>
        <v>0</v>
      </c>
      <c r="K43" s="345" cm="1">
        <f t="array" aca="1" ref="K43" ca="1">SUMPRODUCT(K$54:K$113,TRANSPOSE(SAP_Speadsheet!$E$33:$BL$33))</f>
        <v>0</v>
      </c>
      <c r="L43" s="345" cm="1">
        <f t="array" aca="1" ref="L43" ca="1">SUMPRODUCT(L$54:L$113,TRANSPOSE(SAP_Speadsheet!$E$33:$BL$33))</f>
        <v>0</v>
      </c>
      <c r="M43" s="345" cm="1">
        <f t="array" aca="1" ref="M43" ca="1">SUMPRODUCT(M$54:M$113,TRANSPOSE(SAP_Speadsheet!$E$33:$BL$33))</f>
        <v>0</v>
      </c>
      <c r="N43" s="345" cm="1">
        <f t="array" aca="1" ref="N43" ca="1">SUMPRODUCT(N$54:N$113,TRANSPOSE(SAP_Speadsheet!$E$33:$BL$33))</f>
        <v>0</v>
      </c>
      <c r="O43" s="345" cm="1">
        <f t="array" aca="1" ref="O43" ca="1">SUMPRODUCT(O$54:O$113,TRANSPOSE(SAP_Speadsheet!$E$33:$BL$33))</f>
        <v>0</v>
      </c>
      <c r="P43" s="345" cm="1">
        <f t="array" aca="1" ref="P43" ca="1">SUMPRODUCT(P$54:P$113,TRANSPOSE(SAP_Speadsheet!$E$33:$BL$33))</f>
        <v>0</v>
      </c>
      <c r="Q43" s="345" cm="1">
        <f t="array" aca="1" ref="Q43" ca="1">SUMPRODUCT(Q$54:Q$113,TRANSPOSE(SAP_Speadsheet!$E$33:$BL$33))</f>
        <v>0</v>
      </c>
      <c r="R43" s="345" cm="1">
        <f t="array" aca="1" ref="R43" ca="1">SUMPRODUCT(R$54:R$113,TRANSPOSE(SAP_Speadsheet!$E$33:$BL$33))</f>
        <v>0</v>
      </c>
      <c r="S43" s="345" cm="1">
        <f t="array" aca="1" ref="S43" ca="1">SUMPRODUCT(S$54:S$113,TRANSPOSE(SAP_Speadsheet!$E$33:$BL$33))</f>
        <v>0</v>
      </c>
      <c r="T43" s="345" cm="1">
        <f t="array" aca="1" ref="T43" ca="1">SUMPRODUCT(T$54:T$113,TRANSPOSE(SAP_Speadsheet!$E$33:$BL$33))</f>
        <v>0</v>
      </c>
      <c r="U43" s="345" cm="1">
        <f t="array" aca="1" ref="U43" ca="1">SUMPRODUCT(U$54:U$113,TRANSPOSE(SAP_Speadsheet!$E$33:$BL$33))</f>
        <v>0</v>
      </c>
      <c r="V43" s="345" cm="1">
        <f t="array" aca="1" ref="V43" ca="1">SUMPRODUCT(V$54:V$113,TRANSPOSE(SAP_Speadsheet!$E$33:$BL$33))</f>
        <v>0</v>
      </c>
      <c r="W43" s="345" cm="1">
        <f t="array" aca="1" ref="W43" ca="1">SUMPRODUCT(W$54:W$113,TRANSPOSE(SAP_Speadsheet!$E$33:$BL$33))</f>
        <v>0</v>
      </c>
      <c r="X43" s="345" cm="1">
        <f t="array" aca="1" ref="X43" ca="1">SUMPRODUCT(X$54:X$113,TRANSPOSE(SAP_Speadsheet!$E$33:$BL$33))</f>
        <v>0</v>
      </c>
      <c r="Y43" s="345" cm="1">
        <f t="array" aca="1" ref="Y43" ca="1">SUMPRODUCT(Y$54:Y$113,TRANSPOSE(SAP_Speadsheet!$E$33:$BL$33))</f>
        <v>0</v>
      </c>
      <c r="Z43" s="345" cm="1">
        <f t="array" aca="1" ref="Z43" ca="1">SUMPRODUCT(Z$54:Z$113,TRANSPOSE(SAP_Speadsheet!$E$33:$BL$33))</f>
        <v>0</v>
      </c>
      <c r="AA43" s="345" cm="1">
        <f t="array" aca="1" ref="AA43" ca="1">SUMPRODUCT(AA$54:AA$113,TRANSPOSE(SAP_Speadsheet!$E$33:$BL$33))</f>
        <v>0</v>
      </c>
      <c r="AB43" s="345" cm="1">
        <f t="array" aca="1" ref="AB43" ca="1">SUMPRODUCT(AB$54:AB$113,TRANSPOSE(SAP_Speadsheet!$E$33:$BL$33))</f>
        <v>0</v>
      </c>
      <c r="AC43" s="345" cm="1">
        <f t="array" aca="1" ref="AC43" ca="1">SUMPRODUCT(AC$54:AC$113,TRANSPOSE(SAP_Speadsheet!$E$33:$BL$33))</f>
        <v>0</v>
      </c>
      <c r="AD43" s="345" cm="1">
        <f t="array" aca="1" ref="AD43" ca="1">SUMPRODUCT(AD$54:AD$113,TRANSPOSE(SAP_Speadsheet!$E$33:$BL$33))</f>
        <v>0</v>
      </c>
      <c r="AE43" s="345" cm="1">
        <f t="array" aca="1" ref="AE43" ca="1">SUMPRODUCT(AE$54:AE$113,TRANSPOSE(SAP_Speadsheet!$E$33:$BL$33))</f>
        <v>0</v>
      </c>
      <c r="AF43" s="345" cm="1">
        <f t="array" aca="1" ref="AF43" ca="1">SUMPRODUCT(AF$54:AF$113,TRANSPOSE(SAP_Speadsheet!$E$33:$BL$33))</f>
        <v>0</v>
      </c>
      <c r="AG43" s="345" cm="1">
        <f t="array" aca="1" ref="AG43" ca="1">SUMPRODUCT(AG$54:AG$113,TRANSPOSE(SAP_Speadsheet!$E$33:$BL$33))</f>
        <v>0</v>
      </c>
      <c r="AH43" s="345" cm="1">
        <f t="array" aca="1" ref="AH43" ca="1">SUMPRODUCT(AH$54:AH$113,TRANSPOSE(SAP_Speadsheet!$E$33:$BL$33))</f>
        <v>0</v>
      </c>
      <c r="AI43" s="345" cm="1">
        <f t="array" aca="1" ref="AI43" ca="1">SUMPRODUCT(AI$54:AI$113,TRANSPOSE(SAP_Speadsheet!$E$33:$BL$33))</f>
        <v>0</v>
      </c>
      <c r="AJ43" s="345" cm="1">
        <f t="array" aca="1" ref="AJ43" ca="1">SUMPRODUCT(AJ$54:AJ$113,TRANSPOSE(SAP_Speadsheet!$E$33:$BL$33))</f>
        <v>0</v>
      </c>
      <c r="AK43" s="345" cm="1">
        <f t="array" aca="1" ref="AK43" ca="1">SUMPRODUCT(AK$54:AK$113,TRANSPOSE(SAP_Speadsheet!$E$33:$BL$33))</f>
        <v>0</v>
      </c>
      <c r="AL43" s="345" cm="1">
        <f t="array" aca="1" ref="AL43" ca="1">SUMPRODUCT(AL$54:AL$113,TRANSPOSE(SAP_Speadsheet!$E$33:$BL$33))</f>
        <v>0</v>
      </c>
      <c r="AM43" s="345" cm="1">
        <f t="array" aca="1" ref="AM43" ca="1">SUMPRODUCT(AM$54:AM$113,TRANSPOSE(SAP_Speadsheet!$E$33:$BL$33))</f>
        <v>0</v>
      </c>
      <c r="AN43" s="345" cm="1">
        <f t="array" aca="1" ref="AN43" ca="1">SUMPRODUCT(AN$54:AN$113,TRANSPOSE(SAP_Speadsheet!$E$33:$BL$33))</f>
        <v>0</v>
      </c>
      <c r="AO43" s="345" cm="1">
        <f t="array" aca="1" ref="AO43" ca="1">SUMPRODUCT(AO$54:AO$113,TRANSPOSE(SAP_Speadsheet!$E$33:$BL$33))</f>
        <v>0</v>
      </c>
      <c r="AP43" s="345" cm="1">
        <f t="array" aca="1" ref="AP43" ca="1">SUMPRODUCT(AP$54:AP$113,TRANSPOSE(SAP_Speadsheet!$E$33:$BL$33))</f>
        <v>0</v>
      </c>
      <c r="AQ43" s="345" cm="1">
        <f t="array" aca="1" ref="AQ43" ca="1">SUMPRODUCT(AQ$54:AQ$113,TRANSPOSE(SAP_Speadsheet!$E$33:$BL$33))</f>
        <v>0</v>
      </c>
      <c r="AR43" s="345" cm="1">
        <f t="array" aca="1" ref="AR43" ca="1">SUMPRODUCT(AR$54:AR$113,TRANSPOSE(SAP_Speadsheet!$E$33:$BL$33))</f>
        <v>0</v>
      </c>
      <c r="AS43" s="345" cm="1">
        <f t="array" aca="1" ref="AS43" ca="1">SUMPRODUCT(AS$54:AS$113,TRANSPOSE(SAP_Speadsheet!$E$33:$BL$33))</f>
        <v>0</v>
      </c>
      <c r="AT43" s="345" cm="1">
        <f t="array" aca="1" ref="AT43" ca="1">SUMPRODUCT(AT$54:AT$113,TRANSPOSE(SAP_Speadsheet!$E$33:$BL$33))</f>
        <v>0</v>
      </c>
      <c r="AU43" s="345" cm="1">
        <f t="array" aca="1" ref="AU43" ca="1">SUMPRODUCT(AU$54:AU$113,TRANSPOSE(SAP_Speadsheet!$E$33:$BL$33))</f>
        <v>0</v>
      </c>
      <c r="AV43" s="345" cm="1">
        <f t="array" aca="1" ref="AV43" ca="1">SUMPRODUCT(AV$54:AV$113,TRANSPOSE(SAP_Speadsheet!$E$33:$BL$33))</f>
        <v>0</v>
      </c>
      <c r="AW43" s="345" cm="1">
        <f t="array" aca="1" ref="AW43" ca="1">SUMPRODUCT(AW$54:AW$113,TRANSPOSE(SAP_Speadsheet!$E$33:$BL$33))</f>
        <v>0</v>
      </c>
      <c r="AX43" s="345" cm="1">
        <f t="array" aca="1" ref="AX43" ca="1">SUMPRODUCT(AX$54:AX$113,TRANSPOSE(SAP_Speadsheet!$E$33:$BL$33))</f>
        <v>0</v>
      </c>
      <c r="AY43" s="345" cm="1">
        <f t="array" aca="1" ref="AY43" ca="1">SUMPRODUCT(AY$54:AY$113,TRANSPOSE(SAP_Speadsheet!$E$33:$BL$33))</f>
        <v>0</v>
      </c>
      <c r="AZ43" s="345" cm="1">
        <f t="array" aca="1" ref="AZ43" ca="1">SUMPRODUCT(AZ$54:AZ$113,TRANSPOSE(SAP_Speadsheet!$E$33:$BL$33))</f>
        <v>0</v>
      </c>
      <c r="BA43" s="345" cm="1">
        <f t="array" aca="1" ref="BA43" ca="1">SUMPRODUCT(BA$54:BA$113,TRANSPOSE(SAP_Speadsheet!$E$33:$BL$33))</f>
        <v>0</v>
      </c>
      <c r="BB43" s="345" cm="1">
        <f t="array" aca="1" ref="BB43" ca="1">SUMPRODUCT(BB$54:BB$113,TRANSPOSE(SAP_Speadsheet!$E$33:$BL$33))</f>
        <v>0</v>
      </c>
      <c r="BC43" s="345" cm="1">
        <f t="array" aca="1" ref="BC43" ca="1">SUMPRODUCT(BC$54:BC$113,TRANSPOSE(SAP_Speadsheet!$E$33:$BL$33))</f>
        <v>0</v>
      </c>
      <c r="BD43" s="345" cm="1">
        <f t="array" aca="1" ref="BD43" ca="1">SUMPRODUCT(BD$54:BD$113,TRANSPOSE(SAP_Speadsheet!$E$33:$BL$33))</f>
        <v>0</v>
      </c>
      <c r="BE43" s="345" cm="1">
        <f t="array" aca="1" ref="BE43" ca="1">SUMPRODUCT(BE$54:BE$113,TRANSPOSE(SAP_Speadsheet!$E$33:$BL$33))</f>
        <v>0</v>
      </c>
      <c r="BF43" s="345" cm="1">
        <f t="array" aca="1" ref="BF43" ca="1">SUMPRODUCT(BF$54:BF$113,TRANSPOSE(SAP_Speadsheet!$E$33:$BL$33))</f>
        <v>0</v>
      </c>
      <c r="BG43" s="345" cm="1">
        <f t="array" aca="1" ref="BG43" ca="1">SUMPRODUCT(BG$54:BG$113,TRANSPOSE(SAP_Speadsheet!$E$33:$BL$33))</f>
        <v>0</v>
      </c>
      <c r="BH43" s="345" cm="1">
        <f t="array" aca="1" ref="BH43" ca="1">SUMPRODUCT(BH$54:BH$113,TRANSPOSE(SAP_Speadsheet!$E$33:$BL$33))</f>
        <v>0</v>
      </c>
      <c r="BI43" s="345" cm="1">
        <f t="array" aca="1" ref="BI43" ca="1">SUMPRODUCT(BI$54:BI$113,TRANSPOSE(SAP_Speadsheet!$E$33:$BL$33))</f>
        <v>0</v>
      </c>
    </row>
    <row r="44" spans="1:61" x14ac:dyDescent="0.15">
      <c r="A44" s="334" t="s">
        <v>386</v>
      </c>
      <c r="B44" s="345" cm="1">
        <f t="array" aca="1" ref="B44" ca="1">SUMPRODUCT(B$54:B$113,TRANSPOSE(SAP_Speadsheet!$E$34:$BL$34))</f>
        <v>0</v>
      </c>
      <c r="C44" s="345" cm="1">
        <f t="array" aca="1" ref="C44" ca="1">SUMPRODUCT(C$54:C$113,TRANSPOSE(SAP_Speadsheet!$E$34:$BL$34))</f>
        <v>0</v>
      </c>
      <c r="D44" s="345" cm="1">
        <f t="array" aca="1" ref="D44" ca="1">SUMPRODUCT(D$54:D$113,TRANSPOSE(SAP_Speadsheet!$E$34:$BL$34))</f>
        <v>0</v>
      </c>
      <c r="E44" s="345" cm="1">
        <f t="array" aca="1" ref="E44" ca="1">SUMPRODUCT(E$54:E$113,TRANSPOSE(SAP_Speadsheet!$E$34:$BL$34))</f>
        <v>0</v>
      </c>
      <c r="F44" s="345" cm="1">
        <f t="array" aca="1" ref="F44" ca="1">SUMPRODUCT(F$54:F$113,TRANSPOSE(SAP_Speadsheet!$E$34:$BL$34))</f>
        <v>0</v>
      </c>
      <c r="G44" s="345" cm="1">
        <f t="array" aca="1" ref="G44" ca="1">SUMPRODUCT(G$54:G$113,TRANSPOSE(SAP_Speadsheet!$E$34:$BL$34))</f>
        <v>0</v>
      </c>
      <c r="H44" s="345" cm="1">
        <f t="array" aca="1" ref="H44" ca="1">SUMPRODUCT(H$54:H$113,TRANSPOSE(SAP_Speadsheet!$E$34:$BL$34))</f>
        <v>0</v>
      </c>
      <c r="I44" s="345" cm="1">
        <f t="array" aca="1" ref="I44" ca="1">SUMPRODUCT(I$54:I$113,TRANSPOSE(SAP_Speadsheet!$E$34:$BL$34))</f>
        <v>0</v>
      </c>
      <c r="J44" s="345" cm="1">
        <f t="array" aca="1" ref="J44" ca="1">SUMPRODUCT(J$54:J$113,TRANSPOSE(SAP_Speadsheet!$E$34:$BL$34))</f>
        <v>0</v>
      </c>
      <c r="K44" s="345" cm="1">
        <f t="array" aca="1" ref="K44" ca="1">SUMPRODUCT(K$54:K$113,TRANSPOSE(SAP_Speadsheet!$E$34:$BL$34))</f>
        <v>0</v>
      </c>
      <c r="L44" s="345" cm="1">
        <f t="array" aca="1" ref="L44" ca="1">SUMPRODUCT(L$54:L$113,TRANSPOSE(SAP_Speadsheet!$E$34:$BL$34))</f>
        <v>0</v>
      </c>
      <c r="M44" s="345" cm="1">
        <f t="array" aca="1" ref="M44" ca="1">SUMPRODUCT(M$54:M$113,TRANSPOSE(SAP_Speadsheet!$E$34:$BL$34))</f>
        <v>0</v>
      </c>
      <c r="N44" s="345" cm="1">
        <f t="array" aca="1" ref="N44" ca="1">SUMPRODUCT(N$54:N$113,TRANSPOSE(SAP_Speadsheet!$E$34:$BL$34))</f>
        <v>0</v>
      </c>
      <c r="O44" s="345" cm="1">
        <f t="array" aca="1" ref="O44" ca="1">SUMPRODUCT(O$54:O$113,TRANSPOSE(SAP_Speadsheet!$E$34:$BL$34))</f>
        <v>0</v>
      </c>
      <c r="P44" s="345" cm="1">
        <f t="array" aca="1" ref="P44" ca="1">SUMPRODUCT(P$54:P$113,TRANSPOSE(SAP_Speadsheet!$E$34:$BL$34))</f>
        <v>0</v>
      </c>
      <c r="Q44" s="345" cm="1">
        <f t="array" aca="1" ref="Q44" ca="1">SUMPRODUCT(Q$54:Q$113,TRANSPOSE(SAP_Speadsheet!$E$34:$BL$34))</f>
        <v>0</v>
      </c>
      <c r="R44" s="345" cm="1">
        <f t="array" aca="1" ref="R44" ca="1">SUMPRODUCT(R$54:R$113,TRANSPOSE(SAP_Speadsheet!$E$34:$BL$34))</f>
        <v>0</v>
      </c>
      <c r="S44" s="345" cm="1">
        <f t="array" aca="1" ref="S44" ca="1">SUMPRODUCT(S$54:S$113,TRANSPOSE(SAP_Speadsheet!$E$34:$BL$34))</f>
        <v>0</v>
      </c>
      <c r="T44" s="345" cm="1">
        <f t="array" aca="1" ref="T44" ca="1">SUMPRODUCT(T$54:T$113,TRANSPOSE(SAP_Speadsheet!$E$34:$BL$34))</f>
        <v>0</v>
      </c>
      <c r="U44" s="345" cm="1">
        <f t="array" aca="1" ref="U44" ca="1">SUMPRODUCT(U$54:U$113,TRANSPOSE(SAP_Speadsheet!$E$34:$BL$34))</f>
        <v>0</v>
      </c>
      <c r="V44" s="345" cm="1">
        <f t="array" aca="1" ref="V44" ca="1">SUMPRODUCT(V$54:V$113,TRANSPOSE(SAP_Speadsheet!$E$34:$BL$34))</f>
        <v>0</v>
      </c>
      <c r="W44" s="345" cm="1">
        <f t="array" aca="1" ref="W44" ca="1">SUMPRODUCT(W$54:W$113,TRANSPOSE(SAP_Speadsheet!$E$34:$BL$34))</f>
        <v>0</v>
      </c>
      <c r="X44" s="345" cm="1">
        <f t="array" aca="1" ref="X44" ca="1">SUMPRODUCT(X$54:X$113,TRANSPOSE(SAP_Speadsheet!$E$34:$BL$34))</f>
        <v>0</v>
      </c>
      <c r="Y44" s="345" cm="1">
        <f t="array" aca="1" ref="Y44" ca="1">SUMPRODUCT(Y$54:Y$113,TRANSPOSE(SAP_Speadsheet!$E$34:$BL$34))</f>
        <v>0</v>
      </c>
      <c r="Z44" s="345" cm="1">
        <f t="array" aca="1" ref="Z44" ca="1">SUMPRODUCT(Z$54:Z$113,TRANSPOSE(SAP_Speadsheet!$E$34:$BL$34))</f>
        <v>0</v>
      </c>
      <c r="AA44" s="345" cm="1">
        <f t="array" aca="1" ref="AA44" ca="1">SUMPRODUCT(AA$54:AA$113,TRANSPOSE(SAP_Speadsheet!$E$34:$BL$34))</f>
        <v>0</v>
      </c>
      <c r="AB44" s="345" cm="1">
        <f t="array" aca="1" ref="AB44" ca="1">SUMPRODUCT(AB$54:AB$113,TRANSPOSE(SAP_Speadsheet!$E$34:$BL$34))</f>
        <v>0</v>
      </c>
      <c r="AC44" s="345" cm="1">
        <f t="array" aca="1" ref="AC44" ca="1">SUMPRODUCT(AC$54:AC$113,TRANSPOSE(SAP_Speadsheet!$E$34:$BL$34))</f>
        <v>0</v>
      </c>
      <c r="AD44" s="345" cm="1">
        <f t="array" aca="1" ref="AD44" ca="1">SUMPRODUCT(AD$54:AD$113,TRANSPOSE(SAP_Speadsheet!$E$34:$BL$34))</f>
        <v>0</v>
      </c>
      <c r="AE44" s="345" cm="1">
        <f t="array" aca="1" ref="AE44" ca="1">SUMPRODUCT(AE$54:AE$113,TRANSPOSE(SAP_Speadsheet!$E$34:$BL$34))</f>
        <v>0</v>
      </c>
      <c r="AF44" s="345" cm="1">
        <f t="array" aca="1" ref="AF44" ca="1">SUMPRODUCT(AF$54:AF$113,TRANSPOSE(SAP_Speadsheet!$E$34:$BL$34))</f>
        <v>0</v>
      </c>
      <c r="AG44" s="345" cm="1">
        <f t="array" aca="1" ref="AG44" ca="1">SUMPRODUCT(AG$54:AG$113,TRANSPOSE(SAP_Speadsheet!$E$34:$BL$34))</f>
        <v>0</v>
      </c>
      <c r="AH44" s="345" cm="1">
        <f t="array" aca="1" ref="AH44" ca="1">SUMPRODUCT(AH$54:AH$113,TRANSPOSE(SAP_Speadsheet!$E$34:$BL$34))</f>
        <v>0</v>
      </c>
      <c r="AI44" s="345" cm="1">
        <f t="array" aca="1" ref="AI44" ca="1">SUMPRODUCT(AI$54:AI$113,TRANSPOSE(SAP_Speadsheet!$E$34:$BL$34))</f>
        <v>0</v>
      </c>
      <c r="AJ44" s="345" cm="1">
        <f t="array" aca="1" ref="AJ44" ca="1">SUMPRODUCT(AJ$54:AJ$113,TRANSPOSE(SAP_Speadsheet!$E$34:$BL$34))</f>
        <v>0</v>
      </c>
      <c r="AK44" s="345" cm="1">
        <f t="array" aca="1" ref="AK44" ca="1">SUMPRODUCT(AK$54:AK$113,TRANSPOSE(SAP_Speadsheet!$E$34:$BL$34))</f>
        <v>0</v>
      </c>
      <c r="AL44" s="345" cm="1">
        <f t="array" aca="1" ref="AL44" ca="1">SUMPRODUCT(AL$54:AL$113,TRANSPOSE(SAP_Speadsheet!$E$34:$BL$34))</f>
        <v>0</v>
      </c>
      <c r="AM44" s="345" cm="1">
        <f t="array" aca="1" ref="AM44" ca="1">SUMPRODUCT(AM$54:AM$113,TRANSPOSE(SAP_Speadsheet!$E$34:$BL$34))</f>
        <v>0</v>
      </c>
      <c r="AN44" s="345" cm="1">
        <f t="array" aca="1" ref="AN44" ca="1">SUMPRODUCT(AN$54:AN$113,TRANSPOSE(SAP_Speadsheet!$E$34:$BL$34))</f>
        <v>0</v>
      </c>
      <c r="AO44" s="345" cm="1">
        <f t="array" aca="1" ref="AO44" ca="1">SUMPRODUCT(AO$54:AO$113,TRANSPOSE(SAP_Speadsheet!$E$34:$BL$34))</f>
        <v>0</v>
      </c>
      <c r="AP44" s="345" cm="1">
        <f t="array" aca="1" ref="AP44" ca="1">SUMPRODUCT(AP$54:AP$113,TRANSPOSE(SAP_Speadsheet!$E$34:$BL$34))</f>
        <v>0</v>
      </c>
      <c r="AQ44" s="345" cm="1">
        <f t="array" aca="1" ref="AQ44" ca="1">SUMPRODUCT(AQ$54:AQ$113,TRANSPOSE(SAP_Speadsheet!$E$34:$BL$34))</f>
        <v>0</v>
      </c>
      <c r="AR44" s="345" cm="1">
        <f t="array" aca="1" ref="AR44" ca="1">SUMPRODUCT(AR$54:AR$113,TRANSPOSE(SAP_Speadsheet!$E$34:$BL$34))</f>
        <v>0</v>
      </c>
      <c r="AS44" s="345" cm="1">
        <f t="array" aca="1" ref="AS44" ca="1">SUMPRODUCT(AS$54:AS$113,TRANSPOSE(SAP_Speadsheet!$E$34:$BL$34))</f>
        <v>0</v>
      </c>
      <c r="AT44" s="345" cm="1">
        <f t="array" aca="1" ref="AT44" ca="1">SUMPRODUCT(AT$54:AT$113,TRANSPOSE(SAP_Speadsheet!$E$34:$BL$34))</f>
        <v>0</v>
      </c>
      <c r="AU44" s="345" cm="1">
        <f t="array" aca="1" ref="AU44" ca="1">SUMPRODUCT(AU$54:AU$113,TRANSPOSE(SAP_Speadsheet!$E$34:$BL$34))</f>
        <v>0</v>
      </c>
      <c r="AV44" s="345" cm="1">
        <f t="array" aca="1" ref="AV44" ca="1">SUMPRODUCT(AV$54:AV$113,TRANSPOSE(SAP_Speadsheet!$E$34:$BL$34))</f>
        <v>0</v>
      </c>
      <c r="AW44" s="345" cm="1">
        <f t="array" aca="1" ref="AW44" ca="1">SUMPRODUCT(AW$54:AW$113,TRANSPOSE(SAP_Speadsheet!$E$34:$BL$34))</f>
        <v>0</v>
      </c>
      <c r="AX44" s="345" cm="1">
        <f t="array" aca="1" ref="AX44" ca="1">SUMPRODUCT(AX$54:AX$113,TRANSPOSE(SAP_Speadsheet!$E$34:$BL$34))</f>
        <v>0</v>
      </c>
      <c r="AY44" s="345" cm="1">
        <f t="array" aca="1" ref="AY44" ca="1">SUMPRODUCT(AY$54:AY$113,TRANSPOSE(SAP_Speadsheet!$E$34:$BL$34))</f>
        <v>0</v>
      </c>
      <c r="AZ44" s="345" cm="1">
        <f t="array" aca="1" ref="AZ44" ca="1">SUMPRODUCT(AZ$54:AZ$113,TRANSPOSE(SAP_Speadsheet!$E$34:$BL$34))</f>
        <v>0</v>
      </c>
      <c r="BA44" s="345" cm="1">
        <f t="array" aca="1" ref="BA44" ca="1">SUMPRODUCT(BA$54:BA$113,TRANSPOSE(SAP_Speadsheet!$E$34:$BL$34))</f>
        <v>0</v>
      </c>
      <c r="BB44" s="345" cm="1">
        <f t="array" aca="1" ref="BB44" ca="1">SUMPRODUCT(BB$54:BB$113,TRANSPOSE(SAP_Speadsheet!$E$34:$BL$34))</f>
        <v>0</v>
      </c>
      <c r="BC44" s="345" cm="1">
        <f t="array" aca="1" ref="BC44" ca="1">SUMPRODUCT(BC$54:BC$113,TRANSPOSE(SAP_Speadsheet!$E$34:$BL$34))</f>
        <v>0</v>
      </c>
      <c r="BD44" s="345" cm="1">
        <f t="array" aca="1" ref="BD44" ca="1">SUMPRODUCT(BD$54:BD$113,TRANSPOSE(SAP_Speadsheet!$E$34:$BL$34))</f>
        <v>0</v>
      </c>
      <c r="BE44" s="345" cm="1">
        <f t="array" aca="1" ref="BE44" ca="1">SUMPRODUCT(BE$54:BE$113,TRANSPOSE(SAP_Speadsheet!$E$34:$BL$34))</f>
        <v>0</v>
      </c>
      <c r="BF44" s="345" cm="1">
        <f t="array" aca="1" ref="BF44" ca="1">SUMPRODUCT(BF$54:BF$113,TRANSPOSE(SAP_Speadsheet!$E$34:$BL$34))</f>
        <v>0</v>
      </c>
      <c r="BG44" s="345" cm="1">
        <f t="array" aca="1" ref="BG44" ca="1">SUMPRODUCT(BG$54:BG$113,TRANSPOSE(SAP_Speadsheet!$E$34:$BL$34))</f>
        <v>0</v>
      </c>
      <c r="BH44" s="345" cm="1">
        <f t="array" aca="1" ref="BH44" ca="1">SUMPRODUCT(BH$54:BH$113,TRANSPOSE(SAP_Speadsheet!$E$34:$BL$34))</f>
        <v>0</v>
      </c>
      <c r="BI44" s="345" cm="1">
        <f t="array" aca="1" ref="BI44" ca="1">SUMPRODUCT(BI$54:BI$113,TRANSPOSE(SAP_Speadsheet!$E$34:$BL$34))</f>
        <v>0</v>
      </c>
    </row>
    <row r="45" spans="1:61" x14ac:dyDescent="0.15">
      <c r="A45" s="334" t="s">
        <v>320</v>
      </c>
      <c r="B45" s="345" cm="1">
        <f t="array" aca="1" ref="B45" ca="1">SUMPRODUCT(B$54:B$113,TRANSPOSE(SAP_Speadsheet!$E$35:$BL$35))</f>
        <v>0</v>
      </c>
      <c r="C45" s="345" cm="1">
        <f t="array" aca="1" ref="C45" ca="1">SUMPRODUCT(C$54:C$113,TRANSPOSE(SAP_Speadsheet!$E$35:$BL$35))</f>
        <v>0</v>
      </c>
      <c r="D45" s="345" cm="1">
        <f t="array" aca="1" ref="D45" ca="1">SUMPRODUCT(D$54:D$113,TRANSPOSE(SAP_Speadsheet!$E$35:$BL$35))</f>
        <v>0</v>
      </c>
      <c r="E45" s="345" cm="1">
        <f t="array" aca="1" ref="E45" ca="1">SUMPRODUCT(E$54:E$113,TRANSPOSE(SAP_Speadsheet!$E$35:$BL$35))</f>
        <v>0</v>
      </c>
      <c r="F45" s="345" cm="1">
        <f t="array" aca="1" ref="F45" ca="1">SUMPRODUCT(F$54:F$113,TRANSPOSE(SAP_Speadsheet!$E$35:$BL$35))</f>
        <v>0</v>
      </c>
      <c r="G45" s="345" cm="1">
        <f t="array" aca="1" ref="G45" ca="1">SUMPRODUCT(G$54:G$113,TRANSPOSE(SAP_Speadsheet!$E$35:$BL$35))</f>
        <v>0</v>
      </c>
      <c r="H45" s="345" cm="1">
        <f t="array" aca="1" ref="H45" ca="1">SUMPRODUCT(H$54:H$113,TRANSPOSE(SAP_Speadsheet!$E$35:$BL$35))</f>
        <v>0</v>
      </c>
      <c r="I45" s="345" cm="1">
        <f t="array" aca="1" ref="I45" ca="1">SUMPRODUCT(I$54:I$113,TRANSPOSE(SAP_Speadsheet!$E$35:$BL$35))</f>
        <v>0</v>
      </c>
      <c r="J45" s="345" cm="1">
        <f t="array" aca="1" ref="J45" ca="1">SUMPRODUCT(J$54:J$113,TRANSPOSE(SAP_Speadsheet!$E$35:$BL$35))</f>
        <v>0</v>
      </c>
      <c r="K45" s="345" cm="1">
        <f t="array" aca="1" ref="K45" ca="1">SUMPRODUCT(K$54:K$113,TRANSPOSE(SAP_Speadsheet!$E$35:$BL$35))</f>
        <v>0</v>
      </c>
      <c r="L45" s="345" cm="1">
        <f t="array" aca="1" ref="L45" ca="1">SUMPRODUCT(L$54:L$113,TRANSPOSE(SAP_Speadsheet!$E$35:$BL$35))</f>
        <v>0</v>
      </c>
      <c r="M45" s="345" cm="1">
        <f t="array" aca="1" ref="M45" ca="1">SUMPRODUCT(M$54:M$113,TRANSPOSE(SAP_Speadsheet!$E$35:$BL$35))</f>
        <v>0</v>
      </c>
      <c r="N45" s="345" cm="1">
        <f t="array" aca="1" ref="N45" ca="1">SUMPRODUCT(N$54:N$113,TRANSPOSE(SAP_Speadsheet!$E$35:$BL$35))</f>
        <v>0</v>
      </c>
      <c r="O45" s="345" cm="1">
        <f t="array" aca="1" ref="O45" ca="1">SUMPRODUCT(O$54:O$113,TRANSPOSE(SAP_Speadsheet!$E$35:$BL$35))</f>
        <v>0</v>
      </c>
      <c r="P45" s="345" cm="1">
        <f t="array" aca="1" ref="P45" ca="1">SUMPRODUCT(P$54:P$113,TRANSPOSE(SAP_Speadsheet!$E$35:$BL$35))</f>
        <v>0</v>
      </c>
      <c r="Q45" s="345" cm="1">
        <f t="array" aca="1" ref="Q45" ca="1">SUMPRODUCT(Q$54:Q$113,TRANSPOSE(SAP_Speadsheet!$E$35:$BL$35))</f>
        <v>0</v>
      </c>
      <c r="R45" s="345" cm="1">
        <f t="array" aca="1" ref="R45" ca="1">SUMPRODUCT(R$54:R$113,TRANSPOSE(SAP_Speadsheet!$E$35:$BL$35))</f>
        <v>0</v>
      </c>
      <c r="S45" s="345" cm="1">
        <f t="array" aca="1" ref="S45" ca="1">SUMPRODUCT(S$54:S$113,TRANSPOSE(SAP_Speadsheet!$E$35:$BL$35))</f>
        <v>0</v>
      </c>
      <c r="T45" s="345" cm="1">
        <f t="array" aca="1" ref="T45" ca="1">SUMPRODUCT(T$54:T$113,TRANSPOSE(SAP_Speadsheet!$E$35:$BL$35))</f>
        <v>0</v>
      </c>
      <c r="U45" s="345" cm="1">
        <f t="array" aca="1" ref="U45" ca="1">SUMPRODUCT(U$54:U$113,TRANSPOSE(SAP_Speadsheet!$E$35:$BL$35))</f>
        <v>0</v>
      </c>
      <c r="V45" s="345" cm="1">
        <f t="array" aca="1" ref="V45" ca="1">SUMPRODUCT(V$54:V$113,TRANSPOSE(SAP_Speadsheet!$E$35:$BL$35))</f>
        <v>0</v>
      </c>
      <c r="W45" s="345" cm="1">
        <f t="array" aca="1" ref="W45" ca="1">SUMPRODUCT(W$54:W$113,TRANSPOSE(SAP_Speadsheet!$E$35:$BL$35))</f>
        <v>0</v>
      </c>
      <c r="X45" s="345" cm="1">
        <f t="array" aca="1" ref="X45" ca="1">SUMPRODUCT(X$54:X$113,TRANSPOSE(SAP_Speadsheet!$E$35:$BL$35))</f>
        <v>0</v>
      </c>
      <c r="Y45" s="345" cm="1">
        <f t="array" aca="1" ref="Y45" ca="1">SUMPRODUCT(Y$54:Y$113,TRANSPOSE(SAP_Speadsheet!$E$35:$BL$35))</f>
        <v>0</v>
      </c>
      <c r="Z45" s="345" cm="1">
        <f t="array" aca="1" ref="Z45" ca="1">SUMPRODUCT(Z$54:Z$113,TRANSPOSE(SAP_Speadsheet!$E$35:$BL$35))</f>
        <v>0</v>
      </c>
      <c r="AA45" s="345" cm="1">
        <f t="array" aca="1" ref="AA45" ca="1">SUMPRODUCT(AA$54:AA$113,TRANSPOSE(SAP_Speadsheet!$E$35:$BL$35))</f>
        <v>0</v>
      </c>
      <c r="AB45" s="345" cm="1">
        <f t="array" aca="1" ref="AB45" ca="1">SUMPRODUCT(AB$54:AB$113,TRANSPOSE(SAP_Speadsheet!$E$35:$BL$35))</f>
        <v>0</v>
      </c>
      <c r="AC45" s="345" cm="1">
        <f t="array" aca="1" ref="AC45" ca="1">SUMPRODUCT(AC$54:AC$113,TRANSPOSE(SAP_Speadsheet!$E$35:$BL$35))</f>
        <v>0</v>
      </c>
      <c r="AD45" s="345" cm="1">
        <f t="array" aca="1" ref="AD45" ca="1">SUMPRODUCT(AD$54:AD$113,TRANSPOSE(SAP_Speadsheet!$E$35:$BL$35))</f>
        <v>0</v>
      </c>
      <c r="AE45" s="345" cm="1">
        <f t="array" aca="1" ref="AE45" ca="1">SUMPRODUCT(AE$54:AE$113,TRANSPOSE(SAP_Speadsheet!$E$35:$BL$35))</f>
        <v>0</v>
      </c>
      <c r="AF45" s="345" cm="1">
        <f t="array" aca="1" ref="AF45" ca="1">SUMPRODUCT(AF$54:AF$113,TRANSPOSE(SAP_Speadsheet!$E$35:$BL$35))</f>
        <v>0</v>
      </c>
      <c r="AG45" s="345" cm="1">
        <f t="array" aca="1" ref="AG45" ca="1">SUMPRODUCT(AG$54:AG$113,TRANSPOSE(SAP_Speadsheet!$E$35:$BL$35))</f>
        <v>0</v>
      </c>
      <c r="AH45" s="345" cm="1">
        <f t="array" aca="1" ref="AH45" ca="1">SUMPRODUCT(AH$54:AH$113,TRANSPOSE(SAP_Speadsheet!$E$35:$BL$35))</f>
        <v>0</v>
      </c>
      <c r="AI45" s="345" cm="1">
        <f t="array" aca="1" ref="AI45" ca="1">SUMPRODUCT(AI$54:AI$113,TRANSPOSE(SAP_Speadsheet!$E$35:$BL$35))</f>
        <v>0</v>
      </c>
      <c r="AJ45" s="345" cm="1">
        <f t="array" aca="1" ref="AJ45" ca="1">SUMPRODUCT(AJ$54:AJ$113,TRANSPOSE(SAP_Speadsheet!$E$35:$BL$35))</f>
        <v>0</v>
      </c>
      <c r="AK45" s="345" cm="1">
        <f t="array" aca="1" ref="AK45" ca="1">SUMPRODUCT(AK$54:AK$113,TRANSPOSE(SAP_Speadsheet!$E$35:$BL$35))</f>
        <v>0</v>
      </c>
      <c r="AL45" s="345" cm="1">
        <f t="array" aca="1" ref="AL45" ca="1">SUMPRODUCT(AL$54:AL$113,TRANSPOSE(SAP_Speadsheet!$E$35:$BL$35))</f>
        <v>0</v>
      </c>
      <c r="AM45" s="345" cm="1">
        <f t="array" aca="1" ref="AM45" ca="1">SUMPRODUCT(AM$54:AM$113,TRANSPOSE(SAP_Speadsheet!$E$35:$BL$35))</f>
        <v>0</v>
      </c>
      <c r="AN45" s="345" cm="1">
        <f t="array" aca="1" ref="AN45" ca="1">SUMPRODUCT(AN$54:AN$113,TRANSPOSE(SAP_Speadsheet!$E$35:$BL$35))</f>
        <v>0</v>
      </c>
      <c r="AO45" s="345" cm="1">
        <f t="array" aca="1" ref="AO45" ca="1">SUMPRODUCT(AO$54:AO$113,TRANSPOSE(SAP_Speadsheet!$E$35:$BL$35))</f>
        <v>0</v>
      </c>
      <c r="AP45" s="345" cm="1">
        <f t="array" aca="1" ref="AP45" ca="1">SUMPRODUCT(AP$54:AP$113,TRANSPOSE(SAP_Speadsheet!$E$35:$BL$35))</f>
        <v>0</v>
      </c>
      <c r="AQ45" s="345" cm="1">
        <f t="array" aca="1" ref="AQ45" ca="1">SUMPRODUCT(AQ$54:AQ$113,TRANSPOSE(SAP_Speadsheet!$E$35:$BL$35))</f>
        <v>0</v>
      </c>
      <c r="AR45" s="345" cm="1">
        <f t="array" aca="1" ref="AR45" ca="1">SUMPRODUCT(AR$54:AR$113,TRANSPOSE(SAP_Speadsheet!$E$35:$BL$35))</f>
        <v>0</v>
      </c>
      <c r="AS45" s="345" cm="1">
        <f t="array" aca="1" ref="AS45" ca="1">SUMPRODUCT(AS$54:AS$113,TRANSPOSE(SAP_Speadsheet!$E$35:$BL$35))</f>
        <v>0</v>
      </c>
      <c r="AT45" s="345" cm="1">
        <f t="array" aca="1" ref="AT45" ca="1">SUMPRODUCT(AT$54:AT$113,TRANSPOSE(SAP_Speadsheet!$E$35:$BL$35))</f>
        <v>0</v>
      </c>
      <c r="AU45" s="345" cm="1">
        <f t="array" aca="1" ref="AU45" ca="1">SUMPRODUCT(AU$54:AU$113,TRANSPOSE(SAP_Speadsheet!$E$35:$BL$35))</f>
        <v>0</v>
      </c>
      <c r="AV45" s="345" cm="1">
        <f t="array" aca="1" ref="AV45" ca="1">SUMPRODUCT(AV$54:AV$113,TRANSPOSE(SAP_Speadsheet!$E$35:$BL$35))</f>
        <v>0</v>
      </c>
      <c r="AW45" s="345" cm="1">
        <f t="array" aca="1" ref="AW45" ca="1">SUMPRODUCT(AW$54:AW$113,TRANSPOSE(SAP_Speadsheet!$E$35:$BL$35))</f>
        <v>0</v>
      </c>
      <c r="AX45" s="345" cm="1">
        <f t="array" aca="1" ref="AX45" ca="1">SUMPRODUCT(AX$54:AX$113,TRANSPOSE(SAP_Speadsheet!$E$35:$BL$35))</f>
        <v>0</v>
      </c>
      <c r="AY45" s="345" cm="1">
        <f t="array" aca="1" ref="AY45" ca="1">SUMPRODUCT(AY$54:AY$113,TRANSPOSE(SAP_Speadsheet!$E$35:$BL$35))</f>
        <v>0</v>
      </c>
      <c r="AZ45" s="345" cm="1">
        <f t="array" aca="1" ref="AZ45" ca="1">SUMPRODUCT(AZ$54:AZ$113,TRANSPOSE(SAP_Speadsheet!$E$35:$BL$35))</f>
        <v>0</v>
      </c>
      <c r="BA45" s="345" cm="1">
        <f t="array" aca="1" ref="BA45" ca="1">SUMPRODUCT(BA$54:BA$113,TRANSPOSE(SAP_Speadsheet!$E$35:$BL$35))</f>
        <v>0</v>
      </c>
      <c r="BB45" s="345" cm="1">
        <f t="array" aca="1" ref="BB45" ca="1">SUMPRODUCT(BB$54:BB$113,TRANSPOSE(SAP_Speadsheet!$E$35:$BL$35))</f>
        <v>0</v>
      </c>
      <c r="BC45" s="345" cm="1">
        <f t="array" aca="1" ref="BC45" ca="1">SUMPRODUCT(BC$54:BC$113,TRANSPOSE(SAP_Speadsheet!$E$35:$BL$35))</f>
        <v>0</v>
      </c>
      <c r="BD45" s="345" cm="1">
        <f t="array" aca="1" ref="BD45" ca="1">SUMPRODUCT(BD$54:BD$113,TRANSPOSE(SAP_Speadsheet!$E$35:$BL$35))</f>
        <v>0</v>
      </c>
      <c r="BE45" s="345" cm="1">
        <f t="array" aca="1" ref="BE45" ca="1">SUMPRODUCT(BE$54:BE$113,TRANSPOSE(SAP_Speadsheet!$E$35:$BL$35))</f>
        <v>0</v>
      </c>
      <c r="BF45" s="345" cm="1">
        <f t="array" aca="1" ref="BF45" ca="1">SUMPRODUCT(BF$54:BF$113,TRANSPOSE(SAP_Speadsheet!$E$35:$BL$35))</f>
        <v>0</v>
      </c>
      <c r="BG45" s="345" cm="1">
        <f t="array" aca="1" ref="BG45" ca="1">SUMPRODUCT(BG$54:BG$113,TRANSPOSE(SAP_Speadsheet!$E$35:$BL$35))</f>
        <v>0</v>
      </c>
      <c r="BH45" s="345" cm="1">
        <f t="array" aca="1" ref="BH45" ca="1">SUMPRODUCT(BH$54:BH$113,TRANSPOSE(SAP_Speadsheet!$E$35:$BL$35))</f>
        <v>0</v>
      </c>
      <c r="BI45" s="345" cm="1">
        <f t="array" aca="1" ref="BI45" ca="1">SUMPRODUCT(BI$54:BI$113,TRANSPOSE(SAP_Speadsheet!$E$35:$BL$35))</f>
        <v>0</v>
      </c>
    </row>
    <row r="46" spans="1:61" x14ac:dyDescent="0.15">
      <c r="A46" s="334" t="s">
        <v>321</v>
      </c>
      <c r="B46" s="345" cm="1">
        <f t="array" aca="1" ref="B46" ca="1">SUMPRODUCT(B$54:B$113,TRANSPOSE(SAP_Speadsheet!$E$36:$BL$36))</f>
        <v>0</v>
      </c>
      <c r="C46" s="345" cm="1">
        <f t="array" aca="1" ref="C46" ca="1">SUMPRODUCT(C$54:C$113,TRANSPOSE(SAP_Speadsheet!$E$36:$BL$36))</f>
        <v>0</v>
      </c>
      <c r="D46" s="345" cm="1">
        <f t="array" aca="1" ref="D46" ca="1">SUMPRODUCT(D$54:D$113,TRANSPOSE(SAP_Speadsheet!$E$36:$BL$36))</f>
        <v>0</v>
      </c>
      <c r="E46" s="345" cm="1">
        <f t="array" aca="1" ref="E46" ca="1">SUMPRODUCT(E$54:E$113,TRANSPOSE(SAP_Speadsheet!$E$36:$BL$36))</f>
        <v>0</v>
      </c>
      <c r="F46" s="345" cm="1">
        <f t="array" aca="1" ref="F46" ca="1">SUMPRODUCT(F$54:F$113,TRANSPOSE(SAP_Speadsheet!$E$36:$BL$36))</f>
        <v>0</v>
      </c>
      <c r="G46" s="345" cm="1">
        <f t="array" aca="1" ref="G46" ca="1">SUMPRODUCT(G$54:G$113,TRANSPOSE(SAP_Speadsheet!$E$36:$BL$36))</f>
        <v>0</v>
      </c>
      <c r="H46" s="345" cm="1">
        <f t="array" aca="1" ref="H46" ca="1">SUMPRODUCT(H$54:H$113,TRANSPOSE(SAP_Speadsheet!$E$36:$BL$36))</f>
        <v>0</v>
      </c>
      <c r="I46" s="345" cm="1">
        <f t="array" aca="1" ref="I46" ca="1">SUMPRODUCT(I$54:I$113,TRANSPOSE(SAP_Speadsheet!$E$36:$BL$36))</f>
        <v>0</v>
      </c>
      <c r="J46" s="345" cm="1">
        <f t="array" aca="1" ref="J46" ca="1">SUMPRODUCT(J$54:J$113,TRANSPOSE(SAP_Speadsheet!$E$36:$BL$36))</f>
        <v>0</v>
      </c>
      <c r="K46" s="345" cm="1">
        <f t="array" aca="1" ref="K46" ca="1">SUMPRODUCT(K$54:K$113,TRANSPOSE(SAP_Speadsheet!$E$36:$BL$36))</f>
        <v>0</v>
      </c>
      <c r="L46" s="345" cm="1">
        <f t="array" aca="1" ref="L46" ca="1">SUMPRODUCT(L$54:L$113,TRANSPOSE(SAP_Speadsheet!$E$36:$BL$36))</f>
        <v>0</v>
      </c>
      <c r="M46" s="345" cm="1">
        <f t="array" aca="1" ref="M46" ca="1">SUMPRODUCT(M$54:M$113,TRANSPOSE(SAP_Speadsheet!$E$36:$BL$36))</f>
        <v>0</v>
      </c>
      <c r="N46" s="345" cm="1">
        <f t="array" aca="1" ref="N46" ca="1">SUMPRODUCT(N$54:N$113,TRANSPOSE(SAP_Speadsheet!$E$36:$BL$36))</f>
        <v>0</v>
      </c>
      <c r="O46" s="345" cm="1">
        <f t="array" aca="1" ref="O46" ca="1">SUMPRODUCT(O$54:O$113,TRANSPOSE(SAP_Speadsheet!$E$36:$BL$36))</f>
        <v>0</v>
      </c>
      <c r="P46" s="345" cm="1">
        <f t="array" aca="1" ref="P46" ca="1">SUMPRODUCT(P$54:P$113,TRANSPOSE(SAP_Speadsheet!$E$36:$BL$36))</f>
        <v>0</v>
      </c>
      <c r="Q46" s="345" cm="1">
        <f t="array" aca="1" ref="Q46" ca="1">SUMPRODUCT(Q$54:Q$113,TRANSPOSE(SAP_Speadsheet!$E$36:$BL$36))</f>
        <v>0</v>
      </c>
      <c r="R46" s="345" cm="1">
        <f t="array" aca="1" ref="R46" ca="1">SUMPRODUCT(R$54:R$113,TRANSPOSE(SAP_Speadsheet!$E$36:$BL$36))</f>
        <v>0</v>
      </c>
      <c r="S46" s="345" cm="1">
        <f t="array" aca="1" ref="S46" ca="1">SUMPRODUCT(S$54:S$113,TRANSPOSE(SAP_Speadsheet!$E$36:$BL$36))</f>
        <v>0</v>
      </c>
      <c r="T46" s="345" cm="1">
        <f t="array" aca="1" ref="T46" ca="1">SUMPRODUCT(T$54:T$113,TRANSPOSE(SAP_Speadsheet!$E$36:$BL$36))</f>
        <v>0</v>
      </c>
      <c r="U46" s="345" cm="1">
        <f t="array" aca="1" ref="U46" ca="1">SUMPRODUCT(U$54:U$113,TRANSPOSE(SAP_Speadsheet!$E$36:$BL$36))</f>
        <v>0</v>
      </c>
      <c r="V46" s="345" cm="1">
        <f t="array" aca="1" ref="V46" ca="1">SUMPRODUCT(V$54:V$113,TRANSPOSE(SAP_Speadsheet!$E$36:$BL$36))</f>
        <v>0</v>
      </c>
      <c r="W46" s="345" cm="1">
        <f t="array" aca="1" ref="W46" ca="1">SUMPRODUCT(W$54:W$113,TRANSPOSE(SAP_Speadsheet!$E$36:$BL$36))</f>
        <v>0</v>
      </c>
      <c r="X46" s="345" cm="1">
        <f t="array" aca="1" ref="X46" ca="1">SUMPRODUCT(X$54:X$113,TRANSPOSE(SAP_Speadsheet!$E$36:$BL$36))</f>
        <v>0</v>
      </c>
      <c r="Y46" s="345" cm="1">
        <f t="array" aca="1" ref="Y46" ca="1">SUMPRODUCT(Y$54:Y$113,TRANSPOSE(SAP_Speadsheet!$E$36:$BL$36))</f>
        <v>0</v>
      </c>
      <c r="Z46" s="345" cm="1">
        <f t="array" aca="1" ref="Z46" ca="1">SUMPRODUCT(Z$54:Z$113,TRANSPOSE(SAP_Speadsheet!$E$36:$BL$36))</f>
        <v>0</v>
      </c>
      <c r="AA46" s="345" cm="1">
        <f t="array" aca="1" ref="AA46" ca="1">SUMPRODUCT(AA$54:AA$113,TRANSPOSE(SAP_Speadsheet!$E$36:$BL$36))</f>
        <v>0</v>
      </c>
      <c r="AB46" s="345" cm="1">
        <f t="array" aca="1" ref="AB46" ca="1">SUMPRODUCT(AB$54:AB$113,TRANSPOSE(SAP_Speadsheet!$E$36:$BL$36))</f>
        <v>0</v>
      </c>
      <c r="AC46" s="345" cm="1">
        <f t="array" aca="1" ref="AC46" ca="1">SUMPRODUCT(AC$54:AC$113,TRANSPOSE(SAP_Speadsheet!$E$36:$BL$36))</f>
        <v>0</v>
      </c>
      <c r="AD46" s="345" cm="1">
        <f t="array" aca="1" ref="AD46" ca="1">SUMPRODUCT(AD$54:AD$113,TRANSPOSE(SAP_Speadsheet!$E$36:$BL$36))</f>
        <v>0</v>
      </c>
      <c r="AE46" s="345" cm="1">
        <f t="array" aca="1" ref="AE46" ca="1">SUMPRODUCT(AE$54:AE$113,TRANSPOSE(SAP_Speadsheet!$E$36:$BL$36))</f>
        <v>0</v>
      </c>
      <c r="AF46" s="345" cm="1">
        <f t="array" aca="1" ref="AF46" ca="1">SUMPRODUCT(AF$54:AF$113,TRANSPOSE(SAP_Speadsheet!$E$36:$BL$36))</f>
        <v>0</v>
      </c>
      <c r="AG46" s="345" cm="1">
        <f t="array" aca="1" ref="AG46" ca="1">SUMPRODUCT(AG$54:AG$113,TRANSPOSE(SAP_Speadsheet!$E$36:$BL$36))</f>
        <v>0</v>
      </c>
      <c r="AH46" s="345" cm="1">
        <f t="array" aca="1" ref="AH46" ca="1">SUMPRODUCT(AH$54:AH$113,TRANSPOSE(SAP_Speadsheet!$E$36:$BL$36))</f>
        <v>0</v>
      </c>
      <c r="AI46" s="345" cm="1">
        <f t="array" aca="1" ref="AI46" ca="1">SUMPRODUCT(AI$54:AI$113,TRANSPOSE(SAP_Speadsheet!$E$36:$BL$36))</f>
        <v>0</v>
      </c>
      <c r="AJ46" s="345" cm="1">
        <f t="array" aca="1" ref="AJ46" ca="1">SUMPRODUCT(AJ$54:AJ$113,TRANSPOSE(SAP_Speadsheet!$E$36:$BL$36))</f>
        <v>0</v>
      </c>
      <c r="AK46" s="345" cm="1">
        <f t="array" aca="1" ref="AK46" ca="1">SUMPRODUCT(AK$54:AK$113,TRANSPOSE(SAP_Speadsheet!$E$36:$BL$36))</f>
        <v>0</v>
      </c>
      <c r="AL46" s="345" cm="1">
        <f t="array" aca="1" ref="AL46" ca="1">SUMPRODUCT(AL$54:AL$113,TRANSPOSE(SAP_Speadsheet!$E$36:$BL$36))</f>
        <v>0</v>
      </c>
      <c r="AM46" s="345" cm="1">
        <f t="array" aca="1" ref="AM46" ca="1">SUMPRODUCT(AM$54:AM$113,TRANSPOSE(SAP_Speadsheet!$E$36:$BL$36))</f>
        <v>0</v>
      </c>
      <c r="AN46" s="345" cm="1">
        <f t="array" aca="1" ref="AN46" ca="1">SUMPRODUCT(AN$54:AN$113,TRANSPOSE(SAP_Speadsheet!$E$36:$BL$36))</f>
        <v>0</v>
      </c>
      <c r="AO46" s="345" cm="1">
        <f t="array" aca="1" ref="AO46" ca="1">SUMPRODUCT(AO$54:AO$113,TRANSPOSE(SAP_Speadsheet!$E$36:$BL$36))</f>
        <v>0</v>
      </c>
      <c r="AP46" s="345" cm="1">
        <f t="array" aca="1" ref="AP46" ca="1">SUMPRODUCT(AP$54:AP$113,TRANSPOSE(SAP_Speadsheet!$E$36:$BL$36))</f>
        <v>0</v>
      </c>
      <c r="AQ46" s="345" cm="1">
        <f t="array" aca="1" ref="AQ46" ca="1">SUMPRODUCT(AQ$54:AQ$113,TRANSPOSE(SAP_Speadsheet!$E$36:$BL$36))</f>
        <v>0</v>
      </c>
      <c r="AR46" s="345" cm="1">
        <f t="array" aca="1" ref="AR46" ca="1">SUMPRODUCT(AR$54:AR$113,TRANSPOSE(SAP_Speadsheet!$E$36:$BL$36))</f>
        <v>0</v>
      </c>
      <c r="AS46" s="345" cm="1">
        <f t="array" aca="1" ref="AS46" ca="1">SUMPRODUCT(AS$54:AS$113,TRANSPOSE(SAP_Speadsheet!$E$36:$BL$36))</f>
        <v>0</v>
      </c>
      <c r="AT46" s="345" cm="1">
        <f t="array" aca="1" ref="AT46" ca="1">SUMPRODUCT(AT$54:AT$113,TRANSPOSE(SAP_Speadsheet!$E$36:$BL$36))</f>
        <v>0</v>
      </c>
      <c r="AU46" s="345" cm="1">
        <f t="array" aca="1" ref="AU46" ca="1">SUMPRODUCT(AU$54:AU$113,TRANSPOSE(SAP_Speadsheet!$E$36:$BL$36))</f>
        <v>0</v>
      </c>
      <c r="AV46" s="345" cm="1">
        <f t="array" aca="1" ref="AV46" ca="1">SUMPRODUCT(AV$54:AV$113,TRANSPOSE(SAP_Speadsheet!$E$36:$BL$36))</f>
        <v>0</v>
      </c>
      <c r="AW46" s="345" cm="1">
        <f t="array" aca="1" ref="AW46" ca="1">SUMPRODUCT(AW$54:AW$113,TRANSPOSE(SAP_Speadsheet!$E$36:$BL$36))</f>
        <v>0</v>
      </c>
      <c r="AX46" s="345" cm="1">
        <f t="array" aca="1" ref="AX46" ca="1">SUMPRODUCT(AX$54:AX$113,TRANSPOSE(SAP_Speadsheet!$E$36:$BL$36))</f>
        <v>0</v>
      </c>
      <c r="AY46" s="345" cm="1">
        <f t="array" aca="1" ref="AY46" ca="1">SUMPRODUCT(AY$54:AY$113,TRANSPOSE(SAP_Speadsheet!$E$36:$BL$36))</f>
        <v>0</v>
      </c>
      <c r="AZ46" s="345" cm="1">
        <f t="array" aca="1" ref="AZ46" ca="1">SUMPRODUCT(AZ$54:AZ$113,TRANSPOSE(SAP_Speadsheet!$E$36:$BL$36))</f>
        <v>0</v>
      </c>
      <c r="BA46" s="345" cm="1">
        <f t="array" aca="1" ref="BA46" ca="1">SUMPRODUCT(BA$54:BA$113,TRANSPOSE(SAP_Speadsheet!$E$36:$BL$36))</f>
        <v>0</v>
      </c>
      <c r="BB46" s="345" cm="1">
        <f t="array" aca="1" ref="BB46" ca="1">SUMPRODUCT(BB$54:BB$113,TRANSPOSE(SAP_Speadsheet!$E$36:$BL$36))</f>
        <v>0</v>
      </c>
      <c r="BC46" s="345" cm="1">
        <f t="array" aca="1" ref="BC46" ca="1">SUMPRODUCT(BC$54:BC$113,TRANSPOSE(SAP_Speadsheet!$E$36:$BL$36))</f>
        <v>0</v>
      </c>
      <c r="BD46" s="345" cm="1">
        <f t="array" aca="1" ref="BD46" ca="1">SUMPRODUCT(BD$54:BD$113,TRANSPOSE(SAP_Speadsheet!$E$36:$BL$36))</f>
        <v>0</v>
      </c>
      <c r="BE46" s="345" cm="1">
        <f t="array" aca="1" ref="BE46" ca="1">SUMPRODUCT(BE$54:BE$113,TRANSPOSE(SAP_Speadsheet!$E$36:$BL$36))</f>
        <v>0</v>
      </c>
      <c r="BF46" s="345" cm="1">
        <f t="array" aca="1" ref="BF46" ca="1">SUMPRODUCT(BF$54:BF$113,TRANSPOSE(SAP_Speadsheet!$E$36:$BL$36))</f>
        <v>0</v>
      </c>
      <c r="BG46" s="345" cm="1">
        <f t="array" aca="1" ref="BG46" ca="1">SUMPRODUCT(BG$54:BG$113,TRANSPOSE(SAP_Speadsheet!$E$36:$BL$36))</f>
        <v>0</v>
      </c>
      <c r="BH46" s="345" cm="1">
        <f t="array" aca="1" ref="BH46" ca="1">SUMPRODUCT(BH$54:BH$113,TRANSPOSE(SAP_Speadsheet!$E$36:$BL$36))</f>
        <v>0</v>
      </c>
      <c r="BI46" s="345" cm="1">
        <f t="array" aca="1" ref="BI46" ca="1">SUMPRODUCT(BI$54:BI$113,TRANSPOSE(SAP_Speadsheet!$E$36:$BL$36))</f>
        <v>0</v>
      </c>
    </row>
    <row r="47" spans="1:61" x14ac:dyDescent="0.15">
      <c r="A47" s="334" t="s">
        <v>322</v>
      </c>
      <c r="B47" s="345" cm="1">
        <f t="array" aca="1" ref="B47" ca="1">SUMPRODUCT(B$54:B$113,TRANSPOSE(SAP_Speadsheet!$E$37:$BL$37))</f>
        <v>0</v>
      </c>
      <c r="C47" s="345" cm="1">
        <f t="array" aca="1" ref="C47" ca="1">SUMPRODUCT(C$54:C$113,TRANSPOSE(SAP_Speadsheet!$E$37:$BL$37))</f>
        <v>0</v>
      </c>
      <c r="D47" s="345" cm="1">
        <f t="array" aca="1" ref="D47" ca="1">SUMPRODUCT(D$54:D$113,TRANSPOSE(SAP_Speadsheet!$E$37:$BL$37))</f>
        <v>0</v>
      </c>
      <c r="E47" s="345" cm="1">
        <f t="array" aca="1" ref="E47" ca="1">SUMPRODUCT(E$54:E$113,TRANSPOSE(SAP_Speadsheet!$E$37:$BL$37))</f>
        <v>0</v>
      </c>
      <c r="F47" s="345" cm="1">
        <f t="array" aca="1" ref="F47" ca="1">SUMPRODUCT(F$54:F$113,TRANSPOSE(SAP_Speadsheet!$E$37:$BL$37))</f>
        <v>0</v>
      </c>
      <c r="G47" s="345" cm="1">
        <f t="array" aca="1" ref="G47" ca="1">SUMPRODUCT(G$54:G$113,TRANSPOSE(SAP_Speadsheet!$E$37:$BL$37))</f>
        <v>0</v>
      </c>
      <c r="H47" s="345" cm="1">
        <f t="array" aca="1" ref="H47" ca="1">SUMPRODUCT(H$54:H$113,TRANSPOSE(SAP_Speadsheet!$E$37:$BL$37))</f>
        <v>0</v>
      </c>
      <c r="I47" s="345" cm="1">
        <f t="array" aca="1" ref="I47" ca="1">SUMPRODUCT(I$54:I$113,TRANSPOSE(SAP_Speadsheet!$E$37:$BL$37))</f>
        <v>0</v>
      </c>
      <c r="J47" s="345" cm="1">
        <f t="array" aca="1" ref="J47" ca="1">SUMPRODUCT(J$54:J$113,TRANSPOSE(SAP_Speadsheet!$E$37:$BL$37))</f>
        <v>0</v>
      </c>
      <c r="K47" s="345" cm="1">
        <f t="array" aca="1" ref="K47" ca="1">SUMPRODUCT(K$54:K$113,TRANSPOSE(SAP_Speadsheet!$E$37:$BL$37))</f>
        <v>0</v>
      </c>
      <c r="L47" s="345" cm="1">
        <f t="array" aca="1" ref="L47" ca="1">SUMPRODUCT(L$54:L$113,TRANSPOSE(SAP_Speadsheet!$E$37:$BL$37))</f>
        <v>0</v>
      </c>
      <c r="M47" s="345" cm="1">
        <f t="array" aca="1" ref="M47" ca="1">SUMPRODUCT(M$54:M$113,TRANSPOSE(SAP_Speadsheet!$E$37:$BL$37))</f>
        <v>0</v>
      </c>
      <c r="N47" s="345" cm="1">
        <f t="array" aca="1" ref="N47" ca="1">SUMPRODUCT(N$54:N$113,TRANSPOSE(SAP_Speadsheet!$E$37:$BL$37))</f>
        <v>0</v>
      </c>
      <c r="O47" s="345" cm="1">
        <f t="array" aca="1" ref="O47" ca="1">SUMPRODUCT(O$54:O$113,TRANSPOSE(SAP_Speadsheet!$E$37:$BL$37))</f>
        <v>0</v>
      </c>
      <c r="P47" s="345" cm="1">
        <f t="array" aca="1" ref="P47" ca="1">SUMPRODUCT(P$54:P$113,TRANSPOSE(SAP_Speadsheet!$E$37:$BL$37))</f>
        <v>0</v>
      </c>
      <c r="Q47" s="345" cm="1">
        <f t="array" aca="1" ref="Q47" ca="1">SUMPRODUCT(Q$54:Q$113,TRANSPOSE(SAP_Speadsheet!$E$37:$BL$37))</f>
        <v>0</v>
      </c>
      <c r="R47" s="345" cm="1">
        <f t="array" aca="1" ref="R47" ca="1">SUMPRODUCT(R$54:R$113,TRANSPOSE(SAP_Speadsheet!$E$37:$BL$37))</f>
        <v>0</v>
      </c>
      <c r="S47" s="345" cm="1">
        <f t="array" aca="1" ref="S47" ca="1">SUMPRODUCT(S$54:S$113,TRANSPOSE(SAP_Speadsheet!$E$37:$BL$37))</f>
        <v>0</v>
      </c>
      <c r="T47" s="345" cm="1">
        <f t="array" aca="1" ref="T47" ca="1">SUMPRODUCT(T$54:T$113,TRANSPOSE(SAP_Speadsheet!$E$37:$BL$37))</f>
        <v>0</v>
      </c>
      <c r="U47" s="345" cm="1">
        <f t="array" aca="1" ref="U47" ca="1">SUMPRODUCT(U$54:U$113,TRANSPOSE(SAP_Speadsheet!$E$37:$BL$37))</f>
        <v>0</v>
      </c>
      <c r="V47" s="345" cm="1">
        <f t="array" aca="1" ref="V47" ca="1">SUMPRODUCT(V$54:V$113,TRANSPOSE(SAP_Speadsheet!$E$37:$BL$37))</f>
        <v>0</v>
      </c>
      <c r="W47" s="345" cm="1">
        <f t="array" aca="1" ref="W47" ca="1">SUMPRODUCT(W$54:W$113,TRANSPOSE(SAP_Speadsheet!$E$37:$BL$37))</f>
        <v>0</v>
      </c>
      <c r="X47" s="345" cm="1">
        <f t="array" aca="1" ref="X47" ca="1">SUMPRODUCT(X$54:X$113,TRANSPOSE(SAP_Speadsheet!$E$37:$BL$37))</f>
        <v>0</v>
      </c>
      <c r="Y47" s="345" cm="1">
        <f t="array" aca="1" ref="Y47" ca="1">SUMPRODUCT(Y$54:Y$113,TRANSPOSE(SAP_Speadsheet!$E$37:$BL$37))</f>
        <v>0</v>
      </c>
      <c r="Z47" s="345" cm="1">
        <f t="array" aca="1" ref="Z47" ca="1">SUMPRODUCT(Z$54:Z$113,TRANSPOSE(SAP_Speadsheet!$E$37:$BL$37))</f>
        <v>0</v>
      </c>
      <c r="AA47" s="345" cm="1">
        <f t="array" aca="1" ref="AA47" ca="1">SUMPRODUCT(AA$54:AA$113,TRANSPOSE(SAP_Speadsheet!$E$37:$BL$37))</f>
        <v>0</v>
      </c>
      <c r="AB47" s="345" cm="1">
        <f t="array" aca="1" ref="AB47" ca="1">SUMPRODUCT(AB$54:AB$113,TRANSPOSE(SAP_Speadsheet!$E$37:$BL$37))</f>
        <v>0</v>
      </c>
      <c r="AC47" s="345" cm="1">
        <f t="array" aca="1" ref="AC47" ca="1">SUMPRODUCT(AC$54:AC$113,TRANSPOSE(SAP_Speadsheet!$E$37:$BL$37))</f>
        <v>0</v>
      </c>
      <c r="AD47" s="345" cm="1">
        <f t="array" aca="1" ref="AD47" ca="1">SUMPRODUCT(AD$54:AD$113,TRANSPOSE(SAP_Speadsheet!$E$37:$BL$37))</f>
        <v>0</v>
      </c>
      <c r="AE47" s="345" cm="1">
        <f t="array" aca="1" ref="AE47" ca="1">SUMPRODUCT(AE$54:AE$113,TRANSPOSE(SAP_Speadsheet!$E$37:$BL$37))</f>
        <v>0</v>
      </c>
      <c r="AF47" s="345" cm="1">
        <f t="array" aca="1" ref="AF47" ca="1">SUMPRODUCT(AF$54:AF$113,TRANSPOSE(SAP_Speadsheet!$E$37:$BL$37))</f>
        <v>0</v>
      </c>
      <c r="AG47" s="345" cm="1">
        <f t="array" aca="1" ref="AG47" ca="1">SUMPRODUCT(AG$54:AG$113,TRANSPOSE(SAP_Speadsheet!$E$37:$BL$37))</f>
        <v>0</v>
      </c>
      <c r="AH47" s="345" cm="1">
        <f t="array" aca="1" ref="AH47" ca="1">SUMPRODUCT(AH$54:AH$113,TRANSPOSE(SAP_Speadsheet!$E$37:$BL$37))</f>
        <v>0</v>
      </c>
      <c r="AI47" s="345" cm="1">
        <f t="array" aca="1" ref="AI47" ca="1">SUMPRODUCT(AI$54:AI$113,TRANSPOSE(SAP_Speadsheet!$E$37:$BL$37))</f>
        <v>0</v>
      </c>
      <c r="AJ47" s="345" cm="1">
        <f t="array" aca="1" ref="AJ47" ca="1">SUMPRODUCT(AJ$54:AJ$113,TRANSPOSE(SAP_Speadsheet!$E$37:$BL$37))</f>
        <v>0</v>
      </c>
      <c r="AK47" s="345" cm="1">
        <f t="array" aca="1" ref="AK47" ca="1">SUMPRODUCT(AK$54:AK$113,TRANSPOSE(SAP_Speadsheet!$E$37:$BL$37))</f>
        <v>0</v>
      </c>
      <c r="AL47" s="345" cm="1">
        <f t="array" aca="1" ref="AL47" ca="1">SUMPRODUCT(AL$54:AL$113,TRANSPOSE(SAP_Speadsheet!$E$37:$BL$37))</f>
        <v>0</v>
      </c>
      <c r="AM47" s="345" cm="1">
        <f t="array" aca="1" ref="AM47" ca="1">SUMPRODUCT(AM$54:AM$113,TRANSPOSE(SAP_Speadsheet!$E$37:$BL$37))</f>
        <v>0</v>
      </c>
      <c r="AN47" s="345" cm="1">
        <f t="array" aca="1" ref="AN47" ca="1">SUMPRODUCT(AN$54:AN$113,TRANSPOSE(SAP_Speadsheet!$E$37:$BL$37))</f>
        <v>0</v>
      </c>
      <c r="AO47" s="345" cm="1">
        <f t="array" aca="1" ref="AO47" ca="1">SUMPRODUCT(AO$54:AO$113,TRANSPOSE(SAP_Speadsheet!$E$37:$BL$37))</f>
        <v>0</v>
      </c>
      <c r="AP47" s="345" cm="1">
        <f t="array" aca="1" ref="AP47" ca="1">SUMPRODUCT(AP$54:AP$113,TRANSPOSE(SAP_Speadsheet!$E$37:$BL$37))</f>
        <v>0</v>
      </c>
      <c r="AQ47" s="345" cm="1">
        <f t="array" aca="1" ref="AQ47" ca="1">SUMPRODUCT(AQ$54:AQ$113,TRANSPOSE(SAP_Speadsheet!$E$37:$BL$37))</f>
        <v>0</v>
      </c>
      <c r="AR47" s="345" cm="1">
        <f t="array" aca="1" ref="AR47" ca="1">SUMPRODUCT(AR$54:AR$113,TRANSPOSE(SAP_Speadsheet!$E$37:$BL$37))</f>
        <v>0</v>
      </c>
      <c r="AS47" s="345" cm="1">
        <f t="array" aca="1" ref="AS47" ca="1">SUMPRODUCT(AS$54:AS$113,TRANSPOSE(SAP_Speadsheet!$E$37:$BL$37))</f>
        <v>0</v>
      </c>
      <c r="AT47" s="345" cm="1">
        <f t="array" aca="1" ref="AT47" ca="1">SUMPRODUCT(AT$54:AT$113,TRANSPOSE(SAP_Speadsheet!$E$37:$BL$37))</f>
        <v>0</v>
      </c>
      <c r="AU47" s="345" cm="1">
        <f t="array" aca="1" ref="AU47" ca="1">SUMPRODUCT(AU$54:AU$113,TRANSPOSE(SAP_Speadsheet!$E$37:$BL$37))</f>
        <v>0</v>
      </c>
      <c r="AV47" s="345" cm="1">
        <f t="array" aca="1" ref="AV47" ca="1">SUMPRODUCT(AV$54:AV$113,TRANSPOSE(SAP_Speadsheet!$E$37:$BL$37))</f>
        <v>0</v>
      </c>
      <c r="AW47" s="345" cm="1">
        <f t="array" aca="1" ref="AW47" ca="1">SUMPRODUCT(AW$54:AW$113,TRANSPOSE(SAP_Speadsheet!$E$37:$BL$37))</f>
        <v>0</v>
      </c>
      <c r="AX47" s="345" cm="1">
        <f t="array" aca="1" ref="AX47" ca="1">SUMPRODUCT(AX$54:AX$113,TRANSPOSE(SAP_Speadsheet!$E$37:$BL$37))</f>
        <v>0</v>
      </c>
      <c r="AY47" s="345" cm="1">
        <f t="array" aca="1" ref="AY47" ca="1">SUMPRODUCT(AY$54:AY$113,TRANSPOSE(SAP_Speadsheet!$E$37:$BL$37))</f>
        <v>0</v>
      </c>
      <c r="AZ47" s="345" cm="1">
        <f t="array" aca="1" ref="AZ47" ca="1">SUMPRODUCT(AZ$54:AZ$113,TRANSPOSE(SAP_Speadsheet!$E$37:$BL$37))</f>
        <v>0</v>
      </c>
      <c r="BA47" s="345" cm="1">
        <f t="array" aca="1" ref="BA47" ca="1">SUMPRODUCT(BA$54:BA$113,TRANSPOSE(SAP_Speadsheet!$E$37:$BL$37))</f>
        <v>0</v>
      </c>
      <c r="BB47" s="345" cm="1">
        <f t="array" aca="1" ref="BB47" ca="1">SUMPRODUCT(BB$54:BB$113,TRANSPOSE(SAP_Speadsheet!$E$37:$BL$37))</f>
        <v>0</v>
      </c>
      <c r="BC47" s="345" cm="1">
        <f t="array" aca="1" ref="BC47" ca="1">SUMPRODUCT(BC$54:BC$113,TRANSPOSE(SAP_Speadsheet!$E$37:$BL$37))</f>
        <v>0</v>
      </c>
      <c r="BD47" s="345" cm="1">
        <f t="array" aca="1" ref="BD47" ca="1">SUMPRODUCT(BD$54:BD$113,TRANSPOSE(SAP_Speadsheet!$E$37:$BL$37))</f>
        <v>0</v>
      </c>
      <c r="BE47" s="345" cm="1">
        <f t="array" aca="1" ref="BE47" ca="1">SUMPRODUCT(BE$54:BE$113,TRANSPOSE(SAP_Speadsheet!$E$37:$BL$37))</f>
        <v>0</v>
      </c>
      <c r="BF47" s="345" cm="1">
        <f t="array" aca="1" ref="BF47" ca="1">SUMPRODUCT(BF$54:BF$113,TRANSPOSE(SAP_Speadsheet!$E$37:$BL$37))</f>
        <v>0</v>
      </c>
      <c r="BG47" s="345" cm="1">
        <f t="array" aca="1" ref="BG47" ca="1">SUMPRODUCT(BG$54:BG$113,TRANSPOSE(SAP_Speadsheet!$E$37:$BL$37))</f>
        <v>0</v>
      </c>
      <c r="BH47" s="345" cm="1">
        <f t="array" aca="1" ref="BH47" ca="1">SUMPRODUCT(BH$54:BH$113,TRANSPOSE(SAP_Speadsheet!$E$37:$BL$37))</f>
        <v>0</v>
      </c>
      <c r="BI47" s="345" cm="1">
        <f t="array" aca="1" ref="BI47" ca="1">SUMPRODUCT(BI$54:BI$113,TRANSPOSE(SAP_Speadsheet!$E$37:$BL$37))</f>
        <v>0</v>
      </c>
    </row>
    <row r="48" spans="1:61" x14ac:dyDescent="0.15">
      <c r="A48" s="334" t="s">
        <v>468</v>
      </c>
      <c r="B48" s="345" cm="1">
        <f t="array" aca="1" ref="B48" ca="1">SUMPRODUCT(B$54:B$113,TRANSPOSE(SAP_Speadsheet!$E$38:$BL$38))</f>
        <v>0</v>
      </c>
      <c r="C48" s="345" cm="1">
        <f t="array" aca="1" ref="C48" ca="1">SUMPRODUCT(C$54:C$113,TRANSPOSE(SAP_Speadsheet!$E$38:$BL$38))</f>
        <v>0</v>
      </c>
      <c r="D48" s="345" cm="1">
        <f t="array" aca="1" ref="D48" ca="1">SUMPRODUCT(D$54:D$113,TRANSPOSE(SAP_Speadsheet!$E$38:$BL$38))</f>
        <v>0</v>
      </c>
      <c r="E48" s="345" cm="1">
        <f t="array" aca="1" ref="E48" ca="1">SUMPRODUCT(E$54:E$113,TRANSPOSE(SAP_Speadsheet!$E$38:$BL$38))</f>
        <v>0</v>
      </c>
      <c r="F48" s="345" cm="1">
        <f t="array" aca="1" ref="F48" ca="1">SUMPRODUCT(F$54:F$113,TRANSPOSE(SAP_Speadsheet!$E$38:$BL$38))</f>
        <v>0</v>
      </c>
      <c r="G48" s="345" cm="1">
        <f t="array" aca="1" ref="G48" ca="1">SUMPRODUCT(G$54:G$113,TRANSPOSE(SAP_Speadsheet!$E$38:$BL$38))</f>
        <v>0</v>
      </c>
      <c r="H48" s="345" cm="1">
        <f t="array" aca="1" ref="H48" ca="1">SUMPRODUCT(H$54:H$113,TRANSPOSE(SAP_Speadsheet!$E$38:$BL$38))</f>
        <v>0</v>
      </c>
      <c r="I48" s="345" cm="1">
        <f t="array" aca="1" ref="I48" ca="1">SUMPRODUCT(I$54:I$113,TRANSPOSE(SAP_Speadsheet!$E$38:$BL$38))</f>
        <v>0</v>
      </c>
      <c r="J48" s="345" cm="1">
        <f t="array" aca="1" ref="J48" ca="1">SUMPRODUCT(J$54:J$113,TRANSPOSE(SAP_Speadsheet!$E$38:$BL$38))</f>
        <v>0</v>
      </c>
      <c r="K48" s="345" cm="1">
        <f t="array" aca="1" ref="K48" ca="1">SUMPRODUCT(K$54:K$113,TRANSPOSE(SAP_Speadsheet!$E$38:$BL$38))</f>
        <v>0</v>
      </c>
      <c r="L48" s="345" cm="1">
        <f t="array" aca="1" ref="L48" ca="1">SUMPRODUCT(L$54:L$113,TRANSPOSE(SAP_Speadsheet!$E$38:$BL$38))</f>
        <v>0</v>
      </c>
      <c r="M48" s="345" cm="1">
        <f t="array" aca="1" ref="M48" ca="1">SUMPRODUCT(M$54:M$113,TRANSPOSE(SAP_Speadsheet!$E$38:$BL$38))</f>
        <v>0</v>
      </c>
      <c r="N48" s="345" cm="1">
        <f t="array" aca="1" ref="N48" ca="1">SUMPRODUCT(N$54:N$113,TRANSPOSE(SAP_Speadsheet!$E$38:$BL$38))</f>
        <v>0</v>
      </c>
      <c r="O48" s="345" cm="1">
        <f t="array" aca="1" ref="O48" ca="1">SUMPRODUCT(O$54:O$113,TRANSPOSE(SAP_Speadsheet!$E$38:$BL$38))</f>
        <v>0</v>
      </c>
      <c r="P48" s="345" cm="1">
        <f t="array" aca="1" ref="P48" ca="1">SUMPRODUCT(P$54:P$113,TRANSPOSE(SAP_Speadsheet!$E$38:$BL$38))</f>
        <v>0</v>
      </c>
      <c r="Q48" s="345" cm="1">
        <f t="array" aca="1" ref="Q48" ca="1">SUMPRODUCT(Q$54:Q$113,TRANSPOSE(SAP_Speadsheet!$E$38:$BL$38))</f>
        <v>0</v>
      </c>
      <c r="R48" s="345" cm="1">
        <f t="array" aca="1" ref="R48" ca="1">SUMPRODUCT(R$54:R$113,TRANSPOSE(SAP_Speadsheet!$E$38:$BL$38))</f>
        <v>0</v>
      </c>
      <c r="S48" s="345" cm="1">
        <f t="array" aca="1" ref="S48" ca="1">SUMPRODUCT(S$54:S$113,TRANSPOSE(SAP_Speadsheet!$E$38:$BL$38))</f>
        <v>0</v>
      </c>
      <c r="T48" s="345" cm="1">
        <f t="array" aca="1" ref="T48" ca="1">SUMPRODUCT(T$54:T$113,TRANSPOSE(SAP_Speadsheet!$E$38:$BL$38))</f>
        <v>0</v>
      </c>
      <c r="U48" s="345" cm="1">
        <f t="array" aca="1" ref="U48" ca="1">SUMPRODUCT(U$54:U$113,TRANSPOSE(SAP_Speadsheet!$E$38:$BL$38))</f>
        <v>0</v>
      </c>
      <c r="V48" s="345" cm="1">
        <f t="array" aca="1" ref="V48" ca="1">SUMPRODUCT(V$54:V$113,TRANSPOSE(SAP_Speadsheet!$E$38:$BL$38))</f>
        <v>0</v>
      </c>
      <c r="W48" s="345" cm="1">
        <f t="array" aca="1" ref="W48" ca="1">SUMPRODUCT(W$54:W$113,TRANSPOSE(SAP_Speadsheet!$E$38:$BL$38))</f>
        <v>0</v>
      </c>
      <c r="X48" s="345" cm="1">
        <f t="array" aca="1" ref="X48" ca="1">SUMPRODUCT(X$54:X$113,TRANSPOSE(SAP_Speadsheet!$E$38:$BL$38))</f>
        <v>0</v>
      </c>
      <c r="Y48" s="345" cm="1">
        <f t="array" aca="1" ref="Y48" ca="1">SUMPRODUCT(Y$54:Y$113,TRANSPOSE(SAP_Speadsheet!$E$38:$BL$38))</f>
        <v>0</v>
      </c>
      <c r="Z48" s="345" cm="1">
        <f t="array" aca="1" ref="Z48" ca="1">SUMPRODUCT(Z$54:Z$113,TRANSPOSE(SAP_Speadsheet!$E$38:$BL$38))</f>
        <v>0</v>
      </c>
      <c r="AA48" s="345" cm="1">
        <f t="array" aca="1" ref="AA48" ca="1">SUMPRODUCT(AA$54:AA$113,TRANSPOSE(SAP_Speadsheet!$E$38:$BL$38))</f>
        <v>0</v>
      </c>
      <c r="AB48" s="345" cm="1">
        <f t="array" aca="1" ref="AB48" ca="1">SUMPRODUCT(AB$54:AB$113,TRANSPOSE(SAP_Speadsheet!$E$38:$BL$38))</f>
        <v>0</v>
      </c>
      <c r="AC48" s="345" cm="1">
        <f t="array" aca="1" ref="AC48" ca="1">SUMPRODUCT(AC$54:AC$113,TRANSPOSE(SAP_Speadsheet!$E$38:$BL$38))</f>
        <v>0</v>
      </c>
      <c r="AD48" s="345" cm="1">
        <f t="array" aca="1" ref="AD48" ca="1">SUMPRODUCT(AD$54:AD$113,TRANSPOSE(SAP_Speadsheet!$E$38:$BL$38))</f>
        <v>0</v>
      </c>
      <c r="AE48" s="345" cm="1">
        <f t="array" aca="1" ref="AE48" ca="1">SUMPRODUCT(AE$54:AE$113,TRANSPOSE(SAP_Speadsheet!$E$38:$BL$38))</f>
        <v>0</v>
      </c>
      <c r="AF48" s="345" cm="1">
        <f t="array" aca="1" ref="AF48" ca="1">SUMPRODUCT(AF$54:AF$113,TRANSPOSE(SAP_Speadsheet!$E$38:$BL$38))</f>
        <v>0</v>
      </c>
      <c r="AG48" s="345" cm="1">
        <f t="array" aca="1" ref="AG48" ca="1">SUMPRODUCT(AG$54:AG$113,TRANSPOSE(SAP_Speadsheet!$E$38:$BL$38))</f>
        <v>0</v>
      </c>
      <c r="AH48" s="345" cm="1">
        <f t="array" aca="1" ref="AH48" ca="1">SUMPRODUCT(AH$54:AH$113,TRANSPOSE(SAP_Speadsheet!$E$38:$BL$38))</f>
        <v>0</v>
      </c>
      <c r="AI48" s="345" cm="1">
        <f t="array" aca="1" ref="AI48" ca="1">SUMPRODUCT(AI$54:AI$113,TRANSPOSE(SAP_Speadsheet!$E$38:$BL$38))</f>
        <v>0</v>
      </c>
      <c r="AJ48" s="345" cm="1">
        <f t="array" aca="1" ref="AJ48" ca="1">SUMPRODUCT(AJ$54:AJ$113,TRANSPOSE(SAP_Speadsheet!$E$38:$BL$38))</f>
        <v>0</v>
      </c>
      <c r="AK48" s="345" cm="1">
        <f t="array" aca="1" ref="AK48" ca="1">SUMPRODUCT(AK$54:AK$113,TRANSPOSE(SAP_Speadsheet!$E$38:$BL$38))</f>
        <v>0</v>
      </c>
      <c r="AL48" s="345" cm="1">
        <f t="array" aca="1" ref="AL48" ca="1">SUMPRODUCT(AL$54:AL$113,TRANSPOSE(SAP_Speadsheet!$E$38:$BL$38))</f>
        <v>0</v>
      </c>
      <c r="AM48" s="345" cm="1">
        <f t="array" aca="1" ref="AM48" ca="1">SUMPRODUCT(AM$54:AM$113,TRANSPOSE(SAP_Speadsheet!$E$38:$BL$38))</f>
        <v>0</v>
      </c>
      <c r="AN48" s="345" cm="1">
        <f t="array" aca="1" ref="AN48" ca="1">SUMPRODUCT(AN$54:AN$113,TRANSPOSE(SAP_Speadsheet!$E$38:$BL$38))</f>
        <v>0</v>
      </c>
      <c r="AO48" s="345" cm="1">
        <f t="array" aca="1" ref="AO48" ca="1">SUMPRODUCT(AO$54:AO$113,TRANSPOSE(SAP_Speadsheet!$E$38:$BL$38))</f>
        <v>0</v>
      </c>
      <c r="AP48" s="345" cm="1">
        <f t="array" aca="1" ref="AP48" ca="1">SUMPRODUCT(AP$54:AP$113,TRANSPOSE(SAP_Speadsheet!$E$38:$BL$38))</f>
        <v>0</v>
      </c>
      <c r="AQ48" s="345" cm="1">
        <f t="array" aca="1" ref="AQ48" ca="1">SUMPRODUCT(AQ$54:AQ$113,TRANSPOSE(SAP_Speadsheet!$E$38:$BL$38))</f>
        <v>0</v>
      </c>
      <c r="AR48" s="345" cm="1">
        <f t="array" aca="1" ref="AR48" ca="1">SUMPRODUCT(AR$54:AR$113,TRANSPOSE(SAP_Speadsheet!$E$38:$BL$38))</f>
        <v>0</v>
      </c>
      <c r="AS48" s="345" cm="1">
        <f t="array" aca="1" ref="AS48" ca="1">SUMPRODUCT(AS$54:AS$113,TRANSPOSE(SAP_Speadsheet!$E$38:$BL$38))</f>
        <v>0</v>
      </c>
      <c r="AT48" s="345" cm="1">
        <f t="array" aca="1" ref="AT48" ca="1">SUMPRODUCT(AT$54:AT$113,TRANSPOSE(SAP_Speadsheet!$E$38:$BL$38))</f>
        <v>0</v>
      </c>
      <c r="AU48" s="345" cm="1">
        <f t="array" aca="1" ref="AU48" ca="1">SUMPRODUCT(AU$54:AU$113,TRANSPOSE(SAP_Speadsheet!$E$38:$BL$38))</f>
        <v>0</v>
      </c>
      <c r="AV48" s="345" cm="1">
        <f t="array" aca="1" ref="AV48" ca="1">SUMPRODUCT(AV$54:AV$113,TRANSPOSE(SAP_Speadsheet!$E$38:$BL$38))</f>
        <v>0</v>
      </c>
      <c r="AW48" s="345" cm="1">
        <f t="array" aca="1" ref="AW48" ca="1">SUMPRODUCT(AW$54:AW$113,TRANSPOSE(SAP_Speadsheet!$E$38:$BL$38))</f>
        <v>0</v>
      </c>
      <c r="AX48" s="345" cm="1">
        <f t="array" aca="1" ref="AX48" ca="1">SUMPRODUCT(AX$54:AX$113,TRANSPOSE(SAP_Speadsheet!$E$38:$BL$38))</f>
        <v>0</v>
      </c>
      <c r="AY48" s="345" cm="1">
        <f t="array" aca="1" ref="AY48" ca="1">SUMPRODUCT(AY$54:AY$113,TRANSPOSE(SAP_Speadsheet!$E$38:$BL$38))</f>
        <v>0</v>
      </c>
      <c r="AZ48" s="345" cm="1">
        <f t="array" aca="1" ref="AZ48" ca="1">SUMPRODUCT(AZ$54:AZ$113,TRANSPOSE(SAP_Speadsheet!$E$38:$BL$38))</f>
        <v>0</v>
      </c>
      <c r="BA48" s="345" cm="1">
        <f t="array" aca="1" ref="BA48" ca="1">SUMPRODUCT(BA$54:BA$113,TRANSPOSE(SAP_Speadsheet!$E$38:$BL$38))</f>
        <v>0</v>
      </c>
      <c r="BB48" s="345" cm="1">
        <f t="array" aca="1" ref="BB48" ca="1">SUMPRODUCT(BB$54:BB$113,TRANSPOSE(SAP_Speadsheet!$E$38:$BL$38))</f>
        <v>0</v>
      </c>
      <c r="BC48" s="345" cm="1">
        <f t="array" aca="1" ref="BC48" ca="1">SUMPRODUCT(BC$54:BC$113,TRANSPOSE(SAP_Speadsheet!$E$38:$BL$38))</f>
        <v>0</v>
      </c>
      <c r="BD48" s="345" cm="1">
        <f t="array" aca="1" ref="BD48" ca="1">SUMPRODUCT(BD$54:BD$113,TRANSPOSE(SAP_Speadsheet!$E$38:$BL$38))</f>
        <v>0</v>
      </c>
      <c r="BE48" s="345" cm="1">
        <f t="array" aca="1" ref="BE48" ca="1">SUMPRODUCT(BE$54:BE$113,TRANSPOSE(SAP_Speadsheet!$E$38:$BL$38))</f>
        <v>0</v>
      </c>
      <c r="BF48" s="345" cm="1">
        <f t="array" aca="1" ref="BF48" ca="1">SUMPRODUCT(BF$54:BF$113,TRANSPOSE(SAP_Speadsheet!$E$38:$BL$38))</f>
        <v>0</v>
      </c>
      <c r="BG48" s="345" cm="1">
        <f t="array" aca="1" ref="BG48" ca="1">SUMPRODUCT(BG$54:BG$113,TRANSPOSE(SAP_Speadsheet!$E$38:$BL$38))</f>
        <v>0</v>
      </c>
      <c r="BH48" s="345" cm="1">
        <f t="array" aca="1" ref="BH48" ca="1">SUMPRODUCT(BH$54:BH$113,TRANSPOSE(SAP_Speadsheet!$E$38:$BL$38))</f>
        <v>0</v>
      </c>
      <c r="BI48" s="345" cm="1">
        <f t="array" aca="1" ref="BI48" ca="1">SUMPRODUCT(BI$54:BI$113,TRANSPOSE(SAP_Speadsheet!$E$38:$BL$38))</f>
        <v>0</v>
      </c>
    </row>
    <row r="49" spans="1:62" x14ac:dyDescent="0.15">
      <c r="A49" s="334" t="s">
        <v>389</v>
      </c>
      <c r="B49" s="345" cm="1">
        <f t="array" aca="1" ref="B49" ca="1">SUMPRODUCT(B$54:B$113,TRANSPOSE(SAP_Speadsheet!$E$39:$BL$39))</f>
        <v>0</v>
      </c>
      <c r="C49" s="345" cm="1">
        <f t="array" aca="1" ref="C49" ca="1">SUMPRODUCT(C$54:C$113,TRANSPOSE(SAP_Speadsheet!$E$39:$BL$39))</f>
        <v>0</v>
      </c>
      <c r="D49" s="345" cm="1">
        <f t="array" aca="1" ref="D49" ca="1">SUMPRODUCT(D$54:D$113,TRANSPOSE(SAP_Speadsheet!$E$39:$BL$39))</f>
        <v>0</v>
      </c>
      <c r="E49" s="345" cm="1">
        <f t="array" aca="1" ref="E49" ca="1">SUMPRODUCT(E$54:E$113,TRANSPOSE(SAP_Speadsheet!$E$39:$BL$39))</f>
        <v>0</v>
      </c>
      <c r="F49" s="345" cm="1">
        <f t="array" aca="1" ref="F49" ca="1">SUMPRODUCT(F$54:F$113,TRANSPOSE(SAP_Speadsheet!$E$39:$BL$39))</f>
        <v>0</v>
      </c>
      <c r="G49" s="345" cm="1">
        <f t="array" aca="1" ref="G49" ca="1">SUMPRODUCT(G$54:G$113,TRANSPOSE(SAP_Speadsheet!$E$39:$BL$39))</f>
        <v>0</v>
      </c>
      <c r="H49" s="345" cm="1">
        <f t="array" aca="1" ref="H49" ca="1">SUMPRODUCT(H$54:H$113,TRANSPOSE(SAP_Speadsheet!$E$39:$BL$39))</f>
        <v>0</v>
      </c>
      <c r="I49" s="345" cm="1">
        <f t="array" aca="1" ref="I49" ca="1">SUMPRODUCT(I$54:I$113,TRANSPOSE(SAP_Speadsheet!$E$39:$BL$39))</f>
        <v>0</v>
      </c>
      <c r="J49" s="345" cm="1">
        <f t="array" aca="1" ref="J49" ca="1">SUMPRODUCT(J$54:J$113,TRANSPOSE(SAP_Speadsheet!$E$39:$BL$39))</f>
        <v>0</v>
      </c>
      <c r="K49" s="345" cm="1">
        <f t="array" aca="1" ref="K49" ca="1">SUMPRODUCT(K$54:K$113,TRANSPOSE(SAP_Speadsheet!$E$39:$BL$39))</f>
        <v>0</v>
      </c>
      <c r="L49" s="345" cm="1">
        <f t="array" aca="1" ref="L49" ca="1">SUMPRODUCT(L$54:L$113,TRANSPOSE(SAP_Speadsheet!$E$39:$BL$39))</f>
        <v>0</v>
      </c>
      <c r="M49" s="345" cm="1">
        <f t="array" aca="1" ref="M49" ca="1">SUMPRODUCT(M$54:M$113,TRANSPOSE(SAP_Speadsheet!$E$39:$BL$39))</f>
        <v>0</v>
      </c>
      <c r="N49" s="345" cm="1">
        <f t="array" aca="1" ref="N49" ca="1">SUMPRODUCT(N$54:N$113,TRANSPOSE(SAP_Speadsheet!$E$39:$BL$39))</f>
        <v>0</v>
      </c>
      <c r="O49" s="345" cm="1">
        <f t="array" aca="1" ref="O49" ca="1">SUMPRODUCT(O$54:O$113,TRANSPOSE(SAP_Speadsheet!$E$39:$BL$39))</f>
        <v>0</v>
      </c>
      <c r="P49" s="345" cm="1">
        <f t="array" aca="1" ref="P49" ca="1">SUMPRODUCT(P$54:P$113,TRANSPOSE(SAP_Speadsheet!$E$39:$BL$39))</f>
        <v>0</v>
      </c>
      <c r="Q49" s="345" cm="1">
        <f t="array" aca="1" ref="Q49" ca="1">SUMPRODUCT(Q$54:Q$113,TRANSPOSE(SAP_Speadsheet!$E$39:$BL$39))</f>
        <v>0</v>
      </c>
      <c r="R49" s="345" cm="1">
        <f t="array" aca="1" ref="R49" ca="1">SUMPRODUCT(R$54:R$113,TRANSPOSE(SAP_Speadsheet!$E$39:$BL$39))</f>
        <v>0</v>
      </c>
      <c r="S49" s="345" cm="1">
        <f t="array" aca="1" ref="S49" ca="1">SUMPRODUCT(S$54:S$113,TRANSPOSE(SAP_Speadsheet!$E$39:$BL$39))</f>
        <v>0</v>
      </c>
      <c r="T49" s="345" cm="1">
        <f t="array" aca="1" ref="T49" ca="1">SUMPRODUCT(T$54:T$113,TRANSPOSE(SAP_Speadsheet!$E$39:$BL$39))</f>
        <v>0</v>
      </c>
      <c r="U49" s="345" cm="1">
        <f t="array" aca="1" ref="U49" ca="1">SUMPRODUCT(U$54:U$113,TRANSPOSE(SAP_Speadsheet!$E$39:$BL$39))</f>
        <v>0</v>
      </c>
      <c r="V49" s="345" cm="1">
        <f t="array" aca="1" ref="V49" ca="1">SUMPRODUCT(V$54:V$113,TRANSPOSE(SAP_Speadsheet!$E$39:$BL$39))</f>
        <v>0</v>
      </c>
      <c r="W49" s="345" cm="1">
        <f t="array" aca="1" ref="W49" ca="1">SUMPRODUCT(W$54:W$113,TRANSPOSE(SAP_Speadsheet!$E$39:$BL$39))</f>
        <v>0</v>
      </c>
      <c r="X49" s="345" cm="1">
        <f t="array" aca="1" ref="X49" ca="1">SUMPRODUCT(X$54:X$113,TRANSPOSE(SAP_Speadsheet!$E$39:$BL$39))</f>
        <v>0</v>
      </c>
      <c r="Y49" s="345" cm="1">
        <f t="array" aca="1" ref="Y49" ca="1">SUMPRODUCT(Y$54:Y$113,TRANSPOSE(SAP_Speadsheet!$E$39:$BL$39))</f>
        <v>0</v>
      </c>
      <c r="Z49" s="345" cm="1">
        <f t="array" aca="1" ref="Z49" ca="1">SUMPRODUCT(Z$54:Z$113,TRANSPOSE(SAP_Speadsheet!$E$39:$BL$39))</f>
        <v>0</v>
      </c>
      <c r="AA49" s="345" cm="1">
        <f t="array" aca="1" ref="AA49" ca="1">SUMPRODUCT(AA$54:AA$113,TRANSPOSE(SAP_Speadsheet!$E$39:$BL$39))</f>
        <v>0</v>
      </c>
      <c r="AB49" s="345" cm="1">
        <f t="array" aca="1" ref="AB49" ca="1">SUMPRODUCT(AB$54:AB$113,TRANSPOSE(SAP_Speadsheet!$E$39:$BL$39))</f>
        <v>0</v>
      </c>
      <c r="AC49" s="345" cm="1">
        <f t="array" aca="1" ref="AC49" ca="1">SUMPRODUCT(AC$54:AC$113,TRANSPOSE(SAP_Speadsheet!$E$39:$BL$39))</f>
        <v>0</v>
      </c>
      <c r="AD49" s="345" cm="1">
        <f t="array" aca="1" ref="AD49" ca="1">SUMPRODUCT(AD$54:AD$113,TRANSPOSE(SAP_Speadsheet!$E$39:$BL$39))</f>
        <v>0</v>
      </c>
      <c r="AE49" s="345" cm="1">
        <f t="array" aca="1" ref="AE49" ca="1">SUMPRODUCT(AE$54:AE$113,TRANSPOSE(SAP_Speadsheet!$E$39:$BL$39))</f>
        <v>0</v>
      </c>
      <c r="AF49" s="345" cm="1">
        <f t="array" aca="1" ref="AF49" ca="1">SUMPRODUCT(AF$54:AF$113,TRANSPOSE(SAP_Speadsheet!$E$39:$BL$39))</f>
        <v>0</v>
      </c>
      <c r="AG49" s="345" cm="1">
        <f t="array" aca="1" ref="AG49" ca="1">SUMPRODUCT(AG$54:AG$113,TRANSPOSE(SAP_Speadsheet!$E$39:$BL$39))</f>
        <v>0</v>
      </c>
      <c r="AH49" s="345" cm="1">
        <f t="array" aca="1" ref="AH49" ca="1">SUMPRODUCT(AH$54:AH$113,TRANSPOSE(SAP_Speadsheet!$E$39:$BL$39))</f>
        <v>0</v>
      </c>
      <c r="AI49" s="345" cm="1">
        <f t="array" aca="1" ref="AI49" ca="1">SUMPRODUCT(AI$54:AI$113,TRANSPOSE(SAP_Speadsheet!$E$39:$BL$39))</f>
        <v>0</v>
      </c>
      <c r="AJ49" s="345" cm="1">
        <f t="array" aca="1" ref="AJ49" ca="1">SUMPRODUCT(AJ$54:AJ$113,TRANSPOSE(SAP_Speadsheet!$E$39:$BL$39))</f>
        <v>0</v>
      </c>
      <c r="AK49" s="345" cm="1">
        <f t="array" aca="1" ref="AK49" ca="1">SUMPRODUCT(AK$54:AK$113,TRANSPOSE(SAP_Speadsheet!$E$39:$BL$39))</f>
        <v>0</v>
      </c>
      <c r="AL49" s="345" cm="1">
        <f t="array" aca="1" ref="AL49" ca="1">SUMPRODUCT(AL$54:AL$113,TRANSPOSE(SAP_Speadsheet!$E$39:$BL$39))</f>
        <v>0</v>
      </c>
      <c r="AM49" s="345" cm="1">
        <f t="array" aca="1" ref="AM49" ca="1">SUMPRODUCT(AM$54:AM$113,TRANSPOSE(SAP_Speadsheet!$E$39:$BL$39))</f>
        <v>0</v>
      </c>
      <c r="AN49" s="345" cm="1">
        <f t="array" aca="1" ref="AN49" ca="1">SUMPRODUCT(AN$54:AN$113,TRANSPOSE(SAP_Speadsheet!$E$39:$BL$39))</f>
        <v>0</v>
      </c>
      <c r="AO49" s="345" cm="1">
        <f t="array" aca="1" ref="AO49" ca="1">SUMPRODUCT(AO$54:AO$113,TRANSPOSE(SAP_Speadsheet!$E$39:$BL$39))</f>
        <v>0</v>
      </c>
      <c r="AP49" s="345" cm="1">
        <f t="array" aca="1" ref="AP49" ca="1">SUMPRODUCT(AP$54:AP$113,TRANSPOSE(SAP_Speadsheet!$E$39:$BL$39))</f>
        <v>0</v>
      </c>
      <c r="AQ49" s="345" cm="1">
        <f t="array" aca="1" ref="AQ49" ca="1">SUMPRODUCT(AQ$54:AQ$113,TRANSPOSE(SAP_Speadsheet!$E$39:$BL$39))</f>
        <v>0</v>
      </c>
      <c r="AR49" s="345" cm="1">
        <f t="array" aca="1" ref="AR49" ca="1">SUMPRODUCT(AR$54:AR$113,TRANSPOSE(SAP_Speadsheet!$E$39:$BL$39))</f>
        <v>0</v>
      </c>
      <c r="AS49" s="345" cm="1">
        <f t="array" aca="1" ref="AS49" ca="1">SUMPRODUCT(AS$54:AS$113,TRANSPOSE(SAP_Speadsheet!$E$39:$BL$39))</f>
        <v>0</v>
      </c>
      <c r="AT49" s="345" cm="1">
        <f t="array" aca="1" ref="AT49" ca="1">SUMPRODUCT(AT$54:AT$113,TRANSPOSE(SAP_Speadsheet!$E$39:$BL$39))</f>
        <v>0</v>
      </c>
      <c r="AU49" s="345" cm="1">
        <f t="array" aca="1" ref="AU49" ca="1">SUMPRODUCT(AU$54:AU$113,TRANSPOSE(SAP_Speadsheet!$E$39:$BL$39))</f>
        <v>0</v>
      </c>
      <c r="AV49" s="345" cm="1">
        <f t="array" aca="1" ref="AV49" ca="1">SUMPRODUCT(AV$54:AV$113,TRANSPOSE(SAP_Speadsheet!$E$39:$BL$39))</f>
        <v>0</v>
      </c>
      <c r="AW49" s="345" cm="1">
        <f t="array" aca="1" ref="AW49" ca="1">SUMPRODUCT(AW$54:AW$113,TRANSPOSE(SAP_Speadsheet!$E$39:$BL$39))</f>
        <v>0</v>
      </c>
      <c r="AX49" s="345" cm="1">
        <f t="array" aca="1" ref="AX49" ca="1">SUMPRODUCT(AX$54:AX$113,TRANSPOSE(SAP_Speadsheet!$E$39:$BL$39))</f>
        <v>0</v>
      </c>
      <c r="AY49" s="345" cm="1">
        <f t="array" aca="1" ref="AY49" ca="1">SUMPRODUCT(AY$54:AY$113,TRANSPOSE(SAP_Speadsheet!$E$39:$BL$39))</f>
        <v>0</v>
      </c>
      <c r="AZ49" s="345" cm="1">
        <f t="array" aca="1" ref="AZ49" ca="1">SUMPRODUCT(AZ$54:AZ$113,TRANSPOSE(SAP_Speadsheet!$E$39:$BL$39))</f>
        <v>0</v>
      </c>
      <c r="BA49" s="345" cm="1">
        <f t="array" aca="1" ref="BA49" ca="1">SUMPRODUCT(BA$54:BA$113,TRANSPOSE(SAP_Speadsheet!$E$39:$BL$39))</f>
        <v>0</v>
      </c>
      <c r="BB49" s="345" cm="1">
        <f t="array" aca="1" ref="BB49" ca="1">SUMPRODUCT(BB$54:BB$113,TRANSPOSE(SAP_Speadsheet!$E$39:$BL$39))</f>
        <v>0</v>
      </c>
      <c r="BC49" s="345" cm="1">
        <f t="array" aca="1" ref="BC49" ca="1">SUMPRODUCT(BC$54:BC$113,TRANSPOSE(SAP_Speadsheet!$E$39:$BL$39))</f>
        <v>0</v>
      </c>
      <c r="BD49" s="345" cm="1">
        <f t="array" aca="1" ref="BD49" ca="1">SUMPRODUCT(BD$54:BD$113,TRANSPOSE(SAP_Speadsheet!$E$39:$BL$39))</f>
        <v>0</v>
      </c>
      <c r="BE49" s="345" cm="1">
        <f t="array" aca="1" ref="BE49" ca="1">SUMPRODUCT(BE$54:BE$113,TRANSPOSE(SAP_Speadsheet!$E$39:$BL$39))</f>
        <v>0</v>
      </c>
      <c r="BF49" s="345" cm="1">
        <f t="array" aca="1" ref="BF49" ca="1">SUMPRODUCT(BF$54:BF$113,TRANSPOSE(SAP_Speadsheet!$E$39:$BL$39))</f>
        <v>0</v>
      </c>
      <c r="BG49" s="345" cm="1">
        <f t="array" aca="1" ref="BG49" ca="1">SUMPRODUCT(BG$54:BG$113,TRANSPOSE(SAP_Speadsheet!$E$39:$BL$39))</f>
        <v>0</v>
      </c>
      <c r="BH49" s="345" cm="1">
        <f t="array" aca="1" ref="BH49" ca="1">SUMPRODUCT(BH$54:BH$113,TRANSPOSE(SAP_Speadsheet!$E$39:$BL$39))</f>
        <v>0</v>
      </c>
      <c r="BI49" s="345" cm="1">
        <f t="array" aca="1" ref="BI49" ca="1">SUMPRODUCT(BI$54:BI$113,TRANSPOSE(SAP_Speadsheet!$E$39:$BL$39))</f>
        <v>0</v>
      </c>
    </row>
    <row r="50" spans="1:62" s="352" customFormat="1" x14ac:dyDescent="0.15">
      <c r="A50" s="347" t="s">
        <v>435</v>
      </c>
      <c r="B50" s="351">
        <f t="shared" ref="B50:BI50" ca="1" si="6">SUM(B35:B49)-B7</f>
        <v>0</v>
      </c>
      <c r="C50" s="351">
        <f t="shared" ca="1" si="6"/>
        <v>0</v>
      </c>
      <c r="D50" s="351">
        <f t="shared" ca="1" si="6"/>
        <v>0</v>
      </c>
      <c r="E50" s="351">
        <f t="shared" ca="1" si="6"/>
        <v>0</v>
      </c>
      <c r="F50" s="351">
        <f t="shared" ca="1" si="6"/>
        <v>0</v>
      </c>
      <c r="G50" s="351">
        <f t="shared" ca="1" si="6"/>
        <v>0</v>
      </c>
      <c r="H50" s="351">
        <f t="shared" ca="1" si="6"/>
        <v>0</v>
      </c>
      <c r="I50" s="351">
        <f t="shared" ca="1" si="6"/>
        <v>0</v>
      </c>
      <c r="J50" s="351">
        <f t="shared" ca="1" si="6"/>
        <v>0</v>
      </c>
      <c r="K50" s="351">
        <f t="shared" ca="1" si="6"/>
        <v>0</v>
      </c>
      <c r="L50" s="351">
        <f t="shared" ca="1" si="6"/>
        <v>0</v>
      </c>
      <c r="M50" s="351">
        <f t="shared" ca="1" si="6"/>
        <v>0</v>
      </c>
      <c r="N50" s="351">
        <f t="shared" ca="1" si="6"/>
        <v>0</v>
      </c>
      <c r="O50" s="351">
        <f t="shared" ca="1" si="6"/>
        <v>0</v>
      </c>
      <c r="P50" s="351">
        <f t="shared" ca="1" si="6"/>
        <v>0</v>
      </c>
      <c r="Q50" s="351">
        <f t="shared" ca="1" si="6"/>
        <v>0</v>
      </c>
      <c r="R50" s="351">
        <f t="shared" ca="1" si="6"/>
        <v>0</v>
      </c>
      <c r="S50" s="351">
        <f t="shared" ca="1" si="6"/>
        <v>0</v>
      </c>
      <c r="T50" s="351">
        <f t="shared" ca="1" si="6"/>
        <v>0</v>
      </c>
      <c r="U50" s="351">
        <f t="shared" ca="1" si="6"/>
        <v>0</v>
      </c>
      <c r="V50" s="351">
        <f t="shared" ca="1" si="6"/>
        <v>0</v>
      </c>
      <c r="W50" s="351">
        <f t="shared" ca="1" si="6"/>
        <v>0</v>
      </c>
      <c r="X50" s="351">
        <f t="shared" ca="1" si="6"/>
        <v>0</v>
      </c>
      <c r="Y50" s="351">
        <f t="shared" ca="1" si="6"/>
        <v>0</v>
      </c>
      <c r="Z50" s="351">
        <f t="shared" ca="1" si="6"/>
        <v>0</v>
      </c>
      <c r="AA50" s="351">
        <f t="shared" ca="1" si="6"/>
        <v>0</v>
      </c>
      <c r="AB50" s="351">
        <f t="shared" ca="1" si="6"/>
        <v>0</v>
      </c>
      <c r="AC50" s="351">
        <f t="shared" ca="1" si="6"/>
        <v>0</v>
      </c>
      <c r="AD50" s="351">
        <f t="shared" ca="1" si="6"/>
        <v>0</v>
      </c>
      <c r="AE50" s="351">
        <f t="shared" ca="1" si="6"/>
        <v>0</v>
      </c>
      <c r="AF50" s="351">
        <f t="shared" ca="1" si="6"/>
        <v>0</v>
      </c>
      <c r="AG50" s="351">
        <f t="shared" ca="1" si="6"/>
        <v>0</v>
      </c>
      <c r="AH50" s="351">
        <f t="shared" ca="1" si="6"/>
        <v>0</v>
      </c>
      <c r="AI50" s="351">
        <f t="shared" ca="1" si="6"/>
        <v>0</v>
      </c>
      <c r="AJ50" s="351">
        <f t="shared" ca="1" si="6"/>
        <v>0</v>
      </c>
      <c r="AK50" s="351">
        <f t="shared" ca="1" si="6"/>
        <v>0</v>
      </c>
      <c r="AL50" s="351">
        <f t="shared" ca="1" si="6"/>
        <v>0</v>
      </c>
      <c r="AM50" s="351">
        <f t="shared" ca="1" si="6"/>
        <v>0</v>
      </c>
      <c r="AN50" s="351">
        <f t="shared" ca="1" si="6"/>
        <v>0</v>
      </c>
      <c r="AO50" s="351">
        <f t="shared" ca="1" si="6"/>
        <v>0</v>
      </c>
      <c r="AP50" s="351">
        <f t="shared" ca="1" si="6"/>
        <v>0</v>
      </c>
      <c r="AQ50" s="351">
        <f t="shared" ca="1" si="6"/>
        <v>0</v>
      </c>
      <c r="AR50" s="351">
        <f t="shared" ca="1" si="6"/>
        <v>0</v>
      </c>
      <c r="AS50" s="351">
        <f t="shared" ca="1" si="6"/>
        <v>0</v>
      </c>
      <c r="AT50" s="351">
        <f t="shared" ca="1" si="6"/>
        <v>0</v>
      </c>
      <c r="AU50" s="351">
        <f t="shared" ca="1" si="6"/>
        <v>0</v>
      </c>
      <c r="AV50" s="351">
        <f t="shared" ca="1" si="6"/>
        <v>0</v>
      </c>
      <c r="AW50" s="351">
        <f t="shared" ca="1" si="6"/>
        <v>0</v>
      </c>
      <c r="AX50" s="351">
        <f t="shared" ca="1" si="6"/>
        <v>0</v>
      </c>
      <c r="AY50" s="351">
        <f t="shared" ca="1" si="6"/>
        <v>0</v>
      </c>
      <c r="AZ50" s="351">
        <f t="shared" ca="1" si="6"/>
        <v>0</v>
      </c>
      <c r="BA50" s="351">
        <f t="shared" ca="1" si="6"/>
        <v>0</v>
      </c>
      <c r="BB50" s="351">
        <f t="shared" ca="1" si="6"/>
        <v>0</v>
      </c>
      <c r="BC50" s="351">
        <f t="shared" ca="1" si="6"/>
        <v>0</v>
      </c>
      <c r="BD50" s="351">
        <f t="shared" ca="1" si="6"/>
        <v>0</v>
      </c>
      <c r="BE50" s="351">
        <f t="shared" ca="1" si="6"/>
        <v>0</v>
      </c>
      <c r="BF50" s="351">
        <f t="shared" ca="1" si="6"/>
        <v>0</v>
      </c>
      <c r="BG50" s="351">
        <f t="shared" ca="1" si="6"/>
        <v>0</v>
      </c>
      <c r="BH50" s="351">
        <f t="shared" ca="1" si="6"/>
        <v>0</v>
      </c>
      <c r="BI50" s="351">
        <f t="shared" ca="1" si="6"/>
        <v>0</v>
      </c>
    </row>
    <row r="51" spans="1:62" x14ac:dyDescent="0.15">
      <c r="A51" s="347"/>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351"/>
      <c r="AH51" s="351"/>
      <c r="AI51" s="351"/>
      <c r="AJ51" s="351"/>
      <c r="AK51" s="351"/>
      <c r="AL51" s="351"/>
      <c r="AM51" s="351"/>
      <c r="AN51" s="351"/>
      <c r="AO51" s="351"/>
      <c r="AP51" s="351"/>
      <c r="AQ51" s="351"/>
      <c r="AR51" s="351"/>
      <c r="AS51" s="351"/>
      <c r="AT51" s="351"/>
      <c r="AU51" s="351"/>
      <c r="AV51" s="351"/>
      <c r="AW51" s="351"/>
      <c r="AX51" s="351"/>
      <c r="AY51" s="351"/>
      <c r="AZ51" s="351"/>
      <c r="BA51" s="351"/>
      <c r="BB51" s="351"/>
      <c r="BC51" s="351"/>
      <c r="BD51" s="351"/>
      <c r="BE51" s="351"/>
      <c r="BF51" s="351"/>
      <c r="BG51" s="351"/>
      <c r="BH51" s="351"/>
      <c r="BI51" s="351"/>
    </row>
    <row r="52" spans="1:62" s="352" customFormat="1" x14ac:dyDescent="0.15">
      <c r="A52" s="347"/>
    </row>
    <row r="53" spans="1:62" s="333" customFormat="1" outlineLevel="1" x14ac:dyDescent="0.15">
      <c r="A53" s="353" t="s">
        <v>469</v>
      </c>
      <c r="B53" s="354">
        <f>ROUND('Saleplan&amp;PnL'!D6*1000/Leadsheet!$E$10,0)</f>
        <v>0</v>
      </c>
      <c r="C53" s="354">
        <f>ROUND('Saleplan&amp;PnL'!E6*1000/Leadsheet!$E$10,0)</f>
        <v>0</v>
      </c>
      <c r="D53" s="354">
        <f>ROUND('Saleplan&amp;PnL'!F6*1000/Leadsheet!$E$10,0)</f>
        <v>0</v>
      </c>
      <c r="E53" s="354">
        <f>ROUND('Saleplan&amp;PnL'!G6*1000/Leadsheet!$E$10,0)</f>
        <v>68125</v>
      </c>
      <c r="F53" s="354">
        <f>ROUND('Saleplan&amp;PnL'!H6*1000/Leadsheet!$E$10,0)</f>
        <v>90387</v>
      </c>
      <c r="G53" s="354">
        <f>ROUND('Saleplan&amp;PnL'!I6*1000/Leadsheet!$E$10,0)</f>
        <v>134825</v>
      </c>
      <c r="H53" s="354">
        <f>ROUND('Saleplan&amp;PnL'!J6*1000/Leadsheet!$E$10,0)</f>
        <v>0</v>
      </c>
      <c r="I53" s="354">
        <f>ROUND('Saleplan&amp;PnL'!K6*1000/Leadsheet!$E$10,0)</f>
        <v>0</v>
      </c>
      <c r="J53" s="354">
        <f>ROUND('Saleplan&amp;PnL'!L6*1000/Leadsheet!$E$10,0)</f>
        <v>0</v>
      </c>
      <c r="K53" s="354">
        <f>ROUND('Saleplan&amp;PnL'!M6*1000/Leadsheet!$E$10,0)</f>
        <v>0</v>
      </c>
      <c r="L53" s="354">
        <f>ROUND('Saleplan&amp;PnL'!N6*1000/Leadsheet!$E$10,0)</f>
        <v>0</v>
      </c>
      <c r="M53" s="354">
        <f>ROUND('Saleplan&amp;PnL'!O6*1000/Leadsheet!$E$10,0)</f>
        <v>0</v>
      </c>
      <c r="N53" s="354">
        <f>ROUND('Saleplan&amp;PnL'!P6*1000/Leadsheet!$E$10,0)</f>
        <v>0</v>
      </c>
      <c r="O53" s="354">
        <f>ROUND('Saleplan&amp;PnL'!Q6*1000/Leadsheet!$E$10,0)</f>
        <v>0</v>
      </c>
      <c r="P53" s="354">
        <f>ROUND('Saleplan&amp;PnL'!R6*1000/Leadsheet!$E$10,0)</f>
        <v>0</v>
      </c>
      <c r="Q53" s="354">
        <f>ROUND('Saleplan&amp;PnL'!S6*1000/Leadsheet!$E$10,0)</f>
        <v>0</v>
      </c>
      <c r="R53" s="354">
        <f>ROUND('Saleplan&amp;PnL'!T6*1000/Leadsheet!$E$10,0)</f>
        <v>0</v>
      </c>
      <c r="S53" s="354">
        <f>ROUND('Saleplan&amp;PnL'!U6*1000/Leadsheet!$E$10,0)</f>
        <v>0</v>
      </c>
      <c r="T53" s="354">
        <f>ROUND('Saleplan&amp;PnL'!V6*1000/Leadsheet!$E$10,0)</f>
        <v>0</v>
      </c>
      <c r="U53" s="354">
        <f>ROUND('Saleplan&amp;PnL'!W6*1000/Leadsheet!$E$10,0)</f>
        <v>0</v>
      </c>
      <c r="V53" s="354">
        <f>ROUND('Saleplan&amp;PnL'!X6*1000/Leadsheet!$E$10,0)</f>
        <v>0</v>
      </c>
      <c r="W53" s="354">
        <f>ROUND('Saleplan&amp;PnL'!Y6*1000/Leadsheet!$E$10,0)</f>
        <v>0</v>
      </c>
      <c r="X53" s="354">
        <f>ROUND('Saleplan&amp;PnL'!Z6*1000/Leadsheet!$E$10,0)</f>
        <v>0</v>
      </c>
      <c r="Y53" s="354">
        <f>ROUND('Saleplan&amp;PnL'!AA6*1000/Leadsheet!$E$10,0)</f>
        <v>0</v>
      </c>
      <c r="Z53" s="354">
        <f>ROUND('Saleplan&amp;PnL'!AB6*1000/Leadsheet!$E$10,0)</f>
        <v>0</v>
      </c>
      <c r="AA53" s="354">
        <f>ROUND('Saleplan&amp;PnL'!AC6*1000/Leadsheet!$E$10,0)</f>
        <v>0</v>
      </c>
      <c r="AB53" s="354">
        <f>ROUND('Saleplan&amp;PnL'!AD6*1000/Leadsheet!$E$10,0)</f>
        <v>0</v>
      </c>
      <c r="AC53" s="354">
        <f>ROUND('Saleplan&amp;PnL'!AE6*1000/Leadsheet!$E$10,0)</f>
        <v>0</v>
      </c>
      <c r="AD53" s="354">
        <f>ROUND('Saleplan&amp;PnL'!AF6*1000/Leadsheet!$E$10,0)</f>
        <v>0</v>
      </c>
      <c r="AE53" s="354">
        <f>ROUND('Saleplan&amp;PnL'!AG6*1000/Leadsheet!$E$10,0)</f>
        <v>0</v>
      </c>
      <c r="AF53" s="354">
        <f>ROUND('Saleplan&amp;PnL'!AH6*1000/Leadsheet!$E$10,0)</f>
        <v>0</v>
      </c>
      <c r="AG53" s="354">
        <f>ROUND('Saleplan&amp;PnL'!AI6*1000/Leadsheet!$E$10,0)</f>
        <v>0</v>
      </c>
      <c r="AH53" s="354">
        <f>ROUND('Saleplan&amp;PnL'!AJ6*1000/Leadsheet!$E$10,0)</f>
        <v>0</v>
      </c>
      <c r="AI53" s="354">
        <f>ROUND('Saleplan&amp;PnL'!AK6*1000/Leadsheet!$E$10,0)</f>
        <v>0</v>
      </c>
      <c r="AJ53" s="354">
        <f>ROUND('Saleplan&amp;PnL'!AL6*1000/Leadsheet!$E$10,0)</f>
        <v>0</v>
      </c>
      <c r="AK53" s="354">
        <f>ROUND('Saleplan&amp;PnL'!AM6*1000/Leadsheet!$E$10,0)</f>
        <v>0</v>
      </c>
      <c r="AL53" s="354">
        <f>ROUND('Saleplan&amp;PnL'!AN6*1000/Leadsheet!$E$10,0)</f>
        <v>0</v>
      </c>
      <c r="AM53" s="354">
        <f>ROUND('Saleplan&amp;PnL'!AO6*1000/Leadsheet!$E$10,0)</f>
        <v>0</v>
      </c>
      <c r="AN53" s="354">
        <f>ROUND('Saleplan&amp;PnL'!AP6*1000/Leadsheet!$E$10,0)</f>
        <v>0</v>
      </c>
      <c r="AO53" s="354">
        <f>ROUND('Saleplan&amp;PnL'!AQ6*1000/Leadsheet!$E$10,0)</f>
        <v>0</v>
      </c>
      <c r="AP53" s="354">
        <f>ROUND('Saleplan&amp;PnL'!AR6*1000/Leadsheet!$E$10,0)</f>
        <v>0</v>
      </c>
      <c r="AQ53" s="354">
        <f>ROUND('Saleplan&amp;PnL'!AS6*1000/Leadsheet!$E$10,0)</f>
        <v>0</v>
      </c>
      <c r="AR53" s="354">
        <f>ROUND('Saleplan&amp;PnL'!AT6*1000/Leadsheet!$E$10,0)</f>
        <v>0</v>
      </c>
      <c r="AS53" s="354">
        <f>ROUND('Saleplan&amp;PnL'!AU6*1000/Leadsheet!$E$10,0)</f>
        <v>0</v>
      </c>
      <c r="AT53" s="354">
        <f>ROUND('Saleplan&amp;PnL'!AV6*1000/Leadsheet!$E$10,0)</f>
        <v>0</v>
      </c>
      <c r="AU53" s="354">
        <f>ROUND('Saleplan&amp;PnL'!AW6*1000/Leadsheet!$E$10,0)</f>
        <v>0</v>
      </c>
      <c r="AV53" s="354">
        <f>ROUND('Saleplan&amp;PnL'!AX6*1000/Leadsheet!$E$10,0)</f>
        <v>0</v>
      </c>
      <c r="AW53" s="354">
        <f>ROUND('Saleplan&amp;PnL'!AY6*1000/Leadsheet!$E$10,0)</f>
        <v>0</v>
      </c>
      <c r="AX53" s="354">
        <f>ROUND('Saleplan&amp;PnL'!AZ6*1000/Leadsheet!$E$10,0)</f>
        <v>0</v>
      </c>
      <c r="AY53" s="354">
        <f>ROUND('Saleplan&amp;PnL'!BA6*1000/Leadsheet!$E$10,0)</f>
        <v>0</v>
      </c>
      <c r="AZ53" s="354">
        <f>ROUND('Saleplan&amp;PnL'!BB6*1000/Leadsheet!$E$10,0)</f>
        <v>0</v>
      </c>
      <c r="BA53" s="354">
        <f>ROUND('Saleplan&amp;PnL'!BC6*1000/Leadsheet!$E$10,0)</f>
        <v>0</v>
      </c>
      <c r="BB53" s="354">
        <f>ROUND('Saleplan&amp;PnL'!BD6*1000/Leadsheet!$E$10,0)</f>
        <v>0</v>
      </c>
      <c r="BC53" s="354">
        <f>ROUND('Saleplan&amp;PnL'!BE6*1000/Leadsheet!$E$10,0)</f>
        <v>0</v>
      </c>
      <c r="BD53" s="354">
        <f>ROUND('Saleplan&amp;PnL'!BF6*1000/Leadsheet!$E$10,0)</f>
        <v>0</v>
      </c>
      <c r="BE53" s="354">
        <f>ROUND('Saleplan&amp;PnL'!BG6*1000/Leadsheet!$E$10,0)</f>
        <v>0</v>
      </c>
      <c r="BF53" s="354">
        <f>ROUND('Saleplan&amp;PnL'!BH6*1000/Leadsheet!$E$10,0)</f>
        <v>0</v>
      </c>
      <c r="BG53" s="354">
        <f>ROUND('Saleplan&amp;PnL'!BI6*1000/Leadsheet!$E$10,0)</f>
        <v>0</v>
      </c>
      <c r="BH53" s="354">
        <f>ROUND('Saleplan&amp;PnL'!BJ6*1000/Leadsheet!$E$10,0)</f>
        <v>0</v>
      </c>
      <c r="BI53" s="354">
        <f>ROUND('Saleplan&amp;PnL'!BK6*1000/Leadsheet!$E$10,0)</f>
        <v>0</v>
      </c>
    </row>
    <row r="54" spans="1:62" outlineLevel="1" x14ac:dyDescent="0.15">
      <c r="A54" s="355">
        <v>1</v>
      </c>
      <c r="B54" s="345">
        <f t="shared" ref="B54:Q85" ca="1" si="7">IF($A54&gt;B$5,"",OFFSET(B$53,0,-($A54-1)))</f>
        <v>0</v>
      </c>
      <c r="C54" s="345">
        <f t="shared" ca="1" si="7"/>
        <v>0</v>
      </c>
      <c r="D54" s="345">
        <f t="shared" ca="1" si="7"/>
        <v>0</v>
      </c>
      <c r="E54" s="345">
        <f t="shared" ca="1" si="7"/>
        <v>68125</v>
      </c>
      <c r="F54" s="345">
        <f t="shared" ca="1" si="7"/>
        <v>90387</v>
      </c>
      <c r="G54" s="345">
        <f t="shared" ca="1" si="7"/>
        <v>134825</v>
      </c>
      <c r="H54" s="345">
        <f t="shared" ca="1" si="7"/>
        <v>0</v>
      </c>
      <c r="I54" s="345">
        <f t="shared" ca="1" si="7"/>
        <v>0</v>
      </c>
      <c r="J54" s="345">
        <f t="shared" ca="1" si="7"/>
        <v>0</v>
      </c>
      <c r="K54" s="345">
        <f t="shared" ca="1" si="7"/>
        <v>0</v>
      </c>
      <c r="L54" s="345">
        <f t="shared" ca="1" si="7"/>
        <v>0</v>
      </c>
      <c r="M54" s="345">
        <f t="shared" ca="1" si="7"/>
        <v>0</v>
      </c>
      <c r="N54" s="345">
        <f t="shared" ca="1" si="7"/>
        <v>0</v>
      </c>
      <c r="O54" s="345">
        <f t="shared" ca="1" si="7"/>
        <v>0</v>
      </c>
      <c r="P54" s="345">
        <f t="shared" ca="1" si="7"/>
        <v>0</v>
      </c>
      <c r="Q54" s="345">
        <f t="shared" ca="1" si="7"/>
        <v>0</v>
      </c>
      <c r="R54" s="345">
        <f t="shared" ref="R54:BX59" ca="1" si="8">IF($A54&gt;R$5,"",OFFSET(R$53,0,-($A54-1)))</f>
        <v>0</v>
      </c>
      <c r="S54" s="345">
        <f t="shared" ca="1" si="8"/>
        <v>0</v>
      </c>
      <c r="T54" s="345">
        <f t="shared" ca="1" si="8"/>
        <v>0</v>
      </c>
      <c r="U54" s="345">
        <f t="shared" ca="1" si="8"/>
        <v>0</v>
      </c>
      <c r="V54" s="345">
        <f t="shared" ca="1" si="8"/>
        <v>0</v>
      </c>
      <c r="W54" s="345">
        <f t="shared" ca="1" si="8"/>
        <v>0</v>
      </c>
      <c r="X54" s="345">
        <f t="shared" ca="1" si="8"/>
        <v>0</v>
      </c>
      <c r="Y54" s="345">
        <f t="shared" ca="1" si="8"/>
        <v>0</v>
      </c>
      <c r="Z54" s="345">
        <f t="shared" ca="1" si="8"/>
        <v>0</v>
      </c>
      <c r="AA54" s="345">
        <f t="shared" ca="1" si="8"/>
        <v>0</v>
      </c>
      <c r="AB54" s="345">
        <f t="shared" ca="1" si="8"/>
        <v>0</v>
      </c>
      <c r="AC54" s="345">
        <f t="shared" ca="1" si="8"/>
        <v>0</v>
      </c>
      <c r="AD54" s="345">
        <f t="shared" ca="1" si="8"/>
        <v>0</v>
      </c>
      <c r="AE54" s="345">
        <f t="shared" ca="1" si="8"/>
        <v>0</v>
      </c>
      <c r="AF54" s="345">
        <f t="shared" ca="1" si="8"/>
        <v>0</v>
      </c>
      <c r="AG54" s="345">
        <f t="shared" ca="1" si="8"/>
        <v>0</v>
      </c>
      <c r="AH54" s="345">
        <f t="shared" ca="1" si="8"/>
        <v>0</v>
      </c>
      <c r="AI54" s="345">
        <f t="shared" ca="1" si="8"/>
        <v>0</v>
      </c>
      <c r="AJ54" s="345">
        <f t="shared" ca="1" si="8"/>
        <v>0</v>
      </c>
      <c r="AK54" s="345">
        <f t="shared" ca="1" si="8"/>
        <v>0</v>
      </c>
      <c r="AL54" s="345">
        <f t="shared" ca="1" si="8"/>
        <v>0</v>
      </c>
      <c r="AM54" s="345">
        <f t="shared" ca="1" si="8"/>
        <v>0</v>
      </c>
      <c r="AN54" s="345">
        <f t="shared" ca="1" si="8"/>
        <v>0</v>
      </c>
      <c r="AO54" s="345">
        <f t="shared" ca="1" si="8"/>
        <v>0</v>
      </c>
      <c r="AP54" s="345">
        <f t="shared" ca="1" si="8"/>
        <v>0</v>
      </c>
      <c r="AQ54" s="345">
        <f t="shared" ca="1" si="8"/>
        <v>0</v>
      </c>
      <c r="AR54" s="345">
        <f t="shared" ca="1" si="8"/>
        <v>0</v>
      </c>
      <c r="AS54" s="345">
        <f t="shared" ca="1" si="8"/>
        <v>0</v>
      </c>
      <c r="AT54" s="345">
        <f t="shared" ca="1" si="8"/>
        <v>0</v>
      </c>
      <c r="AU54" s="345">
        <f t="shared" ca="1" si="8"/>
        <v>0</v>
      </c>
      <c r="AV54" s="345">
        <f t="shared" ca="1" si="8"/>
        <v>0</v>
      </c>
      <c r="AW54" s="345">
        <f t="shared" ca="1" si="8"/>
        <v>0</v>
      </c>
      <c r="AX54" s="345">
        <f t="shared" ca="1" si="8"/>
        <v>0</v>
      </c>
      <c r="AY54" s="345">
        <f t="shared" ca="1" si="8"/>
        <v>0</v>
      </c>
      <c r="AZ54" s="345">
        <f t="shared" ca="1" si="8"/>
        <v>0</v>
      </c>
      <c r="BA54" s="345">
        <f t="shared" ca="1" si="8"/>
        <v>0</v>
      </c>
      <c r="BB54" s="345">
        <f t="shared" ca="1" si="8"/>
        <v>0</v>
      </c>
      <c r="BC54" s="345">
        <f t="shared" ca="1" si="8"/>
        <v>0</v>
      </c>
      <c r="BD54" s="345">
        <f t="shared" ca="1" si="8"/>
        <v>0</v>
      </c>
      <c r="BE54" s="345">
        <f t="shared" ca="1" si="8"/>
        <v>0</v>
      </c>
      <c r="BF54" s="345">
        <f t="shared" ca="1" si="8"/>
        <v>0</v>
      </c>
      <c r="BG54" s="345">
        <f t="shared" ca="1" si="8"/>
        <v>0</v>
      </c>
      <c r="BH54" s="345">
        <f t="shared" ca="1" si="8"/>
        <v>0</v>
      </c>
      <c r="BI54" s="345">
        <f t="shared" ca="1" si="8"/>
        <v>0</v>
      </c>
      <c r="BJ54" s="345"/>
    </row>
    <row r="55" spans="1:62" outlineLevel="1" x14ac:dyDescent="0.15">
      <c r="A55" s="355">
        <v>2</v>
      </c>
      <c r="B55" s="345" t="str">
        <f t="shared" ca="1" si="7"/>
        <v/>
      </c>
      <c r="C55" s="345">
        <f t="shared" ca="1" si="7"/>
        <v>0</v>
      </c>
      <c r="D55" s="345">
        <f t="shared" ca="1" si="7"/>
        <v>0</v>
      </c>
      <c r="E55" s="345">
        <f t="shared" ca="1" si="7"/>
        <v>0</v>
      </c>
      <c r="F55" s="345">
        <f t="shared" ca="1" si="7"/>
        <v>68125</v>
      </c>
      <c r="G55" s="345">
        <f t="shared" ca="1" si="7"/>
        <v>90387</v>
      </c>
      <c r="H55" s="345">
        <f t="shared" ca="1" si="7"/>
        <v>134825</v>
      </c>
      <c r="I55" s="345">
        <f t="shared" ca="1" si="7"/>
        <v>0</v>
      </c>
      <c r="J55" s="345">
        <f t="shared" ca="1" si="7"/>
        <v>0</v>
      </c>
      <c r="K55" s="345">
        <f t="shared" ca="1" si="7"/>
        <v>0</v>
      </c>
      <c r="L55" s="345">
        <f t="shared" ca="1" si="7"/>
        <v>0</v>
      </c>
      <c r="M55" s="345">
        <f t="shared" ca="1" si="7"/>
        <v>0</v>
      </c>
      <c r="N55" s="345">
        <f t="shared" ca="1" si="7"/>
        <v>0</v>
      </c>
      <c r="O55" s="345">
        <f t="shared" ca="1" si="7"/>
        <v>0</v>
      </c>
      <c r="P55" s="345">
        <f t="shared" ca="1" si="7"/>
        <v>0</v>
      </c>
      <c r="Q55" s="345">
        <f t="shared" ca="1" si="7"/>
        <v>0</v>
      </c>
      <c r="R55" s="345">
        <f t="shared" ca="1" si="8"/>
        <v>0</v>
      </c>
      <c r="S55" s="345">
        <f t="shared" ca="1" si="8"/>
        <v>0</v>
      </c>
      <c r="T55" s="345">
        <f t="shared" ca="1" si="8"/>
        <v>0</v>
      </c>
      <c r="U55" s="345">
        <f t="shared" ca="1" si="8"/>
        <v>0</v>
      </c>
      <c r="V55" s="345">
        <f t="shared" ca="1" si="8"/>
        <v>0</v>
      </c>
      <c r="W55" s="345">
        <f t="shared" ca="1" si="8"/>
        <v>0</v>
      </c>
      <c r="X55" s="345">
        <f t="shared" ca="1" si="8"/>
        <v>0</v>
      </c>
      <c r="Y55" s="345">
        <f t="shared" ca="1" si="8"/>
        <v>0</v>
      </c>
      <c r="Z55" s="345">
        <f t="shared" ca="1" si="8"/>
        <v>0</v>
      </c>
      <c r="AA55" s="345">
        <f t="shared" ca="1" si="8"/>
        <v>0</v>
      </c>
      <c r="AB55" s="345">
        <f t="shared" ca="1" si="8"/>
        <v>0</v>
      </c>
      <c r="AC55" s="345">
        <f t="shared" ca="1" si="8"/>
        <v>0</v>
      </c>
      <c r="AD55" s="345">
        <f t="shared" ca="1" si="8"/>
        <v>0</v>
      </c>
      <c r="AE55" s="345">
        <f t="shared" ca="1" si="8"/>
        <v>0</v>
      </c>
      <c r="AF55" s="345">
        <f t="shared" ca="1" si="8"/>
        <v>0</v>
      </c>
      <c r="AG55" s="345">
        <f t="shared" ca="1" si="8"/>
        <v>0</v>
      </c>
      <c r="AH55" s="345">
        <f t="shared" ca="1" si="8"/>
        <v>0</v>
      </c>
      <c r="AI55" s="345">
        <f t="shared" ca="1" si="8"/>
        <v>0</v>
      </c>
      <c r="AJ55" s="345">
        <f t="shared" ca="1" si="8"/>
        <v>0</v>
      </c>
      <c r="AK55" s="345">
        <f t="shared" ca="1" si="8"/>
        <v>0</v>
      </c>
      <c r="AL55" s="345">
        <f t="shared" ca="1" si="8"/>
        <v>0</v>
      </c>
      <c r="AM55" s="345">
        <f t="shared" ca="1" si="8"/>
        <v>0</v>
      </c>
      <c r="AN55" s="345">
        <f t="shared" ca="1" si="8"/>
        <v>0</v>
      </c>
      <c r="AO55" s="345">
        <f t="shared" ca="1" si="8"/>
        <v>0</v>
      </c>
      <c r="AP55" s="345">
        <f t="shared" ca="1" si="8"/>
        <v>0</v>
      </c>
      <c r="AQ55" s="345">
        <f t="shared" ca="1" si="8"/>
        <v>0</v>
      </c>
      <c r="AR55" s="345">
        <f t="shared" ca="1" si="8"/>
        <v>0</v>
      </c>
      <c r="AS55" s="345">
        <f t="shared" ca="1" si="8"/>
        <v>0</v>
      </c>
      <c r="AT55" s="345">
        <f t="shared" ca="1" si="8"/>
        <v>0</v>
      </c>
      <c r="AU55" s="345">
        <f t="shared" ca="1" si="8"/>
        <v>0</v>
      </c>
      <c r="AV55" s="345">
        <f t="shared" ca="1" si="8"/>
        <v>0</v>
      </c>
      <c r="AW55" s="345">
        <f t="shared" ca="1" si="8"/>
        <v>0</v>
      </c>
      <c r="AX55" s="345">
        <f t="shared" ca="1" si="8"/>
        <v>0</v>
      </c>
      <c r="AY55" s="345">
        <f t="shared" ca="1" si="8"/>
        <v>0</v>
      </c>
      <c r="AZ55" s="345">
        <f t="shared" ca="1" si="8"/>
        <v>0</v>
      </c>
      <c r="BA55" s="345">
        <f t="shared" ca="1" si="8"/>
        <v>0</v>
      </c>
      <c r="BB55" s="345">
        <f t="shared" ca="1" si="8"/>
        <v>0</v>
      </c>
      <c r="BC55" s="345">
        <f t="shared" ca="1" si="8"/>
        <v>0</v>
      </c>
      <c r="BD55" s="345">
        <f t="shared" ca="1" si="8"/>
        <v>0</v>
      </c>
      <c r="BE55" s="345">
        <f t="shared" ca="1" si="8"/>
        <v>0</v>
      </c>
      <c r="BF55" s="345">
        <f t="shared" ca="1" si="8"/>
        <v>0</v>
      </c>
      <c r="BG55" s="345">
        <f t="shared" ca="1" si="8"/>
        <v>0</v>
      </c>
      <c r="BH55" s="345">
        <f t="shared" ca="1" si="8"/>
        <v>0</v>
      </c>
      <c r="BI55" s="345">
        <f t="shared" ca="1" si="8"/>
        <v>0</v>
      </c>
      <c r="BJ55" s="345"/>
    </row>
    <row r="56" spans="1:62" outlineLevel="1" x14ac:dyDescent="0.15">
      <c r="A56" s="355">
        <v>3</v>
      </c>
      <c r="B56" s="345" t="str">
        <f t="shared" ca="1" si="7"/>
        <v/>
      </c>
      <c r="C56" s="345" t="str">
        <f t="shared" ca="1" si="7"/>
        <v/>
      </c>
      <c r="D56" s="345">
        <f t="shared" ca="1" si="7"/>
        <v>0</v>
      </c>
      <c r="E56" s="345">
        <f t="shared" ca="1" si="7"/>
        <v>0</v>
      </c>
      <c r="F56" s="345">
        <f t="shared" ca="1" si="7"/>
        <v>0</v>
      </c>
      <c r="G56" s="345">
        <f t="shared" ca="1" si="7"/>
        <v>68125</v>
      </c>
      <c r="H56" s="345">
        <f t="shared" ca="1" si="7"/>
        <v>90387</v>
      </c>
      <c r="I56" s="345">
        <f t="shared" ca="1" si="7"/>
        <v>134825</v>
      </c>
      <c r="J56" s="345">
        <f t="shared" ca="1" si="7"/>
        <v>0</v>
      </c>
      <c r="K56" s="345">
        <f t="shared" ca="1" si="7"/>
        <v>0</v>
      </c>
      <c r="L56" s="345">
        <f t="shared" ca="1" si="7"/>
        <v>0</v>
      </c>
      <c r="M56" s="345">
        <f t="shared" ca="1" si="7"/>
        <v>0</v>
      </c>
      <c r="N56" s="345">
        <f t="shared" ca="1" si="7"/>
        <v>0</v>
      </c>
      <c r="O56" s="345">
        <f t="shared" ca="1" si="7"/>
        <v>0</v>
      </c>
      <c r="P56" s="345">
        <f t="shared" ca="1" si="7"/>
        <v>0</v>
      </c>
      <c r="Q56" s="345">
        <f t="shared" ca="1" si="7"/>
        <v>0</v>
      </c>
      <c r="R56" s="345">
        <f t="shared" ca="1" si="8"/>
        <v>0</v>
      </c>
      <c r="S56" s="345">
        <f t="shared" ca="1" si="8"/>
        <v>0</v>
      </c>
      <c r="T56" s="345">
        <f t="shared" ca="1" si="8"/>
        <v>0</v>
      </c>
      <c r="U56" s="345">
        <f t="shared" ca="1" si="8"/>
        <v>0</v>
      </c>
      <c r="V56" s="345">
        <f t="shared" ca="1" si="8"/>
        <v>0</v>
      </c>
      <c r="W56" s="345">
        <f t="shared" ca="1" si="8"/>
        <v>0</v>
      </c>
      <c r="X56" s="345">
        <f t="shared" ca="1" si="8"/>
        <v>0</v>
      </c>
      <c r="Y56" s="345">
        <f t="shared" ca="1" si="8"/>
        <v>0</v>
      </c>
      <c r="Z56" s="345">
        <f t="shared" ca="1" si="8"/>
        <v>0</v>
      </c>
      <c r="AA56" s="345">
        <f t="shared" ca="1" si="8"/>
        <v>0</v>
      </c>
      <c r="AB56" s="345">
        <f t="shared" ca="1" si="8"/>
        <v>0</v>
      </c>
      <c r="AC56" s="345">
        <f t="shared" ca="1" si="8"/>
        <v>0</v>
      </c>
      <c r="AD56" s="345">
        <f t="shared" ca="1" si="8"/>
        <v>0</v>
      </c>
      <c r="AE56" s="345">
        <f t="shared" ca="1" si="8"/>
        <v>0</v>
      </c>
      <c r="AF56" s="345">
        <f t="shared" ca="1" si="8"/>
        <v>0</v>
      </c>
      <c r="AG56" s="345">
        <f t="shared" ca="1" si="8"/>
        <v>0</v>
      </c>
      <c r="AH56" s="345">
        <f t="shared" ca="1" si="8"/>
        <v>0</v>
      </c>
      <c r="AI56" s="345">
        <f t="shared" ca="1" si="8"/>
        <v>0</v>
      </c>
      <c r="AJ56" s="345">
        <f t="shared" ca="1" si="8"/>
        <v>0</v>
      </c>
      <c r="AK56" s="345">
        <f t="shared" ca="1" si="8"/>
        <v>0</v>
      </c>
      <c r="AL56" s="345">
        <f t="shared" ca="1" si="8"/>
        <v>0</v>
      </c>
      <c r="AM56" s="345">
        <f t="shared" ca="1" si="8"/>
        <v>0</v>
      </c>
      <c r="AN56" s="345">
        <f t="shared" ca="1" si="8"/>
        <v>0</v>
      </c>
      <c r="AO56" s="345">
        <f t="shared" ca="1" si="8"/>
        <v>0</v>
      </c>
      <c r="AP56" s="345">
        <f t="shared" ca="1" si="8"/>
        <v>0</v>
      </c>
      <c r="AQ56" s="345">
        <f t="shared" ca="1" si="8"/>
        <v>0</v>
      </c>
      <c r="AR56" s="345">
        <f t="shared" ca="1" si="8"/>
        <v>0</v>
      </c>
      <c r="AS56" s="345">
        <f t="shared" ca="1" si="8"/>
        <v>0</v>
      </c>
      <c r="AT56" s="345">
        <f t="shared" ca="1" si="8"/>
        <v>0</v>
      </c>
      <c r="AU56" s="345">
        <f t="shared" ca="1" si="8"/>
        <v>0</v>
      </c>
      <c r="AV56" s="345">
        <f t="shared" ca="1" si="8"/>
        <v>0</v>
      </c>
      <c r="AW56" s="345">
        <f t="shared" ca="1" si="8"/>
        <v>0</v>
      </c>
      <c r="AX56" s="345">
        <f t="shared" ca="1" si="8"/>
        <v>0</v>
      </c>
      <c r="AY56" s="345">
        <f t="shared" ca="1" si="8"/>
        <v>0</v>
      </c>
      <c r="AZ56" s="345">
        <f t="shared" ca="1" si="8"/>
        <v>0</v>
      </c>
      <c r="BA56" s="345">
        <f t="shared" ca="1" si="8"/>
        <v>0</v>
      </c>
      <c r="BB56" s="345">
        <f t="shared" ca="1" si="8"/>
        <v>0</v>
      </c>
      <c r="BC56" s="345">
        <f t="shared" ca="1" si="8"/>
        <v>0</v>
      </c>
      <c r="BD56" s="345">
        <f t="shared" ca="1" si="8"/>
        <v>0</v>
      </c>
      <c r="BE56" s="345">
        <f t="shared" ca="1" si="8"/>
        <v>0</v>
      </c>
      <c r="BF56" s="345">
        <f t="shared" ca="1" si="8"/>
        <v>0</v>
      </c>
      <c r="BG56" s="345">
        <f t="shared" ca="1" si="8"/>
        <v>0</v>
      </c>
      <c r="BH56" s="345">
        <f t="shared" ca="1" si="8"/>
        <v>0</v>
      </c>
      <c r="BI56" s="345">
        <f t="shared" ca="1" si="8"/>
        <v>0</v>
      </c>
      <c r="BJ56" s="345"/>
    </row>
    <row r="57" spans="1:62" outlineLevel="1" x14ac:dyDescent="0.15">
      <c r="A57" s="355">
        <v>4</v>
      </c>
      <c r="B57" s="345" t="str">
        <f t="shared" ca="1" si="7"/>
        <v/>
      </c>
      <c r="C57" s="345" t="str">
        <f t="shared" ca="1" si="7"/>
        <v/>
      </c>
      <c r="D57" s="345" t="str">
        <f t="shared" ca="1" si="7"/>
        <v/>
      </c>
      <c r="E57" s="345">
        <f t="shared" ca="1" si="7"/>
        <v>0</v>
      </c>
      <c r="F57" s="345">
        <f t="shared" ca="1" si="7"/>
        <v>0</v>
      </c>
      <c r="G57" s="345">
        <f t="shared" ca="1" si="7"/>
        <v>0</v>
      </c>
      <c r="H57" s="345">
        <f t="shared" ca="1" si="7"/>
        <v>68125</v>
      </c>
      <c r="I57" s="345">
        <f t="shared" ca="1" si="7"/>
        <v>90387</v>
      </c>
      <c r="J57" s="345">
        <f t="shared" ca="1" si="7"/>
        <v>134825</v>
      </c>
      <c r="K57" s="345">
        <f t="shared" ca="1" si="7"/>
        <v>0</v>
      </c>
      <c r="L57" s="345">
        <f t="shared" ca="1" si="7"/>
        <v>0</v>
      </c>
      <c r="M57" s="345">
        <f t="shared" ca="1" si="7"/>
        <v>0</v>
      </c>
      <c r="N57" s="345">
        <f t="shared" ca="1" si="7"/>
        <v>0</v>
      </c>
      <c r="O57" s="345">
        <f t="shared" ca="1" si="7"/>
        <v>0</v>
      </c>
      <c r="P57" s="345">
        <f t="shared" ca="1" si="7"/>
        <v>0</v>
      </c>
      <c r="Q57" s="345">
        <f t="shared" ca="1" si="7"/>
        <v>0</v>
      </c>
      <c r="R57" s="345">
        <f t="shared" ca="1" si="8"/>
        <v>0</v>
      </c>
      <c r="S57" s="345">
        <f t="shared" ca="1" si="8"/>
        <v>0</v>
      </c>
      <c r="T57" s="345">
        <f t="shared" ca="1" si="8"/>
        <v>0</v>
      </c>
      <c r="U57" s="345">
        <f t="shared" ca="1" si="8"/>
        <v>0</v>
      </c>
      <c r="V57" s="345">
        <f t="shared" ca="1" si="8"/>
        <v>0</v>
      </c>
      <c r="W57" s="345">
        <f t="shared" ca="1" si="8"/>
        <v>0</v>
      </c>
      <c r="X57" s="345">
        <f t="shared" ca="1" si="8"/>
        <v>0</v>
      </c>
      <c r="Y57" s="345">
        <f t="shared" ca="1" si="8"/>
        <v>0</v>
      </c>
      <c r="Z57" s="345">
        <f t="shared" ca="1" si="8"/>
        <v>0</v>
      </c>
      <c r="AA57" s="345">
        <f t="shared" ca="1" si="8"/>
        <v>0</v>
      </c>
      <c r="AB57" s="345">
        <f t="shared" ca="1" si="8"/>
        <v>0</v>
      </c>
      <c r="AC57" s="345">
        <f t="shared" ca="1" si="8"/>
        <v>0</v>
      </c>
      <c r="AD57" s="345">
        <f t="shared" ca="1" si="8"/>
        <v>0</v>
      </c>
      <c r="AE57" s="345">
        <f t="shared" ca="1" si="8"/>
        <v>0</v>
      </c>
      <c r="AF57" s="345">
        <f t="shared" ca="1" si="8"/>
        <v>0</v>
      </c>
      <c r="AG57" s="345">
        <f t="shared" ca="1" si="8"/>
        <v>0</v>
      </c>
      <c r="AH57" s="345">
        <f t="shared" ca="1" si="8"/>
        <v>0</v>
      </c>
      <c r="AI57" s="345">
        <f t="shared" ca="1" si="8"/>
        <v>0</v>
      </c>
      <c r="AJ57" s="345">
        <f t="shared" ca="1" si="8"/>
        <v>0</v>
      </c>
      <c r="AK57" s="345">
        <f t="shared" ca="1" si="8"/>
        <v>0</v>
      </c>
      <c r="AL57" s="345">
        <f t="shared" ca="1" si="8"/>
        <v>0</v>
      </c>
      <c r="AM57" s="345">
        <f t="shared" ca="1" si="8"/>
        <v>0</v>
      </c>
      <c r="AN57" s="345">
        <f t="shared" ca="1" si="8"/>
        <v>0</v>
      </c>
      <c r="AO57" s="345">
        <f t="shared" ca="1" si="8"/>
        <v>0</v>
      </c>
      <c r="AP57" s="345">
        <f t="shared" ca="1" si="8"/>
        <v>0</v>
      </c>
      <c r="AQ57" s="345">
        <f t="shared" ca="1" si="8"/>
        <v>0</v>
      </c>
      <c r="AR57" s="345">
        <f t="shared" ca="1" si="8"/>
        <v>0</v>
      </c>
      <c r="AS57" s="345">
        <f t="shared" ca="1" si="8"/>
        <v>0</v>
      </c>
      <c r="AT57" s="345">
        <f t="shared" ca="1" si="8"/>
        <v>0</v>
      </c>
      <c r="AU57" s="345">
        <f t="shared" ca="1" si="8"/>
        <v>0</v>
      </c>
      <c r="AV57" s="345">
        <f t="shared" ca="1" si="8"/>
        <v>0</v>
      </c>
      <c r="AW57" s="345">
        <f t="shared" ca="1" si="8"/>
        <v>0</v>
      </c>
      <c r="AX57" s="345">
        <f t="shared" ca="1" si="8"/>
        <v>0</v>
      </c>
      <c r="AY57" s="345">
        <f t="shared" ca="1" si="8"/>
        <v>0</v>
      </c>
      <c r="AZ57" s="345">
        <f t="shared" ca="1" si="8"/>
        <v>0</v>
      </c>
      <c r="BA57" s="345">
        <f t="shared" ca="1" si="8"/>
        <v>0</v>
      </c>
      <c r="BB57" s="345">
        <f t="shared" ca="1" si="8"/>
        <v>0</v>
      </c>
      <c r="BC57" s="345">
        <f t="shared" ca="1" si="8"/>
        <v>0</v>
      </c>
      <c r="BD57" s="345">
        <f t="shared" ca="1" si="8"/>
        <v>0</v>
      </c>
      <c r="BE57" s="345">
        <f t="shared" ca="1" si="8"/>
        <v>0</v>
      </c>
      <c r="BF57" s="345">
        <f t="shared" ca="1" si="8"/>
        <v>0</v>
      </c>
      <c r="BG57" s="345">
        <f t="shared" ca="1" si="8"/>
        <v>0</v>
      </c>
      <c r="BH57" s="345">
        <f t="shared" ca="1" si="8"/>
        <v>0</v>
      </c>
      <c r="BI57" s="345">
        <f t="shared" ca="1" si="8"/>
        <v>0</v>
      </c>
      <c r="BJ57" s="345"/>
    </row>
    <row r="58" spans="1:62" outlineLevel="1" x14ac:dyDescent="0.15">
      <c r="A58" s="355">
        <v>5</v>
      </c>
      <c r="B58" s="345" t="str">
        <f t="shared" ca="1" si="7"/>
        <v/>
      </c>
      <c r="C58" s="345" t="str">
        <f t="shared" ca="1" si="7"/>
        <v/>
      </c>
      <c r="D58" s="345" t="str">
        <f t="shared" ca="1" si="7"/>
        <v/>
      </c>
      <c r="E58" s="345" t="str">
        <f t="shared" ca="1" si="7"/>
        <v/>
      </c>
      <c r="F58" s="345">
        <f t="shared" ca="1" si="7"/>
        <v>0</v>
      </c>
      <c r="G58" s="345">
        <f t="shared" ca="1" si="7"/>
        <v>0</v>
      </c>
      <c r="H58" s="345">
        <f t="shared" ca="1" si="7"/>
        <v>0</v>
      </c>
      <c r="I58" s="345">
        <f t="shared" ca="1" si="7"/>
        <v>68125</v>
      </c>
      <c r="J58" s="345">
        <f t="shared" ca="1" si="7"/>
        <v>90387</v>
      </c>
      <c r="K58" s="345">
        <f t="shared" ca="1" si="7"/>
        <v>134825</v>
      </c>
      <c r="L58" s="345">
        <f t="shared" ca="1" si="7"/>
        <v>0</v>
      </c>
      <c r="M58" s="345">
        <f t="shared" ca="1" si="7"/>
        <v>0</v>
      </c>
      <c r="N58" s="345">
        <f t="shared" ca="1" si="7"/>
        <v>0</v>
      </c>
      <c r="O58" s="345">
        <f t="shared" ca="1" si="7"/>
        <v>0</v>
      </c>
      <c r="P58" s="345">
        <f t="shared" ca="1" si="7"/>
        <v>0</v>
      </c>
      <c r="Q58" s="345">
        <f t="shared" ca="1" si="7"/>
        <v>0</v>
      </c>
      <c r="R58" s="345">
        <f t="shared" ca="1" si="8"/>
        <v>0</v>
      </c>
      <c r="S58" s="345">
        <f t="shared" ca="1" si="8"/>
        <v>0</v>
      </c>
      <c r="T58" s="345">
        <f t="shared" ca="1" si="8"/>
        <v>0</v>
      </c>
      <c r="U58" s="345">
        <f t="shared" ca="1" si="8"/>
        <v>0</v>
      </c>
      <c r="V58" s="345">
        <f t="shared" ca="1" si="8"/>
        <v>0</v>
      </c>
      <c r="W58" s="345">
        <f t="shared" ca="1" si="8"/>
        <v>0</v>
      </c>
      <c r="X58" s="345">
        <f t="shared" ca="1" si="8"/>
        <v>0</v>
      </c>
      <c r="Y58" s="345">
        <f t="shared" ca="1" si="8"/>
        <v>0</v>
      </c>
      <c r="Z58" s="345">
        <f t="shared" ca="1" si="8"/>
        <v>0</v>
      </c>
      <c r="AA58" s="345">
        <f t="shared" ca="1" si="8"/>
        <v>0</v>
      </c>
      <c r="AB58" s="345">
        <f t="shared" ca="1" si="8"/>
        <v>0</v>
      </c>
      <c r="AC58" s="345">
        <f t="shared" ca="1" si="8"/>
        <v>0</v>
      </c>
      <c r="AD58" s="345">
        <f t="shared" ca="1" si="8"/>
        <v>0</v>
      </c>
      <c r="AE58" s="345">
        <f t="shared" ca="1" si="8"/>
        <v>0</v>
      </c>
      <c r="AF58" s="345">
        <f t="shared" ca="1" si="8"/>
        <v>0</v>
      </c>
      <c r="AG58" s="345">
        <f t="shared" ca="1" si="8"/>
        <v>0</v>
      </c>
      <c r="AH58" s="345">
        <f t="shared" ca="1" si="8"/>
        <v>0</v>
      </c>
      <c r="AI58" s="345">
        <f t="shared" ca="1" si="8"/>
        <v>0</v>
      </c>
      <c r="AJ58" s="345">
        <f t="shared" ca="1" si="8"/>
        <v>0</v>
      </c>
      <c r="AK58" s="345">
        <f t="shared" ca="1" si="8"/>
        <v>0</v>
      </c>
      <c r="AL58" s="345">
        <f t="shared" ca="1" si="8"/>
        <v>0</v>
      </c>
      <c r="AM58" s="345">
        <f t="shared" ca="1" si="8"/>
        <v>0</v>
      </c>
      <c r="AN58" s="345">
        <f t="shared" ca="1" si="8"/>
        <v>0</v>
      </c>
      <c r="AO58" s="345">
        <f t="shared" ca="1" si="8"/>
        <v>0</v>
      </c>
      <c r="AP58" s="345">
        <f t="shared" ca="1" si="8"/>
        <v>0</v>
      </c>
      <c r="AQ58" s="345">
        <f t="shared" ca="1" si="8"/>
        <v>0</v>
      </c>
      <c r="AR58" s="345">
        <f t="shared" ca="1" si="8"/>
        <v>0</v>
      </c>
      <c r="AS58" s="345">
        <f t="shared" ca="1" si="8"/>
        <v>0</v>
      </c>
      <c r="AT58" s="345">
        <f t="shared" ca="1" si="8"/>
        <v>0</v>
      </c>
      <c r="AU58" s="345">
        <f t="shared" ca="1" si="8"/>
        <v>0</v>
      </c>
      <c r="AV58" s="345">
        <f t="shared" ca="1" si="8"/>
        <v>0</v>
      </c>
      <c r="AW58" s="345">
        <f t="shared" ca="1" si="8"/>
        <v>0</v>
      </c>
      <c r="AX58" s="345">
        <f t="shared" ca="1" si="8"/>
        <v>0</v>
      </c>
      <c r="AY58" s="345">
        <f t="shared" ca="1" si="8"/>
        <v>0</v>
      </c>
      <c r="AZ58" s="345">
        <f t="shared" ca="1" si="8"/>
        <v>0</v>
      </c>
      <c r="BA58" s="345">
        <f t="shared" ca="1" si="8"/>
        <v>0</v>
      </c>
      <c r="BB58" s="345">
        <f t="shared" ca="1" si="8"/>
        <v>0</v>
      </c>
      <c r="BC58" s="345">
        <f t="shared" ca="1" si="8"/>
        <v>0</v>
      </c>
      <c r="BD58" s="345">
        <f t="shared" ca="1" si="8"/>
        <v>0</v>
      </c>
      <c r="BE58" s="345">
        <f t="shared" ca="1" si="8"/>
        <v>0</v>
      </c>
      <c r="BF58" s="345">
        <f t="shared" ca="1" si="8"/>
        <v>0</v>
      </c>
      <c r="BG58" s="345">
        <f t="shared" ca="1" si="8"/>
        <v>0</v>
      </c>
      <c r="BH58" s="345">
        <f t="shared" ca="1" si="8"/>
        <v>0</v>
      </c>
      <c r="BI58" s="345">
        <f t="shared" ca="1" si="8"/>
        <v>0</v>
      </c>
      <c r="BJ58" s="345"/>
    </row>
    <row r="59" spans="1:62" outlineLevel="1" x14ac:dyDescent="0.15">
      <c r="A59" s="355">
        <v>6</v>
      </c>
      <c r="B59" s="345" t="str">
        <f t="shared" ca="1" si="7"/>
        <v/>
      </c>
      <c r="C59" s="345" t="str">
        <f t="shared" ca="1" si="7"/>
        <v/>
      </c>
      <c r="D59" s="345" t="str">
        <f t="shared" ca="1" si="7"/>
        <v/>
      </c>
      <c r="E59" s="345" t="str">
        <f t="shared" ca="1" si="7"/>
        <v/>
      </c>
      <c r="F59" s="345" t="str">
        <f t="shared" ca="1" si="7"/>
        <v/>
      </c>
      <c r="G59" s="345">
        <f t="shared" ca="1" si="7"/>
        <v>0</v>
      </c>
      <c r="H59" s="345">
        <f t="shared" ca="1" si="7"/>
        <v>0</v>
      </c>
      <c r="I59" s="345">
        <f t="shared" ca="1" si="7"/>
        <v>0</v>
      </c>
      <c r="J59" s="345">
        <f t="shared" ca="1" si="7"/>
        <v>68125</v>
      </c>
      <c r="K59" s="345">
        <f t="shared" ca="1" si="7"/>
        <v>90387</v>
      </c>
      <c r="L59" s="345">
        <f t="shared" ca="1" si="7"/>
        <v>134825</v>
      </c>
      <c r="M59" s="345">
        <f t="shared" ca="1" si="7"/>
        <v>0</v>
      </c>
      <c r="N59" s="345">
        <f t="shared" ca="1" si="7"/>
        <v>0</v>
      </c>
      <c r="O59" s="345">
        <f t="shared" ca="1" si="7"/>
        <v>0</v>
      </c>
      <c r="P59" s="345">
        <f t="shared" ca="1" si="7"/>
        <v>0</v>
      </c>
      <c r="Q59" s="345">
        <f t="shared" ca="1" si="7"/>
        <v>0</v>
      </c>
      <c r="R59" s="345">
        <f t="shared" ca="1" si="8"/>
        <v>0</v>
      </c>
      <c r="S59" s="345">
        <f t="shared" ca="1" si="8"/>
        <v>0</v>
      </c>
      <c r="T59" s="345">
        <f t="shared" ca="1" si="8"/>
        <v>0</v>
      </c>
      <c r="U59" s="345">
        <f t="shared" ca="1" si="8"/>
        <v>0</v>
      </c>
      <c r="V59" s="345">
        <f t="shared" ca="1" si="8"/>
        <v>0</v>
      </c>
      <c r="W59" s="345">
        <f t="shared" ca="1" si="8"/>
        <v>0</v>
      </c>
      <c r="X59" s="345">
        <f t="shared" ca="1" si="8"/>
        <v>0</v>
      </c>
      <c r="Y59" s="345">
        <f t="shared" ca="1" si="8"/>
        <v>0</v>
      </c>
      <c r="Z59" s="345">
        <f t="shared" ca="1" si="8"/>
        <v>0</v>
      </c>
      <c r="AA59" s="345">
        <f t="shared" ca="1" si="8"/>
        <v>0</v>
      </c>
      <c r="AB59" s="345">
        <f t="shared" ca="1" si="8"/>
        <v>0</v>
      </c>
      <c r="AC59" s="345">
        <f t="shared" ca="1" si="8"/>
        <v>0</v>
      </c>
      <c r="AD59" s="345">
        <f t="shared" ca="1" si="8"/>
        <v>0</v>
      </c>
      <c r="AE59" s="345">
        <f t="shared" ca="1" si="8"/>
        <v>0</v>
      </c>
      <c r="AF59" s="345">
        <f t="shared" ca="1" si="8"/>
        <v>0</v>
      </c>
      <c r="AG59" s="345">
        <f t="shared" ca="1" si="8"/>
        <v>0</v>
      </c>
      <c r="AH59" s="345">
        <f t="shared" ca="1" si="8"/>
        <v>0</v>
      </c>
      <c r="AI59" s="345">
        <f t="shared" ca="1" si="8"/>
        <v>0</v>
      </c>
      <c r="AJ59" s="345">
        <f t="shared" ca="1" si="8"/>
        <v>0</v>
      </c>
      <c r="AK59" s="345">
        <f t="shared" ca="1" si="8"/>
        <v>0</v>
      </c>
      <c r="AL59" s="345">
        <f t="shared" ca="1" si="8"/>
        <v>0</v>
      </c>
      <c r="AM59" s="345">
        <f t="shared" ca="1" si="8"/>
        <v>0</v>
      </c>
      <c r="AN59" s="345">
        <f t="shared" ca="1" si="8"/>
        <v>0</v>
      </c>
      <c r="AO59" s="345">
        <f t="shared" ca="1" si="8"/>
        <v>0</v>
      </c>
      <c r="AP59" s="345">
        <f t="shared" ca="1" si="8"/>
        <v>0</v>
      </c>
      <c r="AQ59" s="345">
        <f t="shared" ca="1" si="8"/>
        <v>0</v>
      </c>
      <c r="AR59" s="345">
        <f t="shared" ca="1" si="8"/>
        <v>0</v>
      </c>
      <c r="AS59" s="345">
        <f t="shared" ca="1" si="8"/>
        <v>0</v>
      </c>
      <c r="AT59" s="345">
        <f t="shared" ca="1" si="8"/>
        <v>0</v>
      </c>
      <c r="AU59" s="345">
        <f t="shared" ca="1" si="8"/>
        <v>0</v>
      </c>
      <c r="AV59" s="345">
        <f t="shared" ca="1" si="8"/>
        <v>0</v>
      </c>
      <c r="AW59" s="345">
        <f t="shared" ca="1" si="8"/>
        <v>0</v>
      </c>
      <c r="AX59" s="345">
        <f t="shared" ca="1" si="8"/>
        <v>0</v>
      </c>
      <c r="AY59" s="345">
        <f t="shared" ca="1" si="8"/>
        <v>0</v>
      </c>
      <c r="AZ59" s="345">
        <f t="shared" ca="1" si="8"/>
        <v>0</v>
      </c>
      <c r="BA59" s="345">
        <f t="shared" ref="BA59:DG63" ca="1" si="9">IF($A59&gt;BA$5,"",OFFSET(BA$53,0,-($A59-1)))</f>
        <v>0</v>
      </c>
      <c r="BB59" s="345">
        <f t="shared" ca="1" si="9"/>
        <v>0</v>
      </c>
      <c r="BC59" s="345">
        <f t="shared" ca="1" si="9"/>
        <v>0</v>
      </c>
      <c r="BD59" s="345">
        <f t="shared" ca="1" si="9"/>
        <v>0</v>
      </c>
      <c r="BE59" s="345">
        <f t="shared" ca="1" si="9"/>
        <v>0</v>
      </c>
      <c r="BF59" s="345">
        <f t="shared" ca="1" si="9"/>
        <v>0</v>
      </c>
      <c r="BG59" s="345">
        <f t="shared" ca="1" si="9"/>
        <v>0</v>
      </c>
      <c r="BH59" s="345">
        <f t="shared" ca="1" si="9"/>
        <v>0</v>
      </c>
      <c r="BI59" s="345">
        <f t="shared" ca="1" si="9"/>
        <v>0</v>
      </c>
      <c r="BJ59" s="345"/>
    </row>
    <row r="60" spans="1:62" outlineLevel="1" x14ac:dyDescent="0.15">
      <c r="A60" s="355">
        <v>7</v>
      </c>
      <c r="B60" s="345" t="str">
        <f t="shared" ca="1" si="7"/>
        <v/>
      </c>
      <c r="C60" s="345" t="str">
        <f t="shared" ca="1" si="7"/>
        <v/>
      </c>
      <c r="D60" s="345" t="str">
        <f t="shared" ca="1" si="7"/>
        <v/>
      </c>
      <c r="E60" s="345" t="str">
        <f t="shared" ca="1" si="7"/>
        <v/>
      </c>
      <c r="F60" s="345" t="str">
        <f t="shared" ca="1" si="7"/>
        <v/>
      </c>
      <c r="G60" s="345" t="str">
        <f t="shared" ca="1" si="7"/>
        <v/>
      </c>
      <c r="H60" s="345">
        <f t="shared" ca="1" si="7"/>
        <v>0</v>
      </c>
      <c r="I60" s="345">
        <f t="shared" ca="1" si="7"/>
        <v>0</v>
      </c>
      <c r="J60" s="345">
        <f t="shared" ca="1" si="7"/>
        <v>0</v>
      </c>
      <c r="K60" s="345">
        <f t="shared" ca="1" si="7"/>
        <v>68125</v>
      </c>
      <c r="L60" s="345">
        <f t="shared" ca="1" si="7"/>
        <v>90387</v>
      </c>
      <c r="M60" s="345">
        <f t="shared" ca="1" si="7"/>
        <v>134825</v>
      </c>
      <c r="N60" s="345">
        <f t="shared" ca="1" si="7"/>
        <v>0</v>
      </c>
      <c r="O60" s="345">
        <f t="shared" ca="1" si="7"/>
        <v>0</v>
      </c>
      <c r="P60" s="345">
        <f t="shared" ca="1" si="7"/>
        <v>0</v>
      </c>
      <c r="Q60" s="345">
        <f t="shared" ca="1" si="7"/>
        <v>0</v>
      </c>
      <c r="R60" s="345">
        <f t="shared" ref="R60:BX65" ca="1" si="10">IF($A60&gt;R$5,"",OFFSET(R$53,0,-($A60-1)))</f>
        <v>0</v>
      </c>
      <c r="S60" s="345">
        <f t="shared" ca="1" si="10"/>
        <v>0</v>
      </c>
      <c r="T60" s="345">
        <f t="shared" ca="1" si="10"/>
        <v>0</v>
      </c>
      <c r="U60" s="345">
        <f t="shared" ca="1" si="10"/>
        <v>0</v>
      </c>
      <c r="V60" s="345">
        <f t="shared" ca="1" si="10"/>
        <v>0</v>
      </c>
      <c r="W60" s="345">
        <f t="shared" ca="1" si="10"/>
        <v>0</v>
      </c>
      <c r="X60" s="345">
        <f t="shared" ca="1" si="10"/>
        <v>0</v>
      </c>
      <c r="Y60" s="345">
        <f t="shared" ca="1" si="10"/>
        <v>0</v>
      </c>
      <c r="Z60" s="345">
        <f t="shared" ca="1" si="10"/>
        <v>0</v>
      </c>
      <c r="AA60" s="345">
        <f t="shared" ca="1" si="10"/>
        <v>0</v>
      </c>
      <c r="AB60" s="345">
        <f t="shared" ca="1" si="10"/>
        <v>0</v>
      </c>
      <c r="AC60" s="345">
        <f t="shared" ca="1" si="10"/>
        <v>0</v>
      </c>
      <c r="AD60" s="345">
        <f t="shared" ca="1" si="10"/>
        <v>0</v>
      </c>
      <c r="AE60" s="345">
        <f t="shared" ca="1" si="10"/>
        <v>0</v>
      </c>
      <c r="AF60" s="345">
        <f t="shared" ca="1" si="10"/>
        <v>0</v>
      </c>
      <c r="AG60" s="345">
        <f t="shared" ca="1" si="10"/>
        <v>0</v>
      </c>
      <c r="AH60" s="345">
        <f t="shared" ca="1" si="10"/>
        <v>0</v>
      </c>
      <c r="AI60" s="345">
        <f t="shared" ca="1" si="10"/>
        <v>0</v>
      </c>
      <c r="AJ60" s="345">
        <f t="shared" ca="1" si="10"/>
        <v>0</v>
      </c>
      <c r="AK60" s="345">
        <f t="shared" ca="1" si="10"/>
        <v>0</v>
      </c>
      <c r="AL60" s="345">
        <f t="shared" ca="1" si="10"/>
        <v>0</v>
      </c>
      <c r="AM60" s="345">
        <f t="shared" ca="1" si="10"/>
        <v>0</v>
      </c>
      <c r="AN60" s="345">
        <f t="shared" ca="1" si="10"/>
        <v>0</v>
      </c>
      <c r="AO60" s="345">
        <f t="shared" ca="1" si="10"/>
        <v>0</v>
      </c>
      <c r="AP60" s="345">
        <f t="shared" ca="1" si="10"/>
        <v>0</v>
      </c>
      <c r="AQ60" s="345">
        <f t="shared" ca="1" si="10"/>
        <v>0</v>
      </c>
      <c r="AR60" s="345">
        <f t="shared" ca="1" si="10"/>
        <v>0</v>
      </c>
      <c r="AS60" s="345">
        <f t="shared" ca="1" si="10"/>
        <v>0</v>
      </c>
      <c r="AT60" s="345">
        <f t="shared" ca="1" si="10"/>
        <v>0</v>
      </c>
      <c r="AU60" s="345">
        <f t="shared" ca="1" si="10"/>
        <v>0</v>
      </c>
      <c r="AV60" s="345">
        <f t="shared" ca="1" si="10"/>
        <v>0</v>
      </c>
      <c r="AW60" s="345">
        <f t="shared" ca="1" si="10"/>
        <v>0</v>
      </c>
      <c r="AX60" s="345">
        <f t="shared" ca="1" si="10"/>
        <v>0</v>
      </c>
      <c r="AY60" s="345">
        <f t="shared" ca="1" si="10"/>
        <v>0</v>
      </c>
      <c r="AZ60" s="345">
        <f t="shared" ca="1" si="10"/>
        <v>0</v>
      </c>
      <c r="BA60" s="345">
        <f t="shared" ca="1" si="10"/>
        <v>0</v>
      </c>
      <c r="BB60" s="345">
        <f t="shared" ca="1" si="10"/>
        <v>0</v>
      </c>
      <c r="BC60" s="345">
        <f t="shared" ca="1" si="10"/>
        <v>0</v>
      </c>
      <c r="BD60" s="345">
        <f t="shared" ca="1" si="10"/>
        <v>0</v>
      </c>
      <c r="BE60" s="345">
        <f t="shared" ca="1" si="10"/>
        <v>0</v>
      </c>
      <c r="BF60" s="345">
        <f t="shared" ca="1" si="10"/>
        <v>0</v>
      </c>
      <c r="BG60" s="345">
        <f t="shared" ca="1" si="10"/>
        <v>0</v>
      </c>
      <c r="BH60" s="345">
        <f t="shared" ca="1" si="10"/>
        <v>0</v>
      </c>
      <c r="BI60" s="345">
        <f t="shared" ca="1" si="10"/>
        <v>0</v>
      </c>
      <c r="BJ60" s="345"/>
    </row>
    <row r="61" spans="1:62" outlineLevel="1" x14ac:dyDescent="0.15">
      <c r="A61" s="355">
        <v>8</v>
      </c>
      <c r="B61" s="345" t="str">
        <f t="shared" ca="1" si="7"/>
        <v/>
      </c>
      <c r="C61" s="345" t="str">
        <f t="shared" ca="1" si="7"/>
        <v/>
      </c>
      <c r="D61" s="345" t="str">
        <f t="shared" ca="1" si="7"/>
        <v/>
      </c>
      <c r="E61" s="345" t="str">
        <f t="shared" ca="1" si="7"/>
        <v/>
      </c>
      <c r="F61" s="345" t="str">
        <f t="shared" ca="1" si="7"/>
        <v/>
      </c>
      <c r="G61" s="345" t="str">
        <f t="shared" ca="1" si="7"/>
        <v/>
      </c>
      <c r="H61" s="345" t="str">
        <f t="shared" ca="1" si="7"/>
        <v/>
      </c>
      <c r="I61" s="345">
        <f t="shared" ca="1" si="7"/>
        <v>0</v>
      </c>
      <c r="J61" s="345">
        <f t="shared" ca="1" si="7"/>
        <v>0</v>
      </c>
      <c r="K61" s="345">
        <f t="shared" ca="1" si="7"/>
        <v>0</v>
      </c>
      <c r="L61" s="345">
        <f t="shared" ca="1" si="7"/>
        <v>68125</v>
      </c>
      <c r="M61" s="345">
        <f t="shared" ca="1" si="7"/>
        <v>90387</v>
      </c>
      <c r="N61" s="345">
        <f t="shared" ca="1" si="7"/>
        <v>134825</v>
      </c>
      <c r="O61" s="345">
        <f t="shared" ca="1" si="7"/>
        <v>0</v>
      </c>
      <c r="P61" s="345">
        <f t="shared" ca="1" si="7"/>
        <v>0</v>
      </c>
      <c r="Q61" s="345">
        <f t="shared" ca="1" si="7"/>
        <v>0</v>
      </c>
      <c r="R61" s="345">
        <f t="shared" ca="1" si="10"/>
        <v>0</v>
      </c>
      <c r="S61" s="345">
        <f t="shared" ca="1" si="10"/>
        <v>0</v>
      </c>
      <c r="T61" s="345">
        <f t="shared" ca="1" si="10"/>
        <v>0</v>
      </c>
      <c r="U61" s="345">
        <f t="shared" ca="1" si="10"/>
        <v>0</v>
      </c>
      <c r="V61" s="345">
        <f t="shared" ca="1" si="10"/>
        <v>0</v>
      </c>
      <c r="W61" s="345">
        <f t="shared" ca="1" si="10"/>
        <v>0</v>
      </c>
      <c r="X61" s="345">
        <f t="shared" ca="1" si="10"/>
        <v>0</v>
      </c>
      <c r="Y61" s="345">
        <f t="shared" ca="1" si="10"/>
        <v>0</v>
      </c>
      <c r="Z61" s="345">
        <f t="shared" ca="1" si="10"/>
        <v>0</v>
      </c>
      <c r="AA61" s="345">
        <f t="shared" ca="1" si="10"/>
        <v>0</v>
      </c>
      <c r="AB61" s="345">
        <f t="shared" ca="1" si="10"/>
        <v>0</v>
      </c>
      <c r="AC61" s="345">
        <f t="shared" ca="1" si="10"/>
        <v>0</v>
      </c>
      <c r="AD61" s="345">
        <f t="shared" ca="1" si="10"/>
        <v>0</v>
      </c>
      <c r="AE61" s="345">
        <f t="shared" ca="1" si="10"/>
        <v>0</v>
      </c>
      <c r="AF61" s="345">
        <f t="shared" ca="1" si="10"/>
        <v>0</v>
      </c>
      <c r="AG61" s="345">
        <f t="shared" ca="1" si="10"/>
        <v>0</v>
      </c>
      <c r="AH61" s="345">
        <f t="shared" ca="1" si="10"/>
        <v>0</v>
      </c>
      <c r="AI61" s="345">
        <f t="shared" ca="1" si="10"/>
        <v>0</v>
      </c>
      <c r="AJ61" s="345">
        <f t="shared" ca="1" si="10"/>
        <v>0</v>
      </c>
      <c r="AK61" s="345">
        <f t="shared" ca="1" si="10"/>
        <v>0</v>
      </c>
      <c r="AL61" s="345">
        <f t="shared" ca="1" si="10"/>
        <v>0</v>
      </c>
      <c r="AM61" s="345">
        <f t="shared" ca="1" si="10"/>
        <v>0</v>
      </c>
      <c r="AN61" s="345">
        <f t="shared" ca="1" si="10"/>
        <v>0</v>
      </c>
      <c r="AO61" s="345">
        <f t="shared" ca="1" si="10"/>
        <v>0</v>
      </c>
      <c r="AP61" s="345">
        <f t="shared" ca="1" si="10"/>
        <v>0</v>
      </c>
      <c r="AQ61" s="345">
        <f t="shared" ca="1" si="10"/>
        <v>0</v>
      </c>
      <c r="AR61" s="345">
        <f t="shared" ca="1" si="10"/>
        <v>0</v>
      </c>
      <c r="AS61" s="345">
        <f t="shared" ca="1" si="10"/>
        <v>0</v>
      </c>
      <c r="AT61" s="345">
        <f t="shared" ca="1" si="10"/>
        <v>0</v>
      </c>
      <c r="AU61" s="345">
        <f t="shared" ca="1" si="10"/>
        <v>0</v>
      </c>
      <c r="AV61" s="345">
        <f t="shared" ca="1" si="10"/>
        <v>0</v>
      </c>
      <c r="AW61" s="345">
        <f t="shared" ca="1" si="10"/>
        <v>0</v>
      </c>
      <c r="AX61" s="345">
        <f t="shared" ca="1" si="10"/>
        <v>0</v>
      </c>
      <c r="AY61" s="345">
        <f t="shared" ca="1" si="10"/>
        <v>0</v>
      </c>
      <c r="AZ61" s="345">
        <f t="shared" ca="1" si="10"/>
        <v>0</v>
      </c>
      <c r="BA61" s="345">
        <f t="shared" ca="1" si="10"/>
        <v>0</v>
      </c>
      <c r="BB61" s="345">
        <f t="shared" ca="1" si="10"/>
        <v>0</v>
      </c>
      <c r="BC61" s="345">
        <f t="shared" ca="1" si="10"/>
        <v>0</v>
      </c>
      <c r="BD61" s="345">
        <f t="shared" ca="1" si="10"/>
        <v>0</v>
      </c>
      <c r="BE61" s="345">
        <f t="shared" ca="1" si="10"/>
        <v>0</v>
      </c>
      <c r="BF61" s="345">
        <f t="shared" ca="1" si="10"/>
        <v>0</v>
      </c>
      <c r="BG61" s="345">
        <f t="shared" ca="1" si="10"/>
        <v>0</v>
      </c>
      <c r="BH61" s="345">
        <f t="shared" ca="1" si="10"/>
        <v>0</v>
      </c>
      <c r="BI61" s="345">
        <f t="shared" ca="1" si="10"/>
        <v>0</v>
      </c>
      <c r="BJ61" s="345"/>
    </row>
    <row r="62" spans="1:62" outlineLevel="1" x14ac:dyDescent="0.15">
      <c r="A62" s="355">
        <v>9</v>
      </c>
      <c r="B62" s="345" t="str">
        <f t="shared" ca="1" si="7"/>
        <v/>
      </c>
      <c r="C62" s="345" t="str">
        <f t="shared" ca="1" si="7"/>
        <v/>
      </c>
      <c r="D62" s="345" t="str">
        <f t="shared" ca="1" si="7"/>
        <v/>
      </c>
      <c r="E62" s="345" t="str">
        <f t="shared" ca="1" si="7"/>
        <v/>
      </c>
      <c r="F62" s="345" t="str">
        <f t="shared" ca="1" si="7"/>
        <v/>
      </c>
      <c r="G62" s="345" t="str">
        <f t="shared" ca="1" si="7"/>
        <v/>
      </c>
      <c r="H62" s="345" t="str">
        <f t="shared" ca="1" si="7"/>
        <v/>
      </c>
      <c r="I62" s="345" t="str">
        <f t="shared" ca="1" si="7"/>
        <v/>
      </c>
      <c r="J62" s="345">
        <f t="shared" ca="1" si="7"/>
        <v>0</v>
      </c>
      <c r="K62" s="345">
        <f t="shared" ca="1" si="7"/>
        <v>0</v>
      </c>
      <c r="L62" s="345">
        <f t="shared" ca="1" si="7"/>
        <v>0</v>
      </c>
      <c r="M62" s="345">
        <f t="shared" ca="1" si="7"/>
        <v>68125</v>
      </c>
      <c r="N62" s="345">
        <f t="shared" ca="1" si="7"/>
        <v>90387</v>
      </c>
      <c r="O62" s="345">
        <f t="shared" ca="1" si="7"/>
        <v>134825</v>
      </c>
      <c r="P62" s="345">
        <f t="shared" ca="1" si="7"/>
        <v>0</v>
      </c>
      <c r="Q62" s="345">
        <f t="shared" ca="1" si="7"/>
        <v>0</v>
      </c>
      <c r="R62" s="345">
        <f t="shared" ca="1" si="10"/>
        <v>0</v>
      </c>
      <c r="S62" s="345">
        <f t="shared" ca="1" si="10"/>
        <v>0</v>
      </c>
      <c r="T62" s="345">
        <f t="shared" ca="1" si="10"/>
        <v>0</v>
      </c>
      <c r="U62" s="345">
        <f t="shared" ca="1" si="10"/>
        <v>0</v>
      </c>
      <c r="V62" s="345">
        <f t="shared" ca="1" si="10"/>
        <v>0</v>
      </c>
      <c r="W62" s="345">
        <f t="shared" ca="1" si="10"/>
        <v>0</v>
      </c>
      <c r="X62" s="345">
        <f t="shared" ca="1" si="10"/>
        <v>0</v>
      </c>
      <c r="Y62" s="345">
        <f t="shared" ca="1" si="10"/>
        <v>0</v>
      </c>
      <c r="Z62" s="345">
        <f t="shared" ca="1" si="10"/>
        <v>0</v>
      </c>
      <c r="AA62" s="345">
        <f t="shared" ca="1" si="10"/>
        <v>0</v>
      </c>
      <c r="AB62" s="345">
        <f t="shared" ca="1" si="10"/>
        <v>0</v>
      </c>
      <c r="AC62" s="345">
        <f t="shared" ca="1" si="10"/>
        <v>0</v>
      </c>
      <c r="AD62" s="345">
        <f t="shared" ca="1" si="10"/>
        <v>0</v>
      </c>
      <c r="AE62" s="345">
        <f t="shared" ca="1" si="10"/>
        <v>0</v>
      </c>
      <c r="AF62" s="345">
        <f t="shared" ca="1" si="10"/>
        <v>0</v>
      </c>
      <c r="AG62" s="345">
        <f t="shared" ca="1" si="10"/>
        <v>0</v>
      </c>
      <c r="AH62" s="345">
        <f t="shared" ca="1" si="10"/>
        <v>0</v>
      </c>
      <c r="AI62" s="345">
        <f t="shared" ca="1" si="10"/>
        <v>0</v>
      </c>
      <c r="AJ62" s="345">
        <f t="shared" ca="1" si="10"/>
        <v>0</v>
      </c>
      <c r="AK62" s="345">
        <f t="shared" ca="1" si="10"/>
        <v>0</v>
      </c>
      <c r="AL62" s="345">
        <f t="shared" ca="1" si="10"/>
        <v>0</v>
      </c>
      <c r="AM62" s="345">
        <f t="shared" ca="1" si="10"/>
        <v>0</v>
      </c>
      <c r="AN62" s="345">
        <f t="shared" ca="1" si="10"/>
        <v>0</v>
      </c>
      <c r="AO62" s="345">
        <f t="shared" ca="1" si="10"/>
        <v>0</v>
      </c>
      <c r="AP62" s="345">
        <f t="shared" ca="1" si="10"/>
        <v>0</v>
      </c>
      <c r="AQ62" s="345">
        <f t="shared" ca="1" si="10"/>
        <v>0</v>
      </c>
      <c r="AR62" s="345">
        <f t="shared" ca="1" si="10"/>
        <v>0</v>
      </c>
      <c r="AS62" s="345">
        <f t="shared" ca="1" si="10"/>
        <v>0</v>
      </c>
      <c r="AT62" s="345">
        <f t="shared" ca="1" si="10"/>
        <v>0</v>
      </c>
      <c r="AU62" s="345">
        <f t="shared" ca="1" si="10"/>
        <v>0</v>
      </c>
      <c r="AV62" s="345">
        <f t="shared" ca="1" si="10"/>
        <v>0</v>
      </c>
      <c r="AW62" s="345">
        <f t="shared" ca="1" si="10"/>
        <v>0</v>
      </c>
      <c r="AX62" s="345">
        <f t="shared" ca="1" si="10"/>
        <v>0</v>
      </c>
      <c r="AY62" s="345">
        <f t="shared" ca="1" si="10"/>
        <v>0</v>
      </c>
      <c r="AZ62" s="345">
        <f t="shared" ca="1" si="10"/>
        <v>0</v>
      </c>
      <c r="BA62" s="345">
        <f t="shared" ca="1" si="10"/>
        <v>0</v>
      </c>
      <c r="BB62" s="345">
        <f t="shared" ca="1" si="10"/>
        <v>0</v>
      </c>
      <c r="BC62" s="345">
        <f t="shared" ca="1" si="10"/>
        <v>0</v>
      </c>
      <c r="BD62" s="345">
        <f t="shared" ca="1" si="10"/>
        <v>0</v>
      </c>
      <c r="BE62" s="345">
        <f t="shared" ca="1" si="10"/>
        <v>0</v>
      </c>
      <c r="BF62" s="345">
        <f t="shared" ca="1" si="10"/>
        <v>0</v>
      </c>
      <c r="BG62" s="345">
        <f t="shared" ca="1" si="10"/>
        <v>0</v>
      </c>
      <c r="BH62" s="345">
        <f t="shared" ca="1" si="10"/>
        <v>0</v>
      </c>
      <c r="BI62" s="345">
        <f t="shared" ca="1" si="10"/>
        <v>0</v>
      </c>
      <c r="BJ62" s="345"/>
    </row>
    <row r="63" spans="1:62" outlineLevel="1" x14ac:dyDescent="0.15">
      <c r="A63" s="355">
        <v>10</v>
      </c>
      <c r="B63" s="345" t="str">
        <f t="shared" ca="1" si="7"/>
        <v/>
      </c>
      <c r="C63" s="345" t="str">
        <f t="shared" ca="1" si="7"/>
        <v/>
      </c>
      <c r="D63" s="345" t="str">
        <f t="shared" ca="1" si="7"/>
        <v/>
      </c>
      <c r="E63" s="345" t="str">
        <f t="shared" ca="1" si="7"/>
        <v/>
      </c>
      <c r="F63" s="345" t="str">
        <f t="shared" ca="1" si="7"/>
        <v/>
      </c>
      <c r="G63" s="345" t="str">
        <f t="shared" ca="1" si="7"/>
        <v/>
      </c>
      <c r="H63" s="345" t="str">
        <f t="shared" ca="1" si="7"/>
        <v/>
      </c>
      <c r="I63" s="345" t="str">
        <f t="shared" ca="1" si="7"/>
        <v/>
      </c>
      <c r="J63" s="345" t="str">
        <f t="shared" ca="1" si="7"/>
        <v/>
      </c>
      <c r="K63" s="345">
        <f t="shared" ca="1" si="7"/>
        <v>0</v>
      </c>
      <c r="L63" s="345">
        <f t="shared" ca="1" si="7"/>
        <v>0</v>
      </c>
      <c r="M63" s="345">
        <f t="shared" ca="1" si="7"/>
        <v>0</v>
      </c>
      <c r="N63" s="345">
        <f t="shared" ca="1" si="7"/>
        <v>68125</v>
      </c>
      <c r="O63" s="345">
        <f t="shared" ca="1" si="7"/>
        <v>90387</v>
      </c>
      <c r="P63" s="345">
        <f t="shared" ca="1" si="7"/>
        <v>134825</v>
      </c>
      <c r="Q63" s="345">
        <f t="shared" ca="1" si="7"/>
        <v>0</v>
      </c>
      <c r="R63" s="345">
        <f t="shared" ca="1" si="10"/>
        <v>0</v>
      </c>
      <c r="S63" s="345">
        <f t="shared" ca="1" si="10"/>
        <v>0</v>
      </c>
      <c r="T63" s="345">
        <f t="shared" ca="1" si="10"/>
        <v>0</v>
      </c>
      <c r="U63" s="345">
        <f t="shared" ca="1" si="10"/>
        <v>0</v>
      </c>
      <c r="V63" s="345">
        <f t="shared" ca="1" si="10"/>
        <v>0</v>
      </c>
      <c r="W63" s="345">
        <f t="shared" ca="1" si="10"/>
        <v>0</v>
      </c>
      <c r="X63" s="345">
        <f t="shared" ca="1" si="10"/>
        <v>0</v>
      </c>
      <c r="Y63" s="345">
        <f t="shared" ca="1" si="10"/>
        <v>0</v>
      </c>
      <c r="Z63" s="345">
        <f t="shared" ca="1" si="10"/>
        <v>0</v>
      </c>
      <c r="AA63" s="345">
        <f t="shared" ca="1" si="10"/>
        <v>0</v>
      </c>
      <c r="AB63" s="345">
        <f t="shared" ca="1" si="10"/>
        <v>0</v>
      </c>
      <c r="AC63" s="345">
        <f t="shared" ca="1" si="10"/>
        <v>0</v>
      </c>
      <c r="AD63" s="345">
        <f t="shared" ca="1" si="10"/>
        <v>0</v>
      </c>
      <c r="AE63" s="345">
        <f t="shared" ca="1" si="10"/>
        <v>0</v>
      </c>
      <c r="AF63" s="345">
        <f t="shared" ca="1" si="10"/>
        <v>0</v>
      </c>
      <c r="AG63" s="345">
        <f t="shared" ca="1" si="10"/>
        <v>0</v>
      </c>
      <c r="AH63" s="345">
        <f t="shared" ca="1" si="10"/>
        <v>0</v>
      </c>
      <c r="AI63" s="345">
        <f t="shared" ca="1" si="10"/>
        <v>0</v>
      </c>
      <c r="AJ63" s="345">
        <f t="shared" ca="1" si="10"/>
        <v>0</v>
      </c>
      <c r="AK63" s="345">
        <f t="shared" ca="1" si="10"/>
        <v>0</v>
      </c>
      <c r="AL63" s="345">
        <f t="shared" ca="1" si="10"/>
        <v>0</v>
      </c>
      <c r="AM63" s="345">
        <f t="shared" ca="1" si="10"/>
        <v>0</v>
      </c>
      <c r="AN63" s="345">
        <f t="shared" ca="1" si="10"/>
        <v>0</v>
      </c>
      <c r="AO63" s="345">
        <f t="shared" ca="1" si="10"/>
        <v>0</v>
      </c>
      <c r="AP63" s="345">
        <f t="shared" ca="1" si="10"/>
        <v>0</v>
      </c>
      <c r="AQ63" s="345">
        <f t="shared" ca="1" si="10"/>
        <v>0</v>
      </c>
      <c r="AR63" s="345">
        <f t="shared" ca="1" si="10"/>
        <v>0</v>
      </c>
      <c r="AS63" s="345">
        <f t="shared" ca="1" si="10"/>
        <v>0</v>
      </c>
      <c r="AT63" s="345">
        <f t="shared" ca="1" si="10"/>
        <v>0</v>
      </c>
      <c r="AU63" s="345">
        <f t="shared" ca="1" si="10"/>
        <v>0</v>
      </c>
      <c r="AV63" s="345">
        <f t="shared" ca="1" si="10"/>
        <v>0</v>
      </c>
      <c r="AW63" s="345">
        <f t="shared" ca="1" si="10"/>
        <v>0</v>
      </c>
      <c r="AX63" s="345">
        <f t="shared" ca="1" si="10"/>
        <v>0</v>
      </c>
      <c r="AY63" s="345">
        <f t="shared" ca="1" si="10"/>
        <v>0</v>
      </c>
      <c r="AZ63" s="345">
        <f t="shared" ca="1" si="10"/>
        <v>0</v>
      </c>
      <c r="BA63" s="345">
        <f t="shared" ca="1" si="10"/>
        <v>0</v>
      </c>
      <c r="BB63" s="345">
        <f t="shared" ca="1" si="10"/>
        <v>0</v>
      </c>
      <c r="BC63" s="345">
        <f t="shared" ca="1" si="10"/>
        <v>0</v>
      </c>
      <c r="BD63" s="345">
        <f t="shared" ca="1" si="10"/>
        <v>0</v>
      </c>
      <c r="BE63" s="345">
        <f t="shared" ca="1" si="10"/>
        <v>0</v>
      </c>
      <c r="BF63" s="345">
        <f t="shared" ca="1" si="10"/>
        <v>0</v>
      </c>
      <c r="BG63" s="345">
        <f t="shared" ca="1" si="10"/>
        <v>0</v>
      </c>
      <c r="BH63" s="345">
        <f t="shared" ca="1" si="10"/>
        <v>0</v>
      </c>
      <c r="BI63" s="345">
        <f t="shared" ca="1" si="10"/>
        <v>0</v>
      </c>
    </row>
    <row r="64" spans="1:62" outlineLevel="1" x14ac:dyDescent="0.15">
      <c r="A64" s="355">
        <v>11</v>
      </c>
      <c r="B64" s="345" t="str">
        <f t="shared" ca="1" si="7"/>
        <v/>
      </c>
      <c r="C64" s="345" t="str">
        <f t="shared" ca="1" si="7"/>
        <v/>
      </c>
      <c r="D64" s="345" t="str">
        <f t="shared" ca="1" si="7"/>
        <v/>
      </c>
      <c r="E64" s="345" t="str">
        <f t="shared" ca="1" si="7"/>
        <v/>
      </c>
      <c r="F64" s="345" t="str">
        <f t="shared" ca="1" si="7"/>
        <v/>
      </c>
      <c r="G64" s="345" t="str">
        <f t="shared" ca="1" si="7"/>
        <v/>
      </c>
      <c r="H64" s="345" t="str">
        <f t="shared" ca="1" si="7"/>
        <v/>
      </c>
      <c r="I64" s="345" t="str">
        <f t="shared" ca="1" si="7"/>
        <v/>
      </c>
      <c r="J64" s="345" t="str">
        <f t="shared" ca="1" si="7"/>
        <v/>
      </c>
      <c r="K64" s="345" t="str">
        <f t="shared" ca="1" si="7"/>
        <v/>
      </c>
      <c r="L64" s="345">
        <f t="shared" ca="1" si="7"/>
        <v>0</v>
      </c>
      <c r="M64" s="345">
        <f t="shared" ca="1" si="7"/>
        <v>0</v>
      </c>
      <c r="N64" s="345">
        <f t="shared" ca="1" si="7"/>
        <v>0</v>
      </c>
      <c r="O64" s="345">
        <f t="shared" ca="1" si="7"/>
        <v>68125</v>
      </c>
      <c r="P64" s="345">
        <f t="shared" ca="1" si="7"/>
        <v>90387</v>
      </c>
      <c r="Q64" s="345">
        <f t="shared" ca="1" si="7"/>
        <v>134825</v>
      </c>
      <c r="R64" s="345">
        <f t="shared" ca="1" si="10"/>
        <v>0</v>
      </c>
      <c r="S64" s="345">
        <f t="shared" ca="1" si="10"/>
        <v>0</v>
      </c>
      <c r="T64" s="345">
        <f t="shared" ca="1" si="10"/>
        <v>0</v>
      </c>
      <c r="U64" s="345">
        <f t="shared" ca="1" si="10"/>
        <v>0</v>
      </c>
      <c r="V64" s="345">
        <f t="shared" ca="1" si="10"/>
        <v>0</v>
      </c>
      <c r="W64" s="345">
        <f t="shared" ca="1" si="10"/>
        <v>0</v>
      </c>
      <c r="X64" s="345">
        <f t="shared" ca="1" si="10"/>
        <v>0</v>
      </c>
      <c r="Y64" s="345">
        <f t="shared" ca="1" si="10"/>
        <v>0</v>
      </c>
      <c r="Z64" s="345">
        <f t="shared" ca="1" si="10"/>
        <v>0</v>
      </c>
      <c r="AA64" s="345">
        <f t="shared" ca="1" si="10"/>
        <v>0</v>
      </c>
      <c r="AB64" s="345">
        <f t="shared" ca="1" si="10"/>
        <v>0</v>
      </c>
      <c r="AC64" s="345">
        <f t="shared" ca="1" si="10"/>
        <v>0</v>
      </c>
      <c r="AD64" s="345">
        <f t="shared" ca="1" si="10"/>
        <v>0</v>
      </c>
      <c r="AE64" s="345">
        <f t="shared" ca="1" si="10"/>
        <v>0</v>
      </c>
      <c r="AF64" s="345">
        <f t="shared" ca="1" si="10"/>
        <v>0</v>
      </c>
      <c r="AG64" s="345">
        <f t="shared" ca="1" si="10"/>
        <v>0</v>
      </c>
      <c r="AH64" s="345">
        <f t="shared" ca="1" si="10"/>
        <v>0</v>
      </c>
      <c r="AI64" s="345">
        <f t="shared" ca="1" si="10"/>
        <v>0</v>
      </c>
      <c r="AJ64" s="345">
        <f t="shared" ca="1" si="10"/>
        <v>0</v>
      </c>
      <c r="AK64" s="345">
        <f t="shared" ca="1" si="10"/>
        <v>0</v>
      </c>
      <c r="AL64" s="345">
        <f t="shared" ca="1" si="10"/>
        <v>0</v>
      </c>
      <c r="AM64" s="345">
        <f t="shared" ca="1" si="10"/>
        <v>0</v>
      </c>
      <c r="AN64" s="345">
        <f t="shared" ca="1" si="10"/>
        <v>0</v>
      </c>
      <c r="AO64" s="345">
        <f t="shared" ca="1" si="10"/>
        <v>0</v>
      </c>
      <c r="AP64" s="345">
        <f t="shared" ca="1" si="10"/>
        <v>0</v>
      </c>
      <c r="AQ64" s="345">
        <f t="shared" ca="1" si="10"/>
        <v>0</v>
      </c>
      <c r="AR64" s="345">
        <f t="shared" ca="1" si="10"/>
        <v>0</v>
      </c>
      <c r="AS64" s="345">
        <f t="shared" ca="1" si="10"/>
        <v>0</v>
      </c>
      <c r="AT64" s="345">
        <f t="shared" ca="1" si="10"/>
        <v>0</v>
      </c>
      <c r="AU64" s="345">
        <f t="shared" ca="1" si="10"/>
        <v>0</v>
      </c>
      <c r="AV64" s="345">
        <f t="shared" ca="1" si="10"/>
        <v>0</v>
      </c>
      <c r="AW64" s="345">
        <f t="shared" ca="1" si="10"/>
        <v>0</v>
      </c>
      <c r="AX64" s="345">
        <f t="shared" ca="1" si="10"/>
        <v>0</v>
      </c>
      <c r="AY64" s="345">
        <f t="shared" ca="1" si="10"/>
        <v>0</v>
      </c>
      <c r="AZ64" s="345">
        <f t="shared" ca="1" si="10"/>
        <v>0</v>
      </c>
      <c r="BA64" s="345">
        <f t="shared" ca="1" si="10"/>
        <v>0</v>
      </c>
      <c r="BB64" s="345">
        <f t="shared" ca="1" si="10"/>
        <v>0</v>
      </c>
      <c r="BC64" s="345">
        <f t="shared" ca="1" si="10"/>
        <v>0</v>
      </c>
      <c r="BD64" s="345">
        <f t="shared" ca="1" si="10"/>
        <v>0</v>
      </c>
      <c r="BE64" s="345">
        <f t="shared" ca="1" si="10"/>
        <v>0</v>
      </c>
      <c r="BF64" s="345">
        <f t="shared" ca="1" si="10"/>
        <v>0</v>
      </c>
      <c r="BG64" s="345">
        <f t="shared" ca="1" si="10"/>
        <v>0</v>
      </c>
      <c r="BH64" s="345">
        <f t="shared" ca="1" si="10"/>
        <v>0</v>
      </c>
      <c r="BI64" s="345">
        <f t="shared" ca="1" si="10"/>
        <v>0</v>
      </c>
    </row>
    <row r="65" spans="1:61" outlineLevel="1" x14ac:dyDescent="0.15">
      <c r="A65" s="355">
        <v>12</v>
      </c>
      <c r="B65" s="345" t="str">
        <f t="shared" ca="1" si="7"/>
        <v/>
      </c>
      <c r="C65" s="345" t="str">
        <f t="shared" ca="1" si="7"/>
        <v/>
      </c>
      <c r="D65" s="345" t="str">
        <f t="shared" ca="1" si="7"/>
        <v/>
      </c>
      <c r="E65" s="345" t="str">
        <f t="shared" ca="1" si="7"/>
        <v/>
      </c>
      <c r="F65" s="345" t="str">
        <f t="shared" ca="1" si="7"/>
        <v/>
      </c>
      <c r="G65" s="345" t="str">
        <f t="shared" ca="1" si="7"/>
        <v/>
      </c>
      <c r="H65" s="345" t="str">
        <f t="shared" ca="1" si="7"/>
        <v/>
      </c>
      <c r="I65" s="345" t="str">
        <f t="shared" ca="1" si="7"/>
        <v/>
      </c>
      <c r="J65" s="345" t="str">
        <f t="shared" ca="1" si="7"/>
        <v/>
      </c>
      <c r="K65" s="345" t="str">
        <f t="shared" ca="1" si="7"/>
        <v/>
      </c>
      <c r="L65" s="345" t="str">
        <f t="shared" ca="1" si="7"/>
        <v/>
      </c>
      <c r="M65" s="345">
        <f t="shared" ca="1" si="7"/>
        <v>0</v>
      </c>
      <c r="N65" s="345">
        <f t="shared" ca="1" si="7"/>
        <v>0</v>
      </c>
      <c r="O65" s="345">
        <f t="shared" ca="1" si="7"/>
        <v>0</v>
      </c>
      <c r="P65" s="345">
        <f t="shared" ca="1" si="7"/>
        <v>68125</v>
      </c>
      <c r="Q65" s="345">
        <f t="shared" ca="1" si="7"/>
        <v>90387</v>
      </c>
      <c r="R65" s="345">
        <f t="shared" ca="1" si="10"/>
        <v>134825</v>
      </c>
      <c r="S65" s="345">
        <f t="shared" ca="1" si="10"/>
        <v>0</v>
      </c>
      <c r="T65" s="345">
        <f t="shared" ca="1" si="10"/>
        <v>0</v>
      </c>
      <c r="U65" s="345">
        <f t="shared" ca="1" si="10"/>
        <v>0</v>
      </c>
      <c r="V65" s="345">
        <f t="shared" ca="1" si="10"/>
        <v>0</v>
      </c>
      <c r="W65" s="345">
        <f t="shared" ca="1" si="10"/>
        <v>0</v>
      </c>
      <c r="X65" s="345">
        <f t="shared" ca="1" si="10"/>
        <v>0</v>
      </c>
      <c r="Y65" s="345">
        <f t="shared" ca="1" si="10"/>
        <v>0</v>
      </c>
      <c r="Z65" s="345">
        <f t="shared" ca="1" si="10"/>
        <v>0</v>
      </c>
      <c r="AA65" s="345">
        <f t="shared" ca="1" si="10"/>
        <v>0</v>
      </c>
      <c r="AB65" s="345">
        <f t="shared" ca="1" si="10"/>
        <v>0</v>
      </c>
      <c r="AC65" s="345">
        <f t="shared" ca="1" si="10"/>
        <v>0</v>
      </c>
      <c r="AD65" s="345">
        <f t="shared" ca="1" si="10"/>
        <v>0</v>
      </c>
      <c r="AE65" s="345">
        <f t="shared" ca="1" si="10"/>
        <v>0</v>
      </c>
      <c r="AF65" s="345">
        <f t="shared" ca="1" si="10"/>
        <v>0</v>
      </c>
      <c r="AG65" s="345">
        <f t="shared" ca="1" si="10"/>
        <v>0</v>
      </c>
      <c r="AH65" s="345">
        <f t="shared" ca="1" si="10"/>
        <v>0</v>
      </c>
      <c r="AI65" s="345">
        <f t="shared" ca="1" si="10"/>
        <v>0</v>
      </c>
      <c r="AJ65" s="345">
        <f t="shared" ca="1" si="10"/>
        <v>0</v>
      </c>
      <c r="AK65" s="345">
        <f t="shared" ca="1" si="10"/>
        <v>0</v>
      </c>
      <c r="AL65" s="345">
        <f t="shared" ca="1" si="10"/>
        <v>0</v>
      </c>
      <c r="AM65" s="345">
        <f t="shared" ca="1" si="10"/>
        <v>0</v>
      </c>
      <c r="AN65" s="345">
        <f t="shared" ca="1" si="10"/>
        <v>0</v>
      </c>
      <c r="AO65" s="345">
        <f t="shared" ca="1" si="10"/>
        <v>0</v>
      </c>
      <c r="AP65" s="345">
        <f t="shared" ca="1" si="10"/>
        <v>0</v>
      </c>
      <c r="AQ65" s="345">
        <f t="shared" ca="1" si="10"/>
        <v>0</v>
      </c>
      <c r="AR65" s="345">
        <f t="shared" ca="1" si="10"/>
        <v>0</v>
      </c>
      <c r="AS65" s="345">
        <f t="shared" ca="1" si="10"/>
        <v>0</v>
      </c>
      <c r="AT65" s="345">
        <f t="shared" ca="1" si="10"/>
        <v>0</v>
      </c>
      <c r="AU65" s="345">
        <f t="shared" ca="1" si="10"/>
        <v>0</v>
      </c>
      <c r="AV65" s="345">
        <f t="shared" ca="1" si="10"/>
        <v>0</v>
      </c>
      <c r="AW65" s="345">
        <f t="shared" ca="1" si="10"/>
        <v>0</v>
      </c>
      <c r="AX65" s="345">
        <f t="shared" ca="1" si="10"/>
        <v>0</v>
      </c>
      <c r="AY65" s="345">
        <f t="shared" ca="1" si="10"/>
        <v>0</v>
      </c>
      <c r="AZ65" s="345">
        <f t="shared" ca="1" si="10"/>
        <v>0</v>
      </c>
      <c r="BA65" s="345">
        <f t="shared" ref="BA65:DG70" ca="1" si="11">IF($A65&gt;BA$5,"",OFFSET(BA$53,0,-($A65-1)))</f>
        <v>0</v>
      </c>
      <c r="BB65" s="345">
        <f t="shared" ca="1" si="11"/>
        <v>0</v>
      </c>
      <c r="BC65" s="345">
        <f t="shared" ca="1" si="11"/>
        <v>0</v>
      </c>
      <c r="BD65" s="345">
        <f t="shared" ca="1" si="11"/>
        <v>0</v>
      </c>
      <c r="BE65" s="345">
        <f t="shared" ca="1" si="11"/>
        <v>0</v>
      </c>
      <c r="BF65" s="345">
        <f t="shared" ca="1" si="11"/>
        <v>0</v>
      </c>
      <c r="BG65" s="345">
        <f t="shared" ca="1" si="11"/>
        <v>0</v>
      </c>
      <c r="BH65" s="345">
        <f t="shared" ca="1" si="11"/>
        <v>0</v>
      </c>
      <c r="BI65" s="345">
        <f t="shared" ca="1" si="11"/>
        <v>0</v>
      </c>
    </row>
    <row r="66" spans="1:61" outlineLevel="1" x14ac:dyDescent="0.15">
      <c r="A66" s="355">
        <v>13</v>
      </c>
      <c r="B66" s="345" t="str">
        <f t="shared" ca="1" si="7"/>
        <v/>
      </c>
      <c r="C66" s="345" t="str">
        <f t="shared" ca="1" si="7"/>
        <v/>
      </c>
      <c r="D66" s="345" t="str">
        <f t="shared" ca="1" si="7"/>
        <v/>
      </c>
      <c r="E66" s="345" t="str">
        <f t="shared" ca="1" si="7"/>
        <v/>
      </c>
      <c r="F66" s="345" t="str">
        <f t="shared" ca="1" si="7"/>
        <v/>
      </c>
      <c r="G66" s="345" t="str">
        <f t="shared" ca="1" si="7"/>
        <v/>
      </c>
      <c r="H66" s="345" t="str">
        <f t="shared" ca="1" si="7"/>
        <v/>
      </c>
      <c r="I66" s="345" t="str">
        <f t="shared" ca="1" si="7"/>
        <v/>
      </c>
      <c r="J66" s="345" t="str">
        <f t="shared" ca="1" si="7"/>
        <v/>
      </c>
      <c r="K66" s="345" t="str">
        <f t="shared" ca="1" si="7"/>
        <v/>
      </c>
      <c r="L66" s="345" t="str">
        <f t="shared" ca="1" si="7"/>
        <v/>
      </c>
      <c r="M66" s="345" t="str">
        <f t="shared" ca="1" si="7"/>
        <v/>
      </c>
      <c r="N66" s="345">
        <f t="shared" ca="1" si="7"/>
        <v>0</v>
      </c>
      <c r="O66" s="345">
        <f t="shared" ca="1" si="7"/>
        <v>0</v>
      </c>
      <c r="P66" s="345">
        <f t="shared" ca="1" si="7"/>
        <v>0</v>
      </c>
      <c r="Q66" s="345">
        <f t="shared" ca="1" si="7"/>
        <v>68125</v>
      </c>
      <c r="R66" s="345">
        <f t="shared" ref="R66:BX71" ca="1" si="12">IF($A66&gt;R$5,"",OFFSET(R$53,0,-($A66-1)))</f>
        <v>90387</v>
      </c>
      <c r="S66" s="345">
        <f t="shared" ca="1" si="12"/>
        <v>134825</v>
      </c>
      <c r="T66" s="345">
        <f t="shared" ca="1" si="12"/>
        <v>0</v>
      </c>
      <c r="U66" s="345">
        <f t="shared" ca="1" si="12"/>
        <v>0</v>
      </c>
      <c r="V66" s="345">
        <f t="shared" ca="1" si="12"/>
        <v>0</v>
      </c>
      <c r="W66" s="345">
        <f t="shared" ca="1" si="12"/>
        <v>0</v>
      </c>
      <c r="X66" s="345">
        <f t="shared" ca="1" si="12"/>
        <v>0</v>
      </c>
      <c r="Y66" s="345">
        <f t="shared" ca="1" si="12"/>
        <v>0</v>
      </c>
      <c r="Z66" s="345">
        <f t="shared" ca="1" si="12"/>
        <v>0</v>
      </c>
      <c r="AA66" s="345">
        <f t="shared" ca="1" si="12"/>
        <v>0</v>
      </c>
      <c r="AB66" s="345">
        <f t="shared" ca="1" si="12"/>
        <v>0</v>
      </c>
      <c r="AC66" s="345">
        <f t="shared" ca="1" si="12"/>
        <v>0</v>
      </c>
      <c r="AD66" s="345">
        <f t="shared" ca="1" si="12"/>
        <v>0</v>
      </c>
      <c r="AE66" s="345">
        <f t="shared" ca="1" si="12"/>
        <v>0</v>
      </c>
      <c r="AF66" s="345">
        <f t="shared" ca="1" si="12"/>
        <v>0</v>
      </c>
      <c r="AG66" s="345">
        <f t="shared" ca="1" si="12"/>
        <v>0</v>
      </c>
      <c r="AH66" s="345">
        <f t="shared" ca="1" si="12"/>
        <v>0</v>
      </c>
      <c r="AI66" s="345">
        <f t="shared" ca="1" si="12"/>
        <v>0</v>
      </c>
      <c r="AJ66" s="345">
        <f t="shared" ca="1" si="12"/>
        <v>0</v>
      </c>
      <c r="AK66" s="345">
        <f t="shared" ca="1" si="12"/>
        <v>0</v>
      </c>
      <c r="AL66" s="345">
        <f t="shared" ca="1" si="12"/>
        <v>0</v>
      </c>
      <c r="AM66" s="345">
        <f t="shared" ca="1" si="12"/>
        <v>0</v>
      </c>
      <c r="AN66" s="345">
        <f t="shared" ca="1" si="12"/>
        <v>0</v>
      </c>
      <c r="AO66" s="345">
        <f t="shared" ca="1" si="12"/>
        <v>0</v>
      </c>
      <c r="AP66" s="345">
        <f t="shared" ca="1" si="12"/>
        <v>0</v>
      </c>
      <c r="AQ66" s="345">
        <f t="shared" ca="1" si="12"/>
        <v>0</v>
      </c>
      <c r="AR66" s="345">
        <f t="shared" ca="1" si="12"/>
        <v>0</v>
      </c>
      <c r="AS66" s="345">
        <f t="shared" ca="1" si="12"/>
        <v>0</v>
      </c>
      <c r="AT66" s="345">
        <f t="shared" ca="1" si="12"/>
        <v>0</v>
      </c>
      <c r="AU66" s="345">
        <f t="shared" ca="1" si="12"/>
        <v>0</v>
      </c>
      <c r="AV66" s="345">
        <f t="shared" ca="1" si="12"/>
        <v>0</v>
      </c>
      <c r="AW66" s="345">
        <f t="shared" ca="1" si="12"/>
        <v>0</v>
      </c>
      <c r="AX66" s="345">
        <f t="shared" ca="1" si="12"/>
        <v>0</v>
      </c>
      <c r="AY66" s="345">
        <f t="shared" ca="1" si="12"/>
        <v>0</v>
      </c>
      <c r="AZ66" s="345">
        <f t="shared" ca="1" si="12"/>
        <v>0</v>
      </c>
      <c r="BA66" s="345">
        <f t="shared" ca="1" si="12"/>
        <v>0</v>
      </c>
      <c r="BB66" s="345">
        <f t="shared" ca="1" si="12"/>
        <v>0</v>
      </c>
      <c r="BC66" s="345">
        <f t="shared" ca="1" si="12"/>
        <v>0</v>
      </c>
      <c r="BD66" s="345">
        <f t="shared" ca="1" si="12"/>
        <v>0</v>
      </c>
      <c r="BE66" s="345">
        <f t="shared" ca="1" si="12"/>
        <v>0</v>
      </c>
      <c r="BF66" s="345">
        <f t="shared" ca="1" si="12"/>
        <v>0</v>
      </c>
      <c r="BG66" s="345">
        <f t="shared" ca="1" si="12"/>
        <v>0</v>
      </c>
      <c r="BH66" s="345">
        <f t="shared" ca="1" si="12"/>
        <v>0</v>
      </c>
      <c r="BI66" s="345">
        <f t="shared" ca="1" si="12"/>
        <v>0</v>
      </c>
    </row>
    <row r="67" spans="1:61" outlineLevel="1" x14ac:dyDescent="0.15">
      <c r="A67" s="355">
        <v>14</v>
      </c>
      <c r="B67" s="345" t="str">
        <f t="shared" ca="1" si="7"/>
        <v/>
      </c>
      <c r="C67" s="345" t="str">
        <f t="shared" ca="1" si="7"/>
        <v/>
      </c>
      <c r="D67" s="345" t="str">
        <f t="shared" ca="1" si="7"/>
        <v/>
      </c>
      <c r="E67" s="345" t="str">
        <f t="shared" ca="1" si="7"/>
        <v/>
      </c>
      <c r="F67" s="345" t="str">
        <f t="shared" ca="1" si="7"/>
        <v/>
      </c>
      <c r="G67" s="345" t="str">
        <f t="shared" ca="1" si="7"/>
        <v/>
      </c>
      <c r="H67" s="345" t="str">
        <f t="shared" ca="1" si="7"/>
        <v/>
      </c>
      <c r="I67" s="345" t="str">
        <f t="shared" ca="1" si="7"/>
        <v/>
      </c>
      <c r="J67" s="345" t="str">
        <f t="shared" ca="1" si="7"/>
        <v/>
      </c>
      <c r="K67" s="345" t="str">
        <f t="shared" ca="1" si="7"/>
        <v/>
      </c>
      <c r="L67" s="345" t="str">
        <f t="shared" ca="1" si="7"/>
        <v/>
      </c>
      <c r="M67" s="345" t="str">
        <f t="shared" ca="1" si="7"/>
        <v/>
      </c>
      <c r="N67" s="345" t="str">
        <f t="shared" ca="1" si="7"/>
        <v/>
      </c>
      <c r="O67" s="345">
        <f t="shared" ca="1" si="7"/>
        <v>0</v>
      </c>
      <c r="P67" s="345">
        <f t="shared" ca="1" si="7"/>
        <v>0</v>
      </c>
      <c r="Q67" s="345">
        <f t="shared" ca="1" si="7"/>
        <v>0</v>
      </c>
      <c r="R67" s="345">
        <f t="shared" ca="1" si="12"/>
        <v>68125</v>
      </c>
      <c r="S67" s="345">
        <f t="shared" ca="1" si="12"/>
        <v>90387</v>
      </c>
      <c r="T67" s="345">
        <f t="shared" ca="1" si="12"/>
        <v>134825</v>
      </c>
      <c r="U67" s="345">
        <f t="shared" ca="1" si="12"/>
        <v>0</v>
      </c>
      <c r="V67" s="345">
        <f t="shared" ca="1" si="12"/>
        <v>0</v>
      </c>
      <c r="W67" s="345">
        <f t="shared" ca="1" si="12"/>
        <v>0</v>
      </c>
      <c r="X67" s="345">
        <f t="shared" ca="1" si="12"/>
        <v>0</v>
      </c>
      <c r="Y67" s="345">
        <f t="shared" ca="1" si="12"/>
        <v>0</v>
      </c>
      <c r="Z67" s="345">
        <f t="shared" ca="1" si="12"/>
        <v>0</v>
      </c>
      <c r="AA67" s="345">
        <f t="shared" ca="1" si="12"/>
        <v>0</v>
      </c>
      <c r="AB67" s="345">
        <f t="shared" ca="1" si="12"/>
        <v>0</v>
      </c>
      <c r="AC67" s="345">
        <f t="shared" ca="1" si="12"/>
        <v>0</v>
      </c>
      <c r="AD67" s="345">
        <f t="shared" ca="1" si="12"/>
        <v>0</v>
      </c>
      <c r="AE67" s="345">
        <f t="shared" ca="1" si="12"/>
        <v>0</v>
      </c>
      <c r="AF67" s="345">
        <f t="shared" ca="1" si="12"/>
        <v>0</v>
      </c>
      <c r="AG67" s="345">
        <f t="shared" ca="1" si="12"/>
        <v>0</v>
      </c>
      <c r="AH67" s="345">
        <f t="shared" ca="1" si="12"/>
        <v>0</v>
      </c>
      <c r="AI67" s="345">
        <f t="shared" ca="1" si="12"/>
        <v>0</v>
      </c>
      <c r="AJ67" s="345">
        <f t="shared" ca="1" si="12"/>
        <v>0</v>
      </c>
      <c r="AK67" s="345">
        <f t="shared" ca="1" si="12"/>
        <v>0</v>
      </c>
      <c r="AL67" s="345">
        <f t="shared" ca="1" si="12"/>
        <v>0</v>
      </c>
      <c r="AM67" s="345">
        <f t="shared" ca="1" si="12"/>
        <v>0</v>
      </c>
      <c r="AN67" s="345">
        <f t="shared" ca="1" si="12"/>
        <v>0</v>
      </c>
      <c r="AO67" s="345">
        <f t="shared" ca="1" si="12"/>
        <v>0</v>
      </c>
      <c r="AP67" s="345">
        <f t="shared" ca="1" si="12"/>
        <v>0</v>
      </c>
      <c r="AQ67" s="345">
        <f t="shared" ca="1" si="12"/>
        <v>0</v>
      </c>
      <c r="AR67" s="345">
        <f t="shared" ca="1" si="12"/>
        <v>0</v>
      </c>
      <c r="AS67" s="345">
        <f t="shared" ca="1" si="12"/>
        <v>0</v>
      </c>
      <c r="AT67" s="345">
        <f t="shared" ca="1" si="12"/>
        <v>0</v>
      </c>
      <c r="AU67" s="345">
        <f t="shared" ca="1" si="12"/>
        <v>0</v>
      </c>
      <c r="AV67" s="345">
        <f t="shared" ca="1" si="12"/>
        <v>0</v>
      </c>
      <c r="AW67" s="345">
        <f t="shared" ca="1" si="12"/>
        <v>0</v>
      </c>
      <c r="AX67" s="345">
        <f t="shared" ca="1" si="12"/>
        <v>0</v>
      </c>
      <c r="AY67" s="345">
        <f t="shared" ca="1" si="12"/>
        <v>0</v>
      </c>
      <c r="AZ67" s="345">
        <f t="shared" ca="1" si="12"/>
        <v>0</v>
      </c>
      <c r="BA67" s="345">
        <f t="shared" ca="1" si="12"/>
        <v>0</v>
      </c>
      <c r="BB67" s="345">
        <f t="shared" ca="1" si="12"/>
        <v>0</v>
      </c>
      <c r="BC67" s="345">
        <f t="shared" ca="1" si="12"/>
        <v>0</v>
      </c>
      <c r="BD67" s="345">
        <f t="shared" ca="1" si="12"/>
        <v>0</v>
      </c>
      <c r="BE67" s="345">
        <f t="shared" ca="1" si="12"/>
        <v>0</v>
      </c>
      <c r="BF67" s="345">
        <f t="shared" ca="1" si="12"/>
        <v>0</v>
      </c>
      <c r="BG67" s="345">
        <f t="shared" ca="1" si="12"/>
        <v>0</v>
      </c>
      <c r="BH67" s="345">
        <f t="shared" ca="1" si="12"/>
        <v>0</v>
      </c>
      <c r="BI67" s="345">
        <f t="shared" ca="1" si="12"/>
        <v>0</v>
      </c>
    </row>
    <row r="68" spans="1:61" outlineLevel="1" x14ac:dyDescent="0.15">
      <c r="A68" s="355">
        <v>15</v>
      </c>
      <c r="B68" s="345" t="str">
        <f t="shared" ca="1" si="7"/>
        <v/>
      </c>
      <c r="C68" s="345" t="str">
        <f t="shared" ca="1" si="7"/>
        <v/>
      </c>
      <c r="D68" s="345" t="str">
        <f t="shared" ca="1" si="7"/>
        <v/>
      </c>
      <c r="E68" s="345" t="str">
        <f t="shared" ca="1" si="7"/>
        <v/>
      </c>
      <c r="F68" s="345" t="str">
        <f t="shared" ca="1" si="7"/>
        <v/>
      </c>
      <c r="G68" s="345" t="str">
        <f t="shared" ca="1" si="7"/>
        <v/>
      </c>
      <c r="H68" s="345" t="str">
        <f t="shared" ca="1" si="7"/>
        <v/>
      </c>
      <c r="I68" s="345" t="str">
        <f t="shared" ca="1" si="7"/>
        <v/>
      </c>
      <c r="J68" s="345" t="str">
        <f t="shared" ca="1" si="7"/>
        <v/>
      </c>
      <c r="K68" s="345" t="str">
        <f t="shared" ca="1" si="7"/>
        <v/>
      </c>
      <c r="L68" s="345" t="str">
        <f t="shared" ca="1" si="7"/>
        <v/>
      </c>
      <c r="M68" s="345" t="str">
        <f t="shared" ca="1" si="7"/>
        <v/>
      </c>
      <c r="N68" s="345" t="str">
        <f t="shared" ca="1" si="7"/>
        <v/>
      </c>
      <c r="O68" s="345" t="str">
        <f t="shared" ca="1" si="7"/>
        <v/>
      </c>
      <c r="P68" s="345">
        <f t="shared" ca="1" si="7"/>
        <v>0</v>
      </c>
      <c r="Q68" s="345">
        <f t="shared" ca="1" si="7"/>
        <v>0</v>
      </c>
      <c r="R68" s="345">
        <f t="shared" ca="1" si="12"/>
        <v>0</v>
      </c>
      <c r="S68" s="345">
        <f t="shared" ca="1" si="12"/>
        <v>68125</v>
      </c>
      <c r="T68" s="345">
        <f t="shared" ca="1" si="12"/>
        <v>90387</v>
      </c>
      <c r="U68" s="345">
        <f t="shared" ca="1" si="12"/>
        <v>134825</v>
      </c>
      <c r="V68" s="345">
        <f t="shared" ca="1" si="12"/>
        <v>0</v>
      </c>
      <c r="W68" s="345">
        <f t="shared" ca="1" si="12"/>
        <v>0</v>
      </c>
      <c r="X68" s="345">
        <f t="shared" ca="1" si="12"/>
        <v>0</v>
      </c>
      <c r="Y68" s="345">
        <f t="shared" ca="1" si="12"/>
        <v>0</v>
      </c>
      <c r="Z68" s="345">
        <f t="shared" ca="1" si="12"/>
        <v>0</v>
      </c>
      <c r="AA68" s="345">
        <f t="shared" ca="1" si="12"/>
        <v>0</v>
      </c>
      <c r="AB68" s="345">
        <f t="shared" ca="1" si="12"/>
        <v>0</v>
      </c>
      <c r="AC68" s="345">
        <f t="shared" ca="1" si="12"/>
        <v>0</v>
      </c>
      <c r="AD68" s="345">
        <f t="shared" ca="1" si="12"/>
        <v>0</v>
      </c>
      <c r="AE68" s="345">
        <f t="shared" ca="1" si="12"/>
        <v>0</v>
      </c>
      <c r="AF68" s="345">
        <f t="shared" ca="1" si="12"/>
        <v>0</v>
      </c>
      <c r="AG68" s="345">
        <f t="shared" ca="1" si="12"/>
        <v>0</v>
      </c>
      <c r="AH68" s="345">
        <f t="shared" ca="1" si="12"/>
        <v>0</v>
      </c>
      <c r="AI68" s="345">
        <f t="shared" ca="1" si="12"/>
        <v>0</v>
      </c>
      <c r="AJ68" s="345">
        <f t="shared" ca="1" si="12"/>
        <v>0</v>
      </c>
      <c r="AK68" s="345">
        <f t="shared" ca="1" si="12"/>
        <v>0</v>
      </c>
      <c r="AL68" s="345">
        <f t="shared" ca="1" si="12"/>
        <v>0</v>
      </c>
      <c r="AM68" s="345">
        <f t="shared" ca="1" si="12"/>
        <v>0</v>
      </c>
      <c r="AN68" s="345">
        <f t="shared" ca="1" si="12"/>
        <v>0</v>
      </c>
      <c r="AO68" s="345">
        <f t="shared" ca="1" si="12"/>
        <v>0</v>
      </c>
      <c r="AP68" s="345">
        <f t="shared" ca="1" si="12"/>
        <v>0</v>
      </c>
      <c r="AQ68" s="345">
        <f t="shared" ca="1" si="12"/>
        <v>0</v>
      </c>
      <c r="AR68" s="345">
        <f t="shared" ca="1" si="12"/>
        <v>0</v>
      </c>
      <c r="AS68" s="345">
        <f t="shared" ca="1" si="12"/>
        <v>0</v>
      </c>
      <c r="AT68" s="345">
        <f t="shared" ca="1" si="12"/>
        <v>0</v>
      </c>
      <c r="AU68" s="345">
        <f t="shared" ca="1" si="12"/>
        <v>0</v>
      </c>
      <c r="AV68" s="345">
        <f t="shared" ca="1" si="12"/>
        <v>0</v>
      </c>
      <c r="AW68" s="345">
        <f t="shared" ca="1" si="12"/>
        <v>0</v>
      </c>
      <c r="AX68" s="345">
        <f t="shared" ca="1" si="12"/>
        <v>0</v>
      </c>
      <c r="AY68" s="345">
        <f t="shared" ca="1" si="12"/>
        <v>0</v>
      </c>
      <c r="AZ68" s="345">
        <f t="shared" ca="1" si="12"/>
        <v>0</v>
      </c>
      <c r="BA68" s="345">
        <f t="shared" ca="1" si="12"/>
        <v>0</v>
      </c>
      <c r="BB68" s="345">
        <f t="shared" ca="1" si="12"/>
        <v>0</v>
      </c>
      <c r="BC68" s="345">
        <f t="shared" ca="1" si="12"/>
        <v>0</v>
      </c>
      <c r="BD68" s="345">
        <f t="shared" ca="1" si="12"/>
        <v>0</v>
      </c>
      <c r="BE68" s="345">
        <f t="shared" ca="1" si="12"/>
        <v>0</v>
      </c>
      <c r="BF68" s="345">
        <f t="shared" ca="1" si="12"/>
        <v>0</v>
      </c>
      <c r="BG68" s="345">
        <f t="shared" ca="1" si="12"/>
        <v>0</v>
      </c>
      <c r="BH68" s="345">
        <f t="shared" ca="1" si="12"/>
        <v>0</v>
      </c>
      <c r="BI68" s="345">
        <f t="shared" ca="1" si="12"/>
        <v>0</v>
      </c>
    </row>
    <row r="69" spans="1:61" outlineLevel="1" x14ac:dyDescent="0.15">
      <c r="A69" s="355">
        <v>16</v>
      </c>
      <c r="B69" s="345" t="str">
        <f t="shared" ca="1" si="7"/>
        <v/>
      </c>
      <c r="C69" s="345" t="str">
        <f t="shared" ca="1" si="7"/>
        <v/>
      </c>
      <c r="D69" s="345" t="str">
        <f t="shared" ca="1" si="7"/>
        <v/>
      </c>
      <c r="E69" s="345" t="str">
        <f t="shared" ca="1" si="7"/>
        <v/>
      </c>
      <c r="F69" s="345" t="str">
        <f t="shared" ca="1" si="7"/>
        <v/>
      </c>
      <c r="G69" s="345" t="str">
        <f t="shared" ca="1" si="7"/>
        <v/>
      </c>
      <c r="H69" s="345" t="str">
        <f t="shared" ca="1" si="7"/>
        <v/>
      </c>
      <c r="I69" s="345" t="str">
        <f t="shared" ca="1" si="7"/>
        <v/>
      </c>
      <c r="J69" s="345" t="str">
        <f t="shared" ca="1" si="7"/>
        <v/>
      </c>
      <c r="K69" s="345" t="str">
        <f t="shared" ca="1" si="7"/>
        <v/>
      </c>
      <c r="L69" s="345" t="str">
        <f t="shared" ca="1" si="7"/>
        <v/>
      </c>
      <c r="M69" s="345" t="str">
        <f t="shared" ca="1" si="7"/>
        <v/>
      </c>
      <c r="N69" s="345" t="str">
        <f t="shared" ca="1" si="7"/>
        <v/>
      </c>
      <c r="O69" s="345" t="str">
        <f t="shared" ca="1" si="7"/>
        <v/>
      </c>
      <c r="P69" s="345" t="str">
        <f t="shared" ca="1" si="7"/>
        <v/>
      </c>
      <c r="Q69" s="345">
        <f t="shared" ref="Q69:BW74" ca="1" si="13">IF($A69&gt;Q$5,"",OFFSET(Q$53,0,-($A69-1)))</f>
        <v>0</v>
      </c>
      <c r="R69" s="345">
        <f t="shared" ca="1" si="13"/>
        <v>0</v>
      </c>
      <c r="S69" s="345">
        <f t="shared" ca="1" si="13"/>
        <v>0</v>
      </c>
      <c r="T69" s="345">
        <f t="shared" ca="1" si="13"/>
        <v>68125</v>
      </c>
      <c r="U69" s="345">
        <f t="shared" ca="1" si="13"/>
        <v>90387</v>
      </c>
      <c r="V69" s="345">
        <f t="shared" ca="1" si="13"/>
        <v>134825</v>
      </c>
      <c r="W69" s="345">
        <f t="shared" ca="1" si="13"/>
        <v>0</v>
      </c>
      <c r="X69" s="345">
        <f t="shared" ca="1" si="13"/>
        <v>0</v>
      </c>
      <c r="Y69" s="345">
        <f t="shared" ca="1" si="13"/>
        <v>0</v>
      </c>
      <c r="Z69" s="345">
        <f t="shared" ca="1" si="13"/>
        <v>0</v>
      </c>
      <c r="AA69" s="345">
        <f t="shared" ca="1" si="13"/>
        <v>0</v>
      </c>
      <c r="AB69" s="345">
        <f t="shared" ca="1" si="13"/>
        <v>0</v>
      </c>
      <c r="AC69" s="345">
        <f t="shared" ca="1" si="13"/>
        <v>0</v>
      </c>
      <c r="AD69" s="345">
        <f t="shared" ca="1" si="13"/>
        <v>0</v>
      </c>
      <c r="AE69" s="345">
        <f t="shared" ca="1" si="13"/>
        <v>0</v>
      </c>
      <c r="AF69" s="345">
        <f t="shared" ca="1" si="13"/>
        <v>0</v>
      </c>
      <c r="AG69" s="345">
        <f t="shared" ca="1" si="13"/>
        <v>0</v>
      </c>
      <c r="AH69" s="345">
        <f t="shared" ca="1" si="13"/>
        <v>0</v>
      </c>
      <c r="AI69" s="345">
        <f t="shared" ca="1" si="13"/>
        <v>0</v>
      </c>
      <c r="AJ69" s="345">
        <f t="shared" ca="1" si="13"/>
        <v>0</v>
      </c>
      <c r="AK69" s="345">
        <f t="shared" ca="1" si="13"/>
        <v>0</v>
      </c>
      <c r="AL69" s="345">
        <f t="shared" ca="1" si="13"/>
        <v>0</v>
      </c>
      <c r="AM69" s="345">
        <f t="shared" ca="1" si="13"/>
        <v>0</v>
      </c>
      <c r="AN69" s="345">
        <f t="shared" ca="1" si="13"/>
        <v>0</v>
      </c>
      <c r="AO69" s="345">
        <f t="shared" ca="1" si="13"/>
        <v>0</v>
      </c>
      <c r="AP69" s="345">
        <f t="shared" ca="1" si="13"/>
        <v>0</v>
      </c>
      <c r="AQ69" s="345">
        <f t="shared" ca="1" si="13"/>
        <v>0</v>
      </c>
      <c r="AR69" s="345">
        <f t="shared" ca="1" si="13"/>
        <v>0</v>
      </c>
      <c r="AS69" s="345">
        <f t="shared" ca="1" si="13"/>
        <v>0</v>
      </c>
      <c r="AT69" s="345">
        <f t="shared" ca="1" si="13"/>
        <v>0</v>
      </c>
      <c r="AU69" s="345">
        <f t="shared" ca="1" si="13"/>
        <v>0</v>
      </c>
      <c r="AV69" s="345">
        <f t="shared" ca="1" si="13"/>
        <v>0</v>
      </c>
      <c r="AW69" s="345">
        <f t="shared" ca="1" si="13"/>
        <v>0</v>
      </c>
      <c r="AX69" s="345">
        <f t="shared" ca="1" si="13"/>
        <v>0</v>
      </c>
      <c r="AY69" s="345">
        <f t="shared" ca="1" si="13"/>
        <v>0</v>
      </c>
      <c r="AZ69" s="345">
        <f t="shared" ca="1" si="13"/>
        <v>0</v>
      </c>
      <c r="BA69" s="345">
        <f t="shared" ca="1" si="13"/>
        <v>0</v>
      </c>
      <c r="BB69" s="345">
        <f t="shared" ca="1" si="13"/>
        <v>0</v>
      </c>
      <c r="BC69" s="345">
        <f t="shared" ca="1" si="13"/>
        <v>0</v>
      </c>
      <c r="BD69" s="345">
        <f t="shared" ca="1" si="13"/>
        <v>0</v>
      </c>
      <c r="BE69" s="345">
        <f t="shared" ca="1" si="13"/>
        <v>0</v>
      </c>
      <c r="BF69" s="345">
        <f t="shared" ca="1" si="13"/>
        <v>0</v>
      </c>
      <c r="BG69" s="345">
        <f t="shared" ca="1" si="13"/>
        <v>0</v>
      </c>
      <c r="BH69" s="345">
        <f t="shared" ca="1" si="13"/>
        <v>0</v>
      </c>
      <c r="BI69" s="345">
        <f t="shared" ca="1" si="13"/>
        <v>0</v>
      </c>
    </row>
    <row r="70" spans="1:61" outlineLevel="1" x14ac:dyDescent="0.15">
      <c r="A70" s="355">
        <v>17</v>
      </c>
      <c r="B70" s="345" t="str">
        <f t="shared" ref="B70:Q101" ca="1" si="14">IF($A70&gt;B$5,"",OFFSET(B$53,0,-($A70-1)))</f>
        <v/>
      </c>
      <c r="C70" s="345" t="str">
        <f t="shared" ca="1" si="14"/>
        <v/>
      </c>
      <c r="D70" s="345" t="str">
        <f t="shared" ca="1" si="14"/>
        <v/>
      </c>
      <c r="E70" s="345" t="str">
        <f t="shared" ca="1" si="14"/>
        <v/>
      </c>
      <c r="F70" s="345" t="str">
        <f t="shared" ca="1" si="14"/>
        <v/>
      </c>
      <c r="G70" s="345" t="str">
        <f t="shared" ca="1" si="14"/>
        <v/>
      </c>
      <c r="H70" s="345" t="str">
        <f t="shared" ca="1" si="14"/>
        <v/>
      </c>
      <c r="I70" s="345" t="str">
        <f t="shared" ca="1" si="14"/>
        <v/>
      </c>
      <c r="J70" s="345" t="str">
        <f t="shared" ca="1" si="14"/>
        <v/>
      </c>
      <c r="K70" s="345" t="str">
        <f t="shared" ca="1" si="14"/>
        <v/>
      </c>
      <c r="L70" s="345" t="str">
        <f t="shared" ca="1" si="14"/>
        <v/>
      </c>
      <c r="M70" s="345" t="str">
        <f t="shared" ca="1" si="14"/>
        <v/>
      </c>
      <c r="N70" s="345" t="str">
        <f t="shared" ca="1" si="14"/>
        <v/>
      </c>
      <c r="O70" s="345" t="str">
        <f t="shared" ca="1" si="14"/>
        <v/>
      </c>
      <c r="P70" s="345" t="str">
        <f t="shared" ca="1" si="14"/>
        <v/>
      </c>
      <c r="Q70" s="345" t="str">
        <f t="shared" ca="1" si="14"/>
        <v/>
      </c>
      <c r="R70" s="345">
        <f t="shared" ca="1" si="13"/>
        <v>0</v>
      </c>
      <c r="S70" s="345">
        <f t="shared" ca="1" si="13"/>
        <v>0</v>
      </c>
      <c r="T70" s="345">
        <f t="shared" ca="1" si="13"/>
        <v>0</v>
      </c>
      <c r="U70" s="345">
        <f t="shared" ca="1" si="13"/>
        <v>68125</v>
      </c>
      <c r="V70" s="345">
        <f t="shared" ca="1" si="13"/>
        <v>90387</v>
      </c>
      <c r="W70" s="345">
        <f t="shared" ca="1" si="13"/>
        <v>134825</v>
      </c>
      <c r="X70" s="345">
        <f t="shared" ca="1" si="13"/>
        <v>0</v>
      </c>
      <c r="Y70" s="345">
        <f t="shared" ca="1" si="13"/>
        <v>0</v>
      </c>
      <c r="Z70" s="345">
        <f t="shared" ca="1" si="13"/>
        <v>0</v>
      </c>
      <c r="AA70" s="345">
        <f t="shared" ca="1" si="13"/>
        <v>0</v>
      </c>
      <c r="AB70" s="345">
        <f t="shared" ca="1" si="13"/>
        <v>0</v>
      </c>
      <c r="AC70" s="345">
        <f t="shared" ca="1" si="13"/>
        <v>0</v>
      </c>
      <c r="AD70" s="345">
        <f t="shared" ca="1" si="13"/>
        <v>0</v>
      </c>
      <c r="AE70" s="345">
        <f t="shared" ca="1" si="13"/>
        <v>0</v>
      </c>
      <c r="AF70" s="345">
        <f t="shared" ca="1" si="13"/>
        <v>0</v>
      </c>
      <c r="AG70" s="345">
        <f t="shared" ca="1" si="13"/>
        <v>0</v>
      </c>
      <c r="AH70" s="345">
        <f t="shared" ca="1" si="13"/>
        <v>0</v>
      </c>
      <c r="AI70" s="345">
        <f t="shared" ca="1" si="13"/>
        <v>0</v>
      </c>
      <c r="AJ70" s="345">
        <f t="shared" ca="1" si="13"/>
        <v>0</v>
      </c>
      <c r="AK70" s="345">
        <f t="shared" ca="1" si="13"/>
        <v>0</v>
      </c>
      <c r="AL70" s="345">
        <f t="shared" ca="1" si="13"/>
        <v>0</v>
      </c>
      <c r="AM70" s="345">
        <f t="shared" ca="1" si="13"/>
        <v>0</v>
      </c>
      <c r="AN70" s="345">
        <f t="shared" ca="1" si="13"/>
        <v>0</v>
      </c>
      <c r="AO70" s="345">
        <f t="shared" ca="1" si="13"/>
        <v>0</v>
      </c>
      <c r="AP70" s="345">
        <f t="shared" ca="1" si="13"/>
        <v>0</v>
      </c>
      <c r="AQ70" s="345">
        <f t="shared" ca="1" si="13"/>
        <v>0</v>
      </c>
      <c r="AR70" s="345">
        <f t="shared" ca="1" si="13"/>
        <v>0</v>
      </c>
      <c r="AS70" s="345">
        <f t="shared" ca="1" si="13"/>
        <v>0</v>
      </c>
      <c r="AT70" s="345">
        <f t="shared" ca="1" si="13"/>
        <v>0</v>
      </c>
      <c r="AU70" s="345">
        <f t="shared" ca="1" si="13"/>
        <v>0</v>
      </c>
      <c r="AV70" s="345">
        <f t="shared" ca="1" si="13"/>
        <v>0</v>
      </c>
      <c r="AW70" s="345">
        <f t="shared" ca="1" si="13"/>
        <v>0</v>
      </c>
      <c r="AX70" s="345">
        <f t="shared" ca="1" si="13"/>
        <v>0</v>
      </c>
      <c r="AY70" s="345">
        <f t="shared" ca="1" si="13"/>
        <v>0</v>
      </c>
      <c r="AZ70" s="345">
        <f t="shared" ca="1" si="13"/>
        <v>0</v>
      </c>
      <c r="BA70" s="345">
        <f t="shared" ca="1" si="13"/>
        <v>0</v>
      </c>
      <c r="BB70" s="345">
        <f t="shared" ca="1" si="13"/>
        <v>0</v>
      </c>
      <c r="BC70" s="345">
        <f t="shared" ca="1" si="13"/>
        <v>0</v>
      </c>
      <c r="BD70" s="345">
        <f t="shared" ca="1" si="13"/>
        <v>0</v>
      </c>
      <c r="BE70" s="345">
        <f t="shared" ca="1" si="13"/>
        <v>0</v>
      </c>
      <c r="BF70" s="345">
        <f t="shared" ca="1" si="13"/>
        <v>0</v>
      </c>
      <c r="BG70" s="345">
        <f t="shared" ca="1" si="13"/>
        <v>0</v>
      </c>
      <c r="BH70" s="345">
        <f t="shared" ca="1" si="13"/>
        <v>0</v>
      </c>
      <c r="BI70" s="345">
        <f t="shared" ca="1" si="13"/>
        <v>0</v>
      </c>
    </row>
    <row r="71" spans="1:61" outlineLevel="1" x14ac:dyDescent="0.15">
      <c r="A71" s="355">
        <v>18</v>
      </c>
      <c r="B71" s="345" t="str">
        <f t="shared" ca="1" si="14"/>
        <v/>
      </c>
      <c r="C71" s="345" t="str">
        <f t="shared" ca="1" si="14"/>
        <v/>
      </c>
      <c r="D71" s="345" t="str">
        <f t="shared" ca="1" si="14"/>
        <v/>
      </c>
      <c r="E71" s="345" t="str">
        <f t="shared" ca="1" si="14"/>
        <v/>
      </c>
      <c r="F71" s="345" t="str">
        <f t="shared" ca="1" si="14"/>
        <v/>
      </c>
      <c r="G71" s="345" t="str">
        <f t="shared" ca="1" si="14"/>
        <v/>
      </c>
      <c r="H71" s="345" t="str">
        <f t="shared" ca="1" si="14"/>
        <v/>
      </c>
      <c r="I71" s="345" t="str">
        <f t="shared" ca="1" si="14"/>
        <v/>
      </c>
      <c r="J71" s="345" t="str">
        <f t="shared" ca="1" si="14"/>
        <v/>
      </c>
      <c r="K71" s="345" t="str">
        <f t="shared" ca="1" si="14"/>
        <v/>
      </c>
      <c r="L71" s="345" t="str">
        <f t="shared" ca="1" si="14"/>
        <v/>
      </c>
      <c r="M71" s="345" t="str">
        <f t="shared" ca="1" si="14"/>
        <v/>
      </c>
      <c r="N71" s="345" t="str">
        <f t="shared" ca="1" si="14"/>
        <v/>
      </c>
      <c r="O71" s="345" t="str">
        <f t="shared" ca="1" si="14"/>
        <v/>
      </c>
      <c r="P71" s="345" t="str">
        <f t="shared" ca="1" si="14"/>
        <v/>
      </c>
      <c r="Q71" s="345" t="str">
        <f t="shared" ca="1" si="14"/>
        <v/>
      </c>
      <c r="R71" s="345" t="str">
        <f t="shared" ca="1" si="13"/>
        <v/>
      </c>
      <c r="S71" s="345">
        <f t="shared" ca="1" si="13"/>
        <v>0</v>
      </c>
      <c r="T71" s="345">
        <f t="shared" ca="1" si="13"/>
        <v>0</v>
      </c>
      <c r="U71" s="345">
        <f t="shared" ca="1" si="13"/>
        <v>0</v>
      </c>
      <c r="V71" s="345">
        <f t="shared" ca="1" si="13"/>
        <v>68125</v>
      </c>
      <c r="W71" s="345">
        <f t="shared" ca="1" si="13"/>
        <v>90387</v>
      </c>
      <c r="X71" s="345">
        <f t="shared" ca="1" si="13"/>
        <v>134825</v>
      </c>
      <c r="Y71" s="345">
        <f t="shared" ca="1" si="13"/>
        <v>0</v>
      </c>
      <c r="Z71" s="345">
        <f t="shared" ca="1" si="13"/>
        <v>0</v>
      </c>
      <c r="AA71" s="345">
        <f t="shared" ca="1" si="13"/>
        <v>0</v>
      </c>
      <c r="AB71" s="345">
        <f t="shared" ca="1" si="13"/>
        <v>0</v>
      </c>
      <c r="AC71" s="345">
        <f t="shared" ca="1" si="13"/>
        <v>0</v>
      </c>
      <c r="AD71" s="345">
        <f t="shared" ca="1" si="13"/>
        <v>0</v>
      </c>
      <c r="AE71" s="345">
        <f t="shared" ca="1" si="13"/>
        <v>0</v>
      </c>
      <c r="AF71" s="345">
        <f t="shared" ca="1" si="13"/>
        <v>0</v>
      </c>
      <c r="AG71" s="345">
        <f t="shared" ca="1" si="13"/>
        <v>0</v>
      </c>
      <c r="AH71" s="345">
        <f t="shared" ca="1" si="13"/>
        <v>0</v>
      </c>
      <c r="AI71" s="345">
        <f t="shared" ca="1" si="13"/>
        <v>0</v>
      </c>
      <c r="AJ71" s="345">
        <f t="shared" ca="1" si="13"/>
        <v>0</v>
      </c>
      <c r="AK71" s="345">
        <f t="shared" ca="1" si="13"/>
        <v>0</v>
      </c>
      <c r="AL71" s="345">
        <f t="shared" ca="1" si="13"/>
        <v>0</v>
      </c>
      <c r="AM71" s="345">
        <f t="shared" ca="1" si="13"/>
        <v>0</v>
      </c>
      <c r="AN71" s="345">
        <f t="shared" ca="1" si="13"/>
        <v>0</v>
      </c>
      <c r="AO71" s="345">
        <f t="shared" ca="1" si="13"/>
        <v>0</v>
      </c>
      <c r="AP71" s="345">
        <f t="shared" ca="1" si="13"/>
        <v>0</v>
      </c>
      <c r="AQ71" s="345">
        <f t="shared" ca="1" si="13"/>
        <v>0</v>
      </c>
      <c r="AR71" s="345">
        <f t="shared" ca="1" si="13"/>
        <v>0</v>
      </c>
      <c r="AS71" s="345">
        <f t="shared" ca="1" si="13"/>
        <v>0</v>
      </c>
      <c r="AT71" s="345">
        <f t="shared" ca="1" si="13"/>
        <v>0</v>
      </c>
      <c r="AU71" s="345">
        <f t="shared" ca="1" si="13"/>
        <v>0</v>
      </c>
      <c r="AV71" s="345">
        <f t="shared" ca="1" si="13"/>
        <v>0</v>
      </c>
      <c r="AW71" s="345">
        <f t="shared" ca="1" si="13"/>
        <v>0</v>
      </c>
      <c r="AX71" s="345">
        <f t="shared" ca="1" si="13"/>
        <v>0</v>
      </c>
      <c r="AY71" s="345">
        <f t="shared" ca="1" si="13"/>
        <v>0</v>
      </c>
      <c r="AZ71" s="345">
        <f t="shared" ca="1" si="13"/>
        <v>0</v>
      </c>
      <c r="BA71" s="345">
        <f t="shared" ca="1" si="13"/>
        <v>0</v>
      </c>
      <c r="BB71" s="345">
        <f t="shared" ca="1" si="13"/>
        <v>0</v>
      </c>
      <c r="BC71" s="345">
        <f t="shared" ca="1" si="13"/>
        <v>0</v>
      </c>
      <c r="BD71" s="345">
        <f t="shared" ca="1" si="13"/>
        <v>0</v>
      </c>
      <c r="BE71" s="345">
        <f t="shared" ca="1" si="13"/>
        <v>0</v>
      </c>
      <c r="BF71" s="345">
        <f t="shared" ca="1" si="13"/>
        <v>0</v>
      </c>
      <c r="BG71" s="345">
        <f t="shared" ca="1" si="13"/>
        <v>0</v>
      </c>
      <c r="BH71" s="345">
        <f t="shared" ca="1" si="13"/>
        <v>0</v>
      </c>
      <c r="BI71" s="345">
        <f t="shared" ca="1" si="13"/>
        <v>0</v>
      </c>
    </row>
    <row r="72" spans="1:61" outlineLevel="1" x14ac:dyDescent="0.15">
      <c r="A72" s="355">
        <v>19</v>
      </c>
      <c r="B72" s="345" t="str">
        <f t="shared" ca="1" si="14"/>
        <v/>
      </c>
      <c r="C72" s="345" t="str">
        <f t="shared" ca="1" si="14"/>
        <v/>
      </c>
      <c r="D72" s="345" t="str">
        <f t="shared" ca="1" si="14"/>
        <v/>
      </c>
      <c r="E72" s="345" t="str">
        <f t="shared" ca="1" si="14"/>
        <v/>
      </c>
      <c r="F72" s="345" t="str">
        <f t="shared" ca="1" si="14"/>
        <v/>
      </c>
      <c r="G72" s="345" t="str">
        <f t="shared" ca="1" si="14"/>
        <v/>
      </c>
      <c r="H72" s="345" t="str">
        <f t="shared" ca="1" si="14"/>
        <v/>
      </c>
      <c r="I72" s="345" t="str">
        <f t="shared" ca="1" si="14"/>
        <v/>
      </c>
      <c r="J72" s="345" t="str">
        <f t="shared" ca="1" si="14"/>
        <v/>
      </c>
      <c r="K72" s="345" t="str">
        <f t="shared" ca="1" si="14"/>
        <v/>
      </c>
      <c r="L72" s="345" t="str">
        <f t="shared" ca="1" si="14"/>
        <v/>
      </c>
      <c r="M72" s="345" t="str">
        <f t="shared" ca="1" si="14"/>
        <v/>
      </c>
      <c r="N72" s="345" t="str">
        <f t="shared" ca="1" si="14"/>
        <v/>
      </c>
      <c r="O72" s="345" t="str">
        <f t="shared" ca="1" si="14"/>
        <v/>
      </c>
      <c r="P72" s="345" t="str">
        <f t="shared" ca="1" si="14"/>
        <v/>
      </c>
      <c r="Q72" s="345" t="str">
        <f t="shared" ca="1" si="14"/>
        <v/>
      </c>
      <c r="R72" s="345" t="str">
        <f t="shared" ca="1" si="13"/>
        <v/>
      </c>
      <c r="S72" s="345" t="str">
        <f t="shared" ca="1" si="13"/>
        <v/>
      </c>
      <c r="T72" s="345">
        <f t="shared" ca="1" si="13"/>
        <v>0</v>
      </c>
      <c r="U72" s="345">
        <f t="shared" ca="1" si="13"/>
        <v>0</v>
      </c>
      <c r="V72" s="345">
        <f t="shared" ca="1" si="13"/>
        <v>0</v>
      </c>
      <c r="W72" s="345">
        <f t="shared" ca="1" si="13"/>
        <v>68125</v>
      </c>
      <c r="X72" s="345">
        <f t="shared" ca="1" si="13"/>
        <v>90387</v>
      </c>
      <c r="Y72" s="345">
        <f t="shared" ca="1" si="13"/>
        <v>134825</v>
      </c>
      <c r="Z72" s="345">
        <f t="shared" ca="1" si="13"/>
        <v>0</v>
      </c>
      <c r="AA72" s="345">
        <f t="shared" ca="1" si="13"/>
        <v>0</v>
      </c>
      <c r="AB72" s="345">
        <f t="shared" ca="1" si="13"/>
        <v>0</v>
      </c>
      <c r="AC72" s="345">
        <f t="shared" ca="1" si="13"/>
        <v>0</v>
      </c>
      <c r="AD72" s="345">
        <f t="shared" ca="1" si="13"/>
        <v>0</v>
      </c>
      <c r="AE72" s="345">
        <f t="shared" ca="1" si="13"/>
        <v>0</v>
      </c>
      <c r="AF72" s="345">
        <f t="shared" ca="1" si="13"/>
        <v>0</v>
      </c>
      <c r="AG72" s="345">
        <f t="shared" ca="1" si="13"/>
        <v>0</v>
      </c>
      <c r="AH72" s="345">
        <f t="shared" ca="1" si="13"/>
        <v>0</v>
      </c>
      <c r="AI72" s="345">
        <f t="shared" ca="1" si="13"/>
        <v>0</v>
      </c>
      <c r="AJ72" s="345">
        <f t="shared" ca="1" si="13"/>
        <v>0</v>
      </c>
      <c r="AK72" s="345">
        <f t="shared" ca="1" si="13"/>
        <v>0</v>
      </c>
      <c r="AL72" s="345">
        <f t="shared" ca="1" si="13"/>
        <v>0</v>
      </c>
      <c r="AM72" s="345">
        <f t="shared" ca="1" si="13"/>
        <v>0</v>
      </c>
      <c r="AN72" s="345">
        <f t="shared" ca="1" si="13"/>
        <v>0</v>
      </c>
      <c r="AO72" s="345">
        <f t="shared" ca="1" si="13"/>
        <v>0</v>
      </c>
      <c r="AP72" s="345">
        <f t="shared" ca="1" si="13"/>
        <v>0</v>
      </c>
      <c r="AQ72" s="345">
        <f t="shared" ca="1" si="13"/>
        <v>0</v>
      </c>
      <c r="AR72" s="345">
        <f t="shared" ca="1" si="13"/>
        <v>0</v>
      </c>
      <c r="AS72" s="345">
        <f t="shared" ca="1" si="13"/>
        <v>0</v>
      </c>
      <c r="AT72" s="345">
        <f t="shared" ca="1" si="13"/>
        <v>0</v>
      </c>
      <c r="AU72" s="345">
        <f t="shared" ca="1" si="13"/>
        <v>0</v>
      </c>
      <c r="AV72" s="345">
        <f t="shared" ca="1" si="13"/>
        <v>0</v>
      </c>
      <c r="AW72" s="345">
        <f t="shared" ca="1" si="13"/>
        <v>0</v>
      </c>
      <c r="AX72" s="345">
        <f t="shared" ca="1" si="13"/>
        <v>0</v>
      </c>
      <c r="AY72" s="345">
        <f t="shared" ca="1" si="13"/>
        <v>0</v>
      </c>
      <c r="AZ72" s="345">
        <f t="shared" ca="1" si="13"/>
        <v>0</v>
      </c>
      <c r="BA72" s="345">
        <f t="shared" ca="1" si="13"/>
        <v>0</v>
      </c>
      <c r="BB72" s="345">
        <f t="shared" ca="1" si="13"/>
        <v>0</v>
      </c>
      <c r="BC72" s="345">
        <f t="shared" ca="1" si="13"/>
        <v>0</v>
      </c>
      <c r="BD72" s="345">
        <f t="shared" ca="1" si="13"/>
        <v>0</v>
      </c>
      <c r="BE72" s="345">
        <f t="shared" ca="1" si="13"/>
        <v>0</v>
      </c>
      <c r="BF72" s="345">
        <f t="shared" ca="1" si="13"/>
        <v>0</v>
      </c>
      <c r="BG72" s="345">
        <f t="shared" ca="1" si="13"/>
        <v>0</v>
      </c>
      <c r="BH72" s="345">
        <f t="shared" ca="1" si="13"/>
        <v>0</v>
      </c>
      <c r="BI72" s="345">
        <f t="shared" ca="1" si="13"/>
        <v>0</v>
      </c>
    </row>
    <row r="73" spans="1:61" outlineLevel="1" x14ac:dyDescent="0.15">
      <c r="A73" s="355">
        <v>20</v>
      </c>
      <c r="B73" s="345" t="str">
        <f t="shared" ca="1" si="14"/>
        <v/>
      </c>
      <c r="C73" s="345" t="str">
        <f t="shared" ca="1" si="14"/>
        <v/>
      </c>
      <c r="D73" s="345" t="str">
        <f t="shared" ca="1" si="14"/>
        <v/>
      </c>
      <c r="E73" s="345" t="str">
        <f t="shared" ca="1" si="14"/>
        <v/>
      </c>
      <c r="F73" s="345" t="str">
        <f t="shared" ca="1" si="14"/>
        <v/>
      </c>
      <c r="G73" s="345" t="str">
        <f t="shared" ca="1" si="14"/>
        <v/>
      </c>
      <c r="H73" s="345" t="str">
        <f t="shared" ca="1" si="14"/>
        <v/>
      </c>
      <c r="I73" s="345" t="str">
        <f t="shared" ca="1" si="14"/>
        <v/>
      </c>
      <c r="J73" s="345" t="str">
        <f t="shared" ca="1" si="14"/>
        <v/>
      </c>
      <c r="K73" s="345" t="str">
        <f t="shared" ca="1" si="14"/>
        <v/>
      </c>
      <c r="L73" s="345" t="str">
        <f t="shared" ca="1" si="14"/>
        <v/>
      </c>
      <c r="M73" s="345" t="str">
        <f t="shared" ca="1" si="14"/>
        <v/>
      </c>
      <c r="N73" s="345" t="str">
        <f t="shared" ca="1" si="14"/>
        <v/>
      </c>
      <c r="O73" s="345" t="str">
        <f t="shared" ca="1" si="14"/>
        <v/>
      </c>
      <c r="P73" s="345" t="str">
        <f t="shared" ca="1" si="14"/>
        <v/>
      </c>
      <c r="Q73" s="345" t="str">
        <f t="shared" ca="1" si="14"/>
        <v/>
      </c>
      <c r="R73" s="345" t="str">
        <f t="shared" ca="1" si="13"/>
        <v/>
      </c>
      <c r="S73" s="345" t="str">
        <f t="shared" ca="1" si="13"/>
        <v/>
      </c>
      <c r="T73" s="345" t="str">
        <f t="shared" ca="1" si="13"/>
        <v/>
      </c>
      <c r="U73" s="345">
        <f t="shared" ca="1" si="13"/>
        <v>0</v>
      </c>
      <c r="V73" s="345">
        <f t="shared" ca="1" si="13"/>
        <v>0</v>
      </c>
      <c r="W73" s="345">
        <f t="shared" ca="1" si="13"/>
        <v>0</v>
      </c>
      <c r="X73" s="345">
        <f t="shared" ca="1" si="13"/>
        <v>68125</v>
      </c>
      <c r="Y73" s="345">
        <f t="shared" ca="1" si="13"/>
        <v>90387</v>
      </c>
      <c r="Z73" s="345">
        <f t="shared" ca="1" si="13"/>
        <v>134825</v>
      </c>
      <c r="AA73" s="345">
        <f t="shared" ca="1" si="13"/>
        <v>0</v>
      </c>
      <c r="AB73" s="345">
        <f t="shared" ca="1" si="13"/>
        <v>0</v>
      </c>
      <c r="AC73" s="345">
        <f t="shared" ca="1" si="13"/>
        <v>0</v>
      </c>
      <c r="AD73" s="345">
        <f t="shared" ca="1" si="13"/>
        <v>0</v>
      </c>
      <c r="AE73" s="345">
        <f t="shared" ca="1" si="13"/>
        <v>0</v>
      </c>
      <c r="AF73" s="345">
        <f t="shared" ca="1" si="13"/>
        <v>0</v>
      </c>
      <c r="AG73" s="345">
        <f t="shared" ca="1" si="13"/>
        <v>0</v>
      </c>
      <c r="AH73" s="345">
        <f t="shared" ca="1" si="13"/>
        <v>0</v>
      </c>
      <c r="AI73" s="345">
        <f t="shared" ca="1" si="13"/>
        <v>0</v>
      </c>
      <c r="AJ73" s="345">
        <f t="shared" ca="1" si="13"/>
        <v>0</v>
      </c>
      <c r="AK73" s="345">
        <f t="shared" ca="1" si="13"/>
        <v>0</v>
      </c>
      <c r="AL73" s="345">
        <f t="shared" ca="1" si="13"/>
        <v>0</v>
      </c>
      <c r="AM73" s="345">
        <f t="shared" ca="1" si="13"/>
        <v>0</v>
      </c>
      <c r="AN73" s="345">
        <f t="shared" ca="1" si="13"/>
        <v>0</v>
      </c>
      <c r="AO73" s="345">
        <f t="shared" ca="1" si="13"/>
        <v>0</v>
      </c>
      <c r="AP73" s="345">
        <f t="shared" ca="1" si="13"/>
        <v>0</v>
      </c>
      <c r="AQ73" s="345">
        <f t="shared" ca="1" si="13"/>
        <v>0</v>
      </c>
      <c r="AR73" s="345">
        <f t="shared" ca="1" si="13"/>
        <v>0</v>
      </c>
      <c r="AS73" s="345">
        <f t="shared" ca="1" si="13"/>
        <v>0</v>
      </c>
      <c r="AT73" s="345">
        <f t="shared" ca="1" si="13"/>
        <v>0</v>
      </c>
      <c r="AU73" s="345">
        <f t="shared" ca="1" si="13"/>
        <v>0</v>
      </c>
      <c r="AV73" s="345">
        <f t="shared" ca="1" si="13"/>
        <v>0</v>
      </c>
      <c r="AW73" s="345">
        <f t="shared" ca="1" si="13"/>
        <v>0</v>
      </c>
      <c r="AX73" s="345">
        <f t="shared" ca="1" si="13"/>
        <v>0</v>
      </c>
      <c r="AY73" s="345">
        <f t="shared" ca="1" si="13"/>
        <v>0</v>
      </c>
      <c r="AZ73" s="345">
        <f t="shared" ca="1" si="13"/>
        <v>0</v>
      </c>
      <c r="BA73" s="345">
        <f t="shared" ca="1" si="13"/>
        <v>0</v>
      </c>
      <c r="BB73" s="345">
        <f t="shared" ca="1" si="13"/>
        <v>0</v>
      </c>
      <c r="BC73" s="345">
        <f t="shared" ca="1" si="13"/>
        <v>0</v>
      </c>
      <c r="BD73" s="345">
        <f t="shared" ca="1" si="13"/>
        <v>0</v>
      </c>
      <c r="BE73" s="345">
        <f t="shared" ca="1" si="13"/>
        <v>0</v>
      </c>
      <c r="BF73" s="345">
        <f t="shared" ca="1" si="13"/>
        <v>0</v>
      </c>
      <c r="BG73" s="345">
        <f t="shared" ca="1" si="13"/>
        <v>0</v>
      </c>
      <c r="BH73" s="345">
        <f t="shared" ca="1" si="13"/>
        <v>0</v>
      </c>
      <c r="BI73" s="345">
        <f t="shared" ca="1" si="13"/>
        <v>0</v>
      </c>
    </row>
    <row r="74" spans="1:61" outlineLevel="1" x14ac:dyDescent="0.15">
      <c r="A74" s="355">
        <v>21</v>
      </c>
      <c r="B74" s="345" t="str">
        <f t="shared" ca="1" si="14"/>
        <v/>
      </c>
      <c r="C74" s="345" t="str">
        <f t="shared" ca="1" si="14"/>
        <v/>
      </c>
      <c r="D74" s="345" t="str">
        <f t="shared" ca="1" si="14"/>
        <v/>
      </c>
      <c r="E74" s="345" t="str">
        <f t="shared" ca="1" si="14"/>
        <v/>
      </c>
      <c r="F74" s="345" t="str">
        <f t="shared" ca="1" si="14"/>
        <v/>
      </c>
      <c r="G74" s="345" t="str">
        <f t="shared" ca="1" si="14"/>
        <v/>
      </c>
      <c r="H74" s="345" t="str">
        <f t="shared" ca="1" si="14"/>
        <v/>
      </c>
      <c r="I74" s="345" t="str">
        <f t="shared" ca="1" si="14"/>
        <v/>
      </c>
      <c r="J74" s="345" t="str">
        <f t="shared" ca="1" si="14"/>
        <v/>
      </c>
      <c r="K74" s="345" t="str">
        <f t="shared" ca="1" si="14"/>
        <v/>
      </c>
      <c r="L74" s="345" t="str">
        <f t="shared" ca="1" si="14"/>
        <v/>
      </c>
      <c r="M74" s="345" t="str">
        <f t="shared" ca="1" si="14"/>
        <v/>
      </c>
      <c r="N74" s="345" t="str">
        <f t="shared" ca="1" si="14"/>
        <v/>
      </c>
      <c r="O74" s="345" t="str">
        <f t="shared" ca="1" si="14"/>
        <v/>
      </c>
      <c r="P74" s="345" t="str">
        <f t="shared" ca="1" si="14"/>
        <v/>
      </c>
      <c r="Q74" s="345" t="str">
        <f t="shared" ca="1" si="14"/>
        <v/>
      </c>
      <c r="R74" s="345" t="str">
        <f t="shared" ca="1" si="13"/>
        <v/>
      </c>
      <c r="S74" s="345" t="str">
        <f t="shared" ca="1" si="13"/>
        <v/>
      </c>
      <c r="T74" s="345" t="str">
        <f t="shared" ca="1" si="13"/>
        <v/>
      </c>
      <c r="U74" s="345" t="str">
        <f t="shared" ca="1" si="13"/>
        <v/>
      </c>
      <c r="V74" s="345">
        <f t="shared" ca="1" si="13"/>
        <v>0</v>
      </c>
      <c r="W74" s="345">
        <f t="shared" ca="1" si="13"/>
        <v>0</v>
      </c>
      <c r="X74" s="345">
        <f t="shared" ca="1" si="13"/>
        <v>0</v>
      </c>
      <c r="Y74" s="345">
        <f t="shared" ca="1" si="13"/>
        <v>68125</v>
      </c>
      <c r="Z74" s="345">
        <f t="shared" ca="1" si="13"/>
        <v>90387</v>
      </c>
      <c r="AA74" s="345">
        <f t="shared" ca="1" si="13"/>
        <v>134825</v>
      </c>
      <c r="AB74" s="345">
        <f t="shared" ca="1" si="13"/>
        <v>0</v>
      </c>
      <c r="AC74" s="345">
        <f t="shared" ca="1" si="13"/>
        <v>0</v>
      </c>
      <c r="AD74" s="345">
        <f t="shared" ca="1" si="13"/>
        <v>0</v>
      </c>
      <c r="AE74" s="345">
        <f t="shared" ca="1" si="13"/>
        <v>0</v>
      </c>
      <c r="AF74" s="345">
        <f t="shared" ca="1" si="13"/>
        <v>0</v>
      </c>
      <c r="AG74" s="345">
        <f t="shared" ca="1" si="13"/>
        <v>0</v>
      </c>
      <c r="AH74" s="345">
        <f t="shared" ca="1" si="13"/>
        <v>0</v>
      </c>
      <c r="AI74" s="345">
        <f t="shared" ca="1" si="13"/>
        <v>0</v>
      </c>
      <c r="AJ74" s="345">
        <f t="shared" ca="1" si="13"/>
        <v>0</v>
      </c>
      <c r="AK74" s="345">
        <f t="shared" ca="1" si="13"/>
        <v>0</v>
      </c>
      <c r="AL74" s="345">
        <f t="shared" ca="1" si="13"/>
        <v>0</v>
      </c>
      <c r="AM74" s="345">
        <f t="shared" ca="1" si="13"/>
        <v>0</v>
      </c>
      <c r="AN74" s="345">
        <f t="shared" ca="1" si="13"/>
        <v>0</v>
      </c>
      <c r="AO74" s="345">
        <f t="shared" ca="1" si="13"/>
        <v>0</v>
      </c>
      <c r="AP74" s="345">
        <f t="shared" ca="1" si="13"/>
        <v>0</v>
      </c>
      <c r="AQ74" s="345">
        <f t="shared" ca="1" si="13"/>
        <v>0</v>
      </c>
      <c r="AR74" s="345">
        <f t="shared" ca="1" si="13"/>
        <v>0</v>
      </c>
      <c r="AS74" s="345">
        <f t="shared" ca="1" si="13"/>
        <v>0</v>
      </c>
      <c r="AT74" s="345">
        <f t="shared" ca="1" si="13"/>
        <v>0</v>
      </c>
      <c r="AU74" s="345">
        <f t="shared" ca="1" si="13"/>
        <v>0</v>
      </c>
      <c r="AV74" s="345">
        <f t="shared" ca="1" si="13"/>
        <v>0</v>
      </c>
      <c r="AW74" s="345">
        <f t="shared" ca="1" si="13"/>
        <v>0</v>
      </c>
      <c r="AX74" s="345">
        <f t="shared" ca="1" si="13"/>
        <v>0</v>
      </c>
      <c r="AY74" s="345">
        <f t="shared" ca="1" si="13"/>
        <v>0</v>
      </c>
      <c r="AZ74" s="345">
        <f t="shared" ref="AZ74:DF78" ca="1" si="15">IF($A74&gt;AZ$5,"",OFFSET(AZ$53,0,-($A74-1)))</f>
        <v>0</v>
      </c>
      <c r="BA74" s="345">
        <f t="shared" ca="1" si="15"/>
        <v>0</v>
      </c>
      <c r="BB74" s="345">
        <f t="shared" ca="1" si="15"/>
        <v>0</v>
      </c>
      <c r="BC74" s="345">
        <f t="shared" ca="1" si="15"/>
        <v>0</v>
      </c>
      <c r="BD74" s="345">
        <f t="shared" ca="1" si="15"/>
        <v>0</v>
      </c>
      <c r="BE74" s="345">
        <f t="shared" ca="1" si="15"/>
        <v>0</v>
      </c>
      <c r="BF74" s="345">
        <f t="shared" ca="1" si="15"/>
        <v>0</v>
      </c>
      <c r="BG74" s="345">
        <f t="shared" ca="1" si="15"/>
        <v>0</v>
      </c>
      <c r="BH74" s="345">
        <f t="shared" ca="1" si="15"/>
        <v>0</v>
      </c>
      <c r="BI74" s="345">
        <f t="shared" ca="1" si="15"/>
        <v>0</v>
      </c>
    </row>
    <row r="75" spans="1:61" outlineLevel="1" x14ac:dyDescent="0.15">
      <c r="A75" s="355">
        <v>22</v>
      </c>
      <c r="B75" s="345" t="str">
        <f t="shared" ca="1" si="14"/>
        <v/>
      </c>
      <c r="C75" s="345" t="str">
        <f t="shared" ca="1" si="14"/>
        <v/>
      </c>
      <c r="D75" s="345" t="str">
        <f t="shared" ca="1" si="14"/>
        <v/>
      </c>
      <c r="E75" s="345" t="str">
        <f t="shared" ca="1" si="14"/>
        <v/>
      </c>
      <c r="F75" s="345" t="str">
        <f t="shared" ca="1" si="14"/>
        <v/>
      </c>
      <c r="G75" s="345" t="str">
        <f t="shared" ca="1" si="14"/>
        <v/>
      </c>
      <c r="H75" s="345" t="str">
        <f t="shared" ca="1" si="14"/>
        <v/>
      </c>
      <c r="I75" s="345" t="str">
        <f t="shared" ca="1" si="14"/>
        <v/>
      </c>
      <c r="J75" s="345" t="str">
        <f t="shared" ca="1" si="14"/>
        <v/>
      </c>
      <c r="K75" s="345" t="str">
        <f t="shared" ca="1" si="14"/>
        <v/>
      </c>
      <c r="L75" s="345" t="str">
        <f t="shared" ca="1" si="14"/>
        <v/>
      </c>
      <c r="M75" s="345" t="str">
        <f t="shared" ca="1" si="14"/>
        <v/>
      </c>
      <c r="N75" s="345" t="str">
        <f t="shared" ca="1" si="14"/>
        <v/>
      </c>
      <c r="O75" s="345" t="str">
        <f t="shared" ca="1" si="14"/>
        <v/>
      </c>
      <c r="P75" s="345" t="str">
        <f t="shared" ca="1" si="14"/>
        <v/>
      </c>
      <c r="Q75" s="345" t="str">
        <f t="shared" ca="1" si="14"/>
        <v/>
      </c>
      <c r="R75" s="345" t="str">
        <f t="shared" ref="R75:BX80" ca="1" si="16">IF($A75&gt;R$5,"",OFFSET(R$53,0,-($A75-1)))</f>
        <v/>
      </c>
      <c r="S75" s="345" t="str">
        <f t="shared" ca="1" si="16"/>
        <v/>
      </c>
      <c r="T75" s="345" t="str">
        <f t="shared" ca="1" si="16"/>
        <v/>
      </c>
      <c r="U75" s="345" t="str">
        <f t="shared" ca="1" si="16"/>
        <v/>
      </c>
      <c r="V75" s="345" t="str">
        <f t="shared" ca="1" si="16"/>
        <v/>
      </c>
      <c r="W75" s="345">
        <f t="shared" ca="1" si="16"/>
        <v>0</v>
      </c>
      <c r="X75" s="345">
        <f t="shared" ca="1" si="16"/>
        <v>0</v>
      </c>
      <c r="Y75" s="345">
        <f t="shared" ca="1" si="16"/>
        <v>0</v>
      </c>
      <c r="Z75" s="345">
        <f t="shared" ca="1" si="16"/>
        <v>68125</v>
      </c>
      <c r="AA75" s="345">
        <f t="shared" ca="1" si="16"/>
        <v>90387</v>
      </c>
      <c r="AB75" s="345">
        <f t="shared" ca="1" si="16"/>
        <v>134825</v>
      </c>
      <c r="AC75" s="345">
        <f t="shared" ca="1" si="16"/>
        <v>0</v>
      </c>
      <c r="AD75" s="345">
        <f t="shared" ca="1" si="16"/>
        <v>0</v>
      </c>
      <c r="AE75" s="345">
        <f t="shared" ca="1" si="16"/>
        <v>0</v>
      </c>
      <c r="AF75" s="345">
        <f t="shared" ca="1" si="16"/>
        <v>0</v>
      </c>
      <c r="AG75" s="345">
        <f t="shared" ca="1" si="16"/>
        <v>0</v>
      </c>
      <c r="AH75" s="345">
        <f t="shared" ca="1" si="16"/>
        <v>0</v>
      </c>
      <c r="AI75" s="345">
        <f t="shared" ca="1" si="16"/>
        <v>0</v>
      </c>
      <c r="AJ75" s="345">
        <f t="shared" ca="1" si="16"/>
        <v>0</v>
      </c>
      <c r="AK75" s="345">
        <f t="shared" ca="1" si="16"/>
        <v>0</v>
      </c>
      <c r="AL75" s="345">
        <f t="shared" ca="1" si="16"/>
        <v>0</v>
      </c>
      <c r="AM75" s="345">
        <f t="shared" ca="1" si="16"/>
        <v>0</v>
      </c>
      <c r="AN75" s="345">
        <f t="shared" ca="1" si="16"/>
        <v>0</v>
      </c>
      <c r="AO75" s="345">
        <f t="shared" ca="1" si="16"/>
        <v>0</v>
      </c>
      <c r="AP75" s="345">
        <f t="shared" ca="1" si="16"/>
        <v>0</v>
      </c>
      <c r="AQ75" s="345">
        <f t="shared" ca="1" si="16"/>
        <v>0</v>
      </c>
      <c r="AR75" s="345">
        <f t="shared" ca="1" si="16"/>
        <v>0</v>
      </c>
      <c r="AS75" s="345">
        <f t="shared" ca="1" si="16"/>
        <v>0</v>
      </c>
      <c r="AT75" s="345">
        <f t="shared" ca="1" si="16"/>
        <v>0</v>
      </c>
      <c r="AU75" s="345">
        <f t="shared" ca="1" si="16"/>
        <v>0</v>
      </c>
      <c r="AV75" s="345">
        <f t="shared" ca="1" si="16"/>
        <v>0</v>
      </c>
      <c r="AW75" s="345">
        <f t="shared" ca="1" si="16"/>
        <v>0</v>
      </c>
      <c r="AX75" s="345">
        <f t="shared" ca="1" si="16"/>
        <v>0</v>
      </c>
      <c r="AY75" s="345">
        <f t="shared" ca="1" si="16"/>
        <v>0</v>
      </c>
      <c r="AZ75" s="345">
        <f t="shared" ca="1" si="16"/>
        <v>0</v>
      </c>
      <c r="BA75" s="345">
        <f t="shared" ca="1" si="16"/>
        <v>0</v>
      </c>
      <c r="BB75" s="345">
        <f t="shared" ca="1" si="15"/>
        <v>0</v>
      </c>
      <c r="BC75" s="345">
        <f t="shared" ca="1" si="15"/>
        <v>0</v>
      </c>
      <c r="BD75" s="345">
        <f t="shared" ca="1" si="15"/>
        <v>0</v>
      </c>
      <c r="BE75" s="345">
        <f t="shared" ca="1" si="15"/>
        <v>0</v>
      </c>
      <c r="BF75" s="345">
        <f t="shared" ca="1" si="15"/>
        <v>0</v>
      </c>
      <c r="BG75" s="345">
        <f t="shared" ca="1" si="15"/>
        <v>0</v>
      </c>
      <c r="BH75" s="345">
        <f t="shared" ca="1" si="15"/>
        <v>0</v>
      </c>
      <c r="BI75" s="345">
        <f t="shared" ca="1" si="15"/>
        <v>0</v>
      </c>
    </row>
    <row r="76" spans="1:61" outlineLevel="1" x14ac:dyDescent="0.15">
      <c r="A76" s="355">
        <v>23</v>
      </c>
      <c r="B76" s="345" t="str">
        <f t="shared" ca="1" si="14"/>
        <v/>
      </c>
      <c r="C76" s="345" t="str">
        <f t="shared" ca="1" si="14"/>
        <v/>
      </c>
      <c r="D76" s="345" t="str">
        <f t="shared" ca="1" si="14"/>
        <v/>
      </c>
      <c r="E76" s="345" t="str">
        <f t="shared" ca="1" si="14"/>
        <v/>
      </c>
      <c r="F76" s="345" t="str">
        <f t="shared" ca="1" si="14"/>
        <v/>
      </c>
      <c r="G76" s="345" t="str">
        <f t="shared" ca="1" si="14"/>
        <v/>
      </c>
      <c r="H76" s="345" t="str">
        <f t="shared" ca="1" si="14"/>
        <v/>
      </c>
      <c r="I76" s="345" t="str">
        <f t="shared" ca="1" si="14"/>
        <v/>
      </c>
      <c r="J76" s="345" t="str">
        <f t="shared" ca="1" si="14"/>
        <v/>
      </c>
      <c r="K76" s="345" t="str">
        <f t="shared" ca="1" si="14"/>
        <v/>
      </c>
      <c r="L76" s="345" t="str">
        <f t="shared" ca="1" si="14"/>
        <v/>
      </c>
      <c r="M76" s="345" t="str">
        <f t="shared" ca="1" si="14"/>
        <v/>
      </c>
      <c r="N76" s="345" t="str">
        <f t="shared" ca="1" si="14"/>
        <v/>
      </c>
      <c r="O76" s="345" t="str">
        <f t="shared" ca="1" si="14"/>
        <v/>
      </c>
      <c r="P76" s="345" t="str">
        <f t="shared" ca="1" si="14"/>
        <v/>
      </c>
      <c r="Q76" s="345" t="str">
        <f t="shared" ca="1" si="14"/>
        <v/>
      </c>
      <c r="R76" s="345" t="str">
        <f t="shared" ca="1" si="16"/>
        <v/>
      </c>
      <c r="S76" s="345" t="str">
        <f t="shared" ca="1" si="16"/>
        <v/>
      </c>
      <c r="T76" s="345" t="str">
        <f t="shared" ca="1" si="16"/>
        <v/>
      </c>
      <c r="U76" s="345" t="str">
        <f t="shared" ca="1" si="16"/>
        <v/>
      </c>
      <c r="V76" s="345" t="str">
        <f t="shared" ca="1" si="16"/>
        <v/>
      </c>
      <c r="W76" s="345" t="str">
        <f t="shared" ca="1" si="16"/>
        <v/>
      </c>
      <c r="X76" s="345">
        <f t="shared" ca="1" si="16"/>
        <v>0</v>
      </c>
      <c r="Y76" s="345">
        <f t="shared" ca="1" si="16"/>
        <v>0</v>
      </c>
      <c r="Z76" s="345">
        <f t="shared" ca="1" si="16"/>
        <v>0</v>
      </c>
      <c r="AA76" s="345">
        <f t="shared" ca="1" si="16"/>
        <v>68125</v>
      </c>
      <c r="AB76" s="345">
        <f t="shared" ca="1" si="16"/>
        <v>90387</v>
      </c>
      <c r="AC76" s="345">
        <f t="shared" ca="1" si="16"/>
        <v>134825</v>
      </c>
      <c r="AD76" s="345">
        <f t="shared" ca="1" si="16"/>
        <v>0</v>
      </c>
      <c r="AE76" s="345">
        <f t="shared" ca="1" si="16"/>
        <v>0</v>
      </c>
      <c r="AF76" s="345">
        <f t="shared" ca="1" si="16"/>
        <v>0</v>
      </c>
      <c r="AG76" s="345">
        <f t="shared" ca="1" si="16"/>
        <v>0</v>
      </c>
      <c r="AH76" s="345">
        <f t="shared" ca="1" si="16"/>
        <v>0</v>
      </c>
      <c r="AI76" s="345">
        <f t="shared" ca="1" si="16"/>
        <v>0</v>
      </c>
      <c r="AJ76" s="345">
        <f t="shared" ca="1" si="16"/>
        <v>0</v>
      </c>
      <c r="AK76" s="345">
        <f t="shared" ca="1" si="16"/>
        <v>0</v>
      </c>
      <c r="AL76" s="345">
        <f t="shared" ca="1" si="16"/>
        <v>0</v>
      </c>
      <c r="AM76" s="345">
        <f t="shared" ca="1" si="16"/>
        <v>0</v>
      </c>
      <c r="AN76" s="345">
        <f t="shared" ca="1" si="16"/>
        <v>0</v>
      </c>
      <c r="AO76" s="345">
        <f t="shared" ca="1" si="16"/>
        <v>0</v>
      </c>
      <c r="AP76" s="345">
        <f t="shared" ca="1" si="16"/>
        <v>0</v>
      </c>
      <c r="AQ76" s="345">
        <f t="shared" ca="1" si="16"/>
        <v>0</v>
      </c>
      <c r="AR76" s="345">
        <f t="shared" ca="1" si="16"/>
        <v>0</v>
      </c>
      <c r="AS76" s="345">
        <f t="shared" ca="1" si="16"/>
        <v>0</v>
      </c>
      <c r="AT76" s="345">
        <f t="shared" ca="1" si="16"/>
        <v>0</v>
      </c>
      <c r="AU76" s="345">
        <f t="shared" ca="1" si="16"/>
        <v>0</v>
      </c>
      <c r="AV76" s="345">
        <f t="shared" ca="1" si="16"/>
        <v>0</v>
      </c>
      <c r="AW76" s="345">
        <f t="shared" ca="1" si="16"/>
        <v>0</v>
      </c>
      <c r="AX76" s="345">
        <f t="shared" ca="1" si="16"/>
        <v>0</v>
      </c>
      <c r="AY76" s="345">
        <f t="shared" ca="1" si="16"/>
        <v>0</v>
      </c>
      <c r="AZ76" s="345">
        <f t="shared" ca="1" si="16"/>
        <v>0</v>
      </c>
      <c r="BA76" s="345">
        <f t="shared" ca="1" si="16"/>
        <v>0</v>
      </c>
      <c r="BB76" s="345">
        <f t="shared" ca="1" si="16"/>
        <v>0</v>
      </c>
      <c r="BC76" s="345">
        <f t="shared" ca="1" si="16"/>
        <v>0</v>
      </c>
      <c r="BD76" s="345">
        <f t="shared" ca="1" si="16"/>
        <v>0</v>
      </c>
      <c r="BE76" s="345">
        <f t="shared" ca="1" si="16"/>
        <v>0</v>
      </c>
      <c r="BF76" s="345">
        <f t="shared" ca="1" si="16"/>
        <v>0</v>
      </c>
      <c r="BG76" s="345">
        <f t="shared" ca="1" si="16"/>
        <v>0</v>
      </c>
      <c r="BH76" s="345">
        <f t="shared" ca="1" si="16"/>
        <v>0</v>
      </c>
      <c r="BI76" s="345">
        <f t="shared" ca="1" si="16"/>
        <v>0</v>
      </c>
    </row>
    <row r="77" spans="1:61" outlineLevel="1" x14ac:dyDescent="0.15">
      <c r="A77" s="355">
        <v>24</v>
      </c>
      <c r="B77" s="345" t="str">
        <f t="shared" ca="1" si="14"/>
        <v/>
      </c>
      <c r="C77" s="345" t="str">
        <f t="shared" ca="1" si="14"/>
        <v/>
      </c>
      <c r="D77" s="345" t="str">
        <f t="shared" ca="1" si="14"/>
        <v/>
      </c>
      <c r="E77" s="345" t="str">
        <f t="shared" ca="1" si="14"/>
        <v/>
      </c>
      <c r="F77" s="345" t="str">
        <f t="shared" ca="1" si="14"/>
        <v/>
      </c>
      <c r="G77" s="345" t="str">
        <f t="shared" ca="1" si="14"/>
        <v/>
      </c>
      <c r="H77" s="345" t="str">
        <f t="shared" ca="1" si="14"/>
        <v/>
      </c>
      <c r="I77" s="345" t="str">
        <f t="shared" ca="1" si="14"/>
        <v/>
      </c>
      <c r="J77" s="345" t="str">
        <f t="shared" ca="1" si="14"/>
        <v/>
      </c>
      <c r="K77" s="345" t="str">
        <f t="shared" ca="1" si="14"/>
        <v/>
      </c>
      <c r="L77" s="345" t="str">
        <f t="shared" ca="1" si="14"/>
        <v/>
      </c>
      <c r="M77" s="345" t="str">
        <f t="shared" ca="1" si="14"/>
        <v/>
      </c>
      <c r="N77" s="345" t="str">
        <f t="shared" ca="1" si="14"/>
        <v/>
      </c>
      <c r="O77" s="345" t="str">
        <f t="shared" ca="1" si="14"/>
        <v/>
      </c>
      <c r="P77" s="345" t="str">
        <f t="shared" ca="1" si="14"/>
        <v/>
      </c>
      <c r="Q77" s="345" t="str">
        <f t="shared" ca="1" si="14"/>
        <v/>
      </c>
      <c r="R77" s="345" t="str">
        <f t="shared" ca="1" si="16"/>
        <v/>
      </c>
      <c r="S77" s="345" t="str">
        <f t="shared" ca="1" si="16"/>
        <v/>
      </c>
      <c r="T77" s="345" t="str">
        <f t="shared" ca="1" si="16"/>
        <v/>
      </c>
      <c r="U77" s="345" t="str">
        <f t="shared" ca="1" si="16"/>
        <v/>
      </c>
      <c r="V77" s="345" t="str">
        <f t="shared" ca="1" si="16"/>
        <v/>
      </c>
      <c r="W77" s="345" t="str">
        <f t="shared" ca="1" si="16"/>
        <v/>
      </c>
      <c r="X77" s="345" t="str">
        <f t="shared" ca="1" si="16"/>
        <v/>
      </c>
      <c r="Y77" s="345">
        <f t="shared" ca="1" si="16"/>
        <v>0</v>
      </c>
      <c r="Z77" s="345">
        <f t="shared" ca="1" si="16"/>
        <v>0</v>
      </c>
      <c r="AA77" s="345">
        <f t="shared" ca="1" si="16"/>
        <v>0</v>
      </c>
      <c r="AB77" s="345">
        <f t="shared" ca="1" si="16"/>
        <v>68125</v>
      </c>
      <c r="AC77" s="345">
        <f t="shared" ca="1" si="16"/>
        <v>90387</v>
      </c>
      <c r="AD77" s="345">
        <f t="shared" ca="1" si="16"/>
        <v>134825</v>
      </c>
      <c r="AE77" s="345">
        <f t="shared" ca="1" si="16"/>
        <v>0</v>
      </c>
      <c r="AF77" s="345">
        <f t="shared" ca="1" si="16"/>
        <v>0</v>
      </c>
      <c r="AG77" s="345">
        <f t="shared" ca="1" si="16"/>
        <v>0</v>
      </c>
      <c r="AH77" s="345">
        <f t="shared" ca="1" si="16"/>
        <v>0</v>
      </c>
      <c r="AI77" s="345">
        <f t="shared" ca="1" si="16"/>
        <v>0</v>
      </c>
      <c r="AJ77" s="345">
        <f t="shared" ca="1" si="16"/>
        <v>0</v>
      </c>
      <c r="AK77" s="345">
        <f t="shared" ca="1" si="16"/>
        <v>0</v>
      </c>
      <c r="AL77" s="345">
        <f t="shared" ca="1" si="16"/>
        <v>0</v>
      </c>
      <c r="AM77" s="345">
        <f t="shared" ca="1" si="16"/>
        <v>0</v>
      </c>
      <c r="AN77" s="345">
        <f t="shared" ca="1" si="16"/>
        <v>0</v>
      </c>
      <c r="AO77" s="345">
        <f t="shared" ca="1" si="16"/>
        <v>0</v>
      </c>
      <c r="AP77" s="345">
        <f t="shared" ca="1" si="16"/>
        <v>0</v>
      </c>
      <c r="AQ77" s="345">
        <f t="shared" ca="1" si="16"/>
        <v>0</v>
      </c>
      <c r="AR77" s="345">
        <f t="shared" ca="1" si="16"/>
        <v>0</v>
      </c>
      <c r="AS77" s="345">
        <f t="shared" ca="1" si="16"/>
        <v>0</v>
      </c>
      <c r="AT77" s="345">
        <f t="shared" ca="1" si="16"/>
        <v>0</v>
      </c>
      <c r="AU77" s="345">
        <f t="shared" ca="1" si="16"/>
        <v>0</v>
      </c>
      <c r="AV77" s="345">
        <f t="shared" ca="1" si="16"/>
        <v>0</v>
      </c>
      <c r="AW77" s="345">
        <f t="shared" ca="1" si="16"/>
        <v>0</v>
      </c>
      <c r="AX77" s="345">
        <f t="shared" ca="1" si="16"/>
        <v>0</v>
      </c>
      <c r="AY77" s="345">
        <f t="shared" ca="1" si="16"/>
        <v>0</v>
      </c>
      <c r="AZ77" s="345">
        <f t="shared" ca="1" si="16"/>
        <v>0</v>
      </c>
      <c r="BA77" s="345">
        <f t="shared" ca="1" si="16"/>
        <v>0</v>
      </c>
      <c r="BB77" s="345">
        <f t="shared" ca="1" si="16"/>
        <v>0</v>
      </c>
      <c r="BC77" s="345">
        <f t="shared" ca="1" si="16"/>
        <v>0</v>
      </c>
      <c r="BD77" s="345">
        <f t="shared" ca="1" si="16"/>
        <v>0</v>
      </c>
      <c r="BE77" s="345">
        <f t="shared" ca="1" si="16"/>
        <v>0</v>
      </c>
      <c r="BF77" s="345">
        <f t="shared" ca="1" si="16"/>
        <v>0</v>
      </c>
      <c r="BG77" s="345">
        <f t="shared" ca="1" si="16"/>
        <v>0</v>
      </c>
      <c r="BH77" s="345">
        <f t="shared" ca="1" si="16"/>
        <v>0</v>
      </c>
      <c r="BI77" s="345">
        <f t="shared" ca="1" si="16"/>
        <v>0</v>
      </c>
    </row>
    <row r="78" spans="1:61" outlineLevel="1" x14ac:dyDescent="0.15">
      <c r="A78" s="355">
        <v>25</v>
      </c>
      <c r="B78" s="345" t="str">
        <f t="shared" ca="1" si="14"/>
        <v/>
      </c>
      <c r="C78" s="345" t="str">
        <f t="shared" ca="1" si="14"/>
        <v/>
      </c>
      <c r="D78" s="345" t="str">
        <f t="shared" ca="1" si="14"/>
        <v/>
      </c>
      <c r="E78" s="345" t="str">
        <f t="shared" ca="1" si="14"/>
        <v/>
      </c>
      <c r="F78" s="345" t="str">
        <f t="shared" ca="1" si="14"/>
        <v/>
      </c>
      <c r="G78" s="345" t="str">
        <f t="shared" ca="1" si="14"/>
        <v/>
      </c>
      <c r="H78" s="345" t="str">
        <f t="shared" ca="1" si="14"/>
        <v/>
      </c>
      <c r="I78" s="345" t="str">
        <f t="shared" ca="1" si="14"/>
        <v/>
      </c>
      <c r="J78" s="345" t="str">
        <f t="shared" ca="1" si="14"/>
        <v/>
      </c>
      <c r="K78" s="345" t="str">
        <f t="shared" ca="1" si="14"/>
        <v/>
      </c>
      <c r="L78" s="345" t="str">
        <f t="shared" ca="1" si="14"/>
        <v/>
      </c>
      <c r="M78" s="345" t="str">
        <f t="shared" ca="1" si="14"/>
        <v/>
      </c>
      <c r="N78" s="345" t="str">
        <f t="shared" ca="1" si="14"/>
        <v/>
      </c>
      <c r="O78" s="345" t="str">
        <f t="shared" ca="1" si="14"/>
        <v/>
      </c>
      <c r="P78" s="345" t="str">
        <f t="shared" ca="1" si="14"/>
        <v/>
      </c>
      <c r="Q78" s="345" t="str">
        <f t="shared" ca="1" si="14"/>
        <v/>
      </c>
      <c r="R78" s="345" t="str">
        <f t="shared" ca="1" si="16"/>
        <v/>
      </c>
      <c r="S78" s="345" t="str">
        <f t="shared" ca="1" si="16"/>
        <v/>
      </c>
      <c r="T78" s="345" t="str">
        <f t="shared" ca="1" si="16"/>
        <v/>
      </c>
      <c r="U78" s="345" t="str">
        <f t="shared" ca="1" si="16"/>
        <v/>
      </c>
      <c r="V78" s="345" t="str">
        <f t="shared" ca="1" si="16"/>
        <v/>
      </c>
      <c r="W78" s="345" t="str">
        <f t="shared" ca="1" si="16"/>
        <v/>
      </c>
      <c r="X78" s="345" t="str">
        <f t="shared" ca="1" si="16"/>
        <v/>
      </c>
      <c r="Y78" s="345" t="str">
        <f t="shared" ca="1" si="16"/>
        <v/>
      </c>
      <c r="Z78" s="345">
        <f t="shared" ca="1" si="16"/>
        <v>0</v>
      </c>
      <c r="AA78" s="345">
        <f t="shared" ca="1" si="16"/>
        <v>0</v>
      </c>
      <c r="AB78" s="345">
        <f t="shared" ca="1" si="16"/>
        <v>0</v>
      </c>
      <c r="AC78" s="345">
        <f t="shared" ca="1" si="16"/>
        <v>68125</v>
      </c>
      <c r="AD78" s="345">
        <f t="shared" ca="1" si="16"/>
        <v>90387</v>
      </c>
      <c r="AE78" s="345">
        <f t="shared" ca="1" si="16"/>
        <v>134825</v>
      </c>
      <c r="AF78" s="345">
        <f t="shared" ca="1" si="16"/>
        <v>0</v>
      </c>
      <c r="AG78" s="345">
        <f t="shared" ca="1" si="16"/>
        <v>0</v>
      </c>
      <c r="AH78" s="345">
        <f t="shared" ca="1" si="16"/>
        <v>0</v>
      </c>
      <c r="AI78" s="345">
        <f t="shared" ca="1" si="16"/>
        <v>0</v>
      </c>
      <c r="AJ78" s="345">
        <f t="shared" ca="1" si="16"/>
        <v>0</v>
      </c>
      <c r="AK78" s="345">
        <f t="shared" ca="1" si="16"/>
        <v>0</v>
      </c>
      <c r="AL78" s="345">
        <f t="shared" ca="1" si="16"/>
        <v>0</v>
      </c>
      <c r="AM78" s="345">
        <f t="shared" ca="1" si="16"/>
        <v>0</v>
      </c>
      <c r="AN78" s="345">
        <f t="shared" ca="1" si="16"/>
        <v>0</v>
      </c>
      <c r="AO78" s="345">
        <f t="shared" ca="1" si="16"/>
        <v>0</v>
      </c>
      <c r="AP78" s="345">
        <f t="shared" ca="1" si="16"/>
        <v>0</v>
      </c>
      <c r="AQ78" s="345">
        <f t="shared" ca="1" si="16"/>
        <v>0</v>
      </c>
      <c r="AR78" s="345">
        <f t="shared" ca="1" si="16"/>
        <v>0</v>
      </c>
      <c r="AS78" s="345">
        <f t="shared" ca="1" si="16"/>
        <v>0</v>
      </c>
      <c r="AT78" s="345">
        <f t="shared" ca="1" si="16"/>
        <v>0</v>
      </c>
      <c r="AU78" s="345">
        <f t="shared" ca="1" si="16"/>
        <v>0</v>
      </c>
      <c r="AV78" s="345">
        <f t="shared" ca="1" si="16"/>
        <v>0</v>
      </c>
      <c r="AW78" s="345">
        <f t="shared" ca="1" si="16"/>
        <v>0</v>
      </c>
      <c r="AX78" s="345">
        <f t="shared" ca="1" si="16"/>
        <v>0</v>
      </c>
      <c r="AY78" s="345">
        <f t="shared" ca="1" si="16"/>
        <v>0</v>
      </c>
      <c r="AZ78" s="345">
        <f t="shared" ca="1" si="16"/>
        <v>0</v>
      </c>
      <c r="BA78" s="345">
        <f t="shared" ca="1" si="16"/>
        <v>0</v>
      </c>
      <c r="BB78" s="345">
        <f t="shared" ca="1" si="16"/>
        <v>0</v>
      </c>
      <c r="BC78" s="345">
        <f t="shared" ca="1" si="16"/>
        <v>0</v>
      </c>
      <c r="BD78" s="345">
        <f t="shared" ca="1" si="16"/>
        <v>0</v>
      </c>
      <c r="BE78" s="345">
        <f t="shared" ca="1" si="16"/>
        <v>0</v>
      </c>
      <c r="BF78" s="345">
        <f t="shared" ca="1" si="16"/>
        <v>0</v>
      </c>
      <c r="BG78" s="345">
        <f t="shared" ca="1" si="16"/>
        <v>0</v>
      </c>
      <c r="BH78" s="345">
        <f t="shared" ca="1" si="16"/>
        <v>0</v>
      </c>
      <c r="BI78" s="345">
        <f t="shared" ca="1" si="16"/>
        <v>0</v>
      </c>
    </row>
    <row r="79" spans="1:61" outlineLevel="1" x14ac:dyDescent="0.15">
      <c r="A79" s="355">
        <v>26</v>
      </c>
      <c r="B79" s="345" t="str">
        <f t="shared" ca="1" si="14"/>
        <v/>
      </c>
      <c r="C79" s="345" t="str">
        <f t="shared" ca="1" si="14"/>
        <v/>
      </c>
      <c r="D79" s="345" t="str">
        <f t="shared" ca="1" si="14"/>
        <v/>
      </c>
      <c r="E79" s="345" t="str">
        <f t="shared" ca="1" si="14"/>
        <v/>
      </c>
      <c r="F79" s="345" t="str">
        <f t="shared" ca="1" si="14"/>
        <v/>
      </c>
      <c r="G79" s="345" t="str">
        <f t="shared" ca="1" si="14"/>
        <v/>
      </c>
      <c r="H79" s="345" t="str">
        <f t="shared" ca="1" si="14"/>
        <v/>
      </c>
      <c r="I79" s="345" t="str">
        <f t="shared" ca="1" si="14"/>
        <v/>
      </c>
      <c r="J79" s="345" t="str">
        <f t="shared" ca="1" si="14"/>
        <v/>
      </c>
      <c r="K79" s="345" t="str">
        <f t="shared" ca="1" si="14"/>
        <v/>
      </c>
      <c r="L79" s="345" t="str">
        <f t="shared" ca="1" si="14"/>
        <v/>
      </c>
      <c r="M79" s="345" t="str">
        <f t="shared" ca="1" si="14"/>
        <v/>
      </c>
      <c r="N79" s="345" t="str">
        <f t="shared" ca="1" si="14"/>
        <v/>
      </c>
      <c r="O79" s="345" t="str">
        <f t="shared" ca="1" si="14"/>
        <v/>
      </c>
      <c r="P79" s="345" t="str">
        <f t="shared" ca="1" si="14"/>
        <v/>
      </c>
      <c r="Q79" s="345" t="str">
        <f t="shared" ca="1" si="14"/>
        <v/>
      </c>
      <c r="R79" s="345" t="str">
        <f t="shared" ca="1" si="16"/>
        <v/>
      </c>
      <c r="S79" s="345" t="str">
        <f t="shared" ca="1" si="16"/>
        <v/>
      </c>
      <c r="T79" s="345" t="str">
        <f t="shared" ca="1" si="16"/>
        <v/>
      </c>
      <c r="U79" s="345" t="str">
        <f t="shared" ca="1" si="16"/>
        <v/>
      </c>
      <c r="V79" s="345" t="str">
        <f t="shared" ca="1" si="16"/>
        <v/>
      </c>
      <c r="W79" s="345" t="str">
        <f t="shared" ca="1" si="16"/>
        <v/>
      </c>
      <c r="X79" s="345" t="str">
        <f t="shared" ca="1" si="16"/>
        <v/>
      </c>
      <c r="Y79" s="345" t="str">
        <f t="shared" ca="1" si="16"/>
        <v/>
      </c>
      <c r="Z79" s="345" t="str">
        <f t="shared" ca="1" si="16"/>
        <v/>
      </c>
      <c r="AA79" s="345">
        <f t="shared" ca="1" si="16"/>
        <v>0</v>
      </c>
      <c r="AB79" s="345">
        <f t="shared" ca="1" si="16"/>
        <v>0</v>
      </c>
      <c r="AC79" s="345">
        <f t="shared" ca="1" si="16"/>
        <v>0</v>
      </c>
      <c r="AD79" s="345">
        <f t="shared" ca="1" si="16"/>
        <v>68125</v>
      </c>
      <c r="AE79" s="345">
        <f t="shared" ca="1" si="16"/>
        <v>90387</v>
      </c>
      <c r="AF79" s="345">
        <f t="shared" ca="1" si="16"/>
        <v>134825</v>
      </c>
      <c r="AG79" s="345">
        <f t="shared" ca="1" si="16"/>
        <v>0</v>
      </c>
      <c r="AH79" s="345">
        <f t="shared" ca="1" si="16"/>
        <v>0</v>
      </c>
      <c r="AI79" s="345">
        <f t="shared" ca="1" si="16"/>
        <v>0</v>
      </c>
      <c r="AJ79" s="345">
        <f t="shared" ca="1" si="16"/>
        <v>0</v>
      </c>
      <c r="AK79" s="345">
        <f t="shared" ca="1" si="16"/>
        <v>0</v>
      </c>
      <c r="AL79" s="345">
        <f t="shared" ca="1" si="16"/>
        <v>0</v>
      </c>
      <c r="AM79" s="345">
        <f t="shared" ca="1" si="16"/>
        <v>0</v>
      </c>
      <c r="AN79" s="345">
        <f t="shared" ca="1" si="16"/>
        <v>0</v>
      </c>
      <c r="AO79" s="345">
        <f t="shared" ca="1" si="16"/>
        <v>0</v>
      </c>
      <c r="AP79" s="345">
        <f t="shared" ca="1" si="16"/>
        <v>0</v>
      </c>
      <c r="AQ79" s="345">
        <f t="shared" ca="1" si="16"/>
        <v>0</v>
      </c>
      <c r="AR79" s="345">
        <f t="shared" ca="1" si="16"/>
        <v>0</v>
      </c>
      <c r="AS79" s="345">
        <f t="shared" ca="1" si="16"/>
        <v>0</v>
      </c>
      <c r="AT79" s="345">
        <f t="shared" ca="1" si="16"/>
        <v>0</v>
      </c>
      <c r="AU79" s="345">
        <f t="shared" ca="1" si="16"/>
        <v>0</v>
      </c>
      <c r="AV79" s="345">
        <f t="shared" ca="1" si="16"/>
        <v>0</v>
      </c>
      <c r="AW79" s="345">
        <f t="shared" ca="1" si="16"/>
        <v>0</v>
      </c>
      <c r="AX79" s="345">
        <f t="shared" ca="1" si="16"/>
        <v>0</v>
      </c>
      <c r="AY79" s="345">
        <f t="shared" ca="1" si="16"/>
        <v>0</v>
      </c>
      <c r="AZ79" s="345">
        <f t="shared" ca="1" si="16"/>
        <v>0</v>
      </c>
      <c r="BA79" s="345">
        <f t="shared" ca="1" si="16"/>
        <v>0</v>
      </c>
      <c r="BB79" s="345">
        <f t="shared" ca="1" si="16"/>
        <v>0</v>
      </c>
      <c r="BC79" s="345">
        <f t="shared" ca="1" si="16"/>
        <v>0</v>
      </c>
      <c r="BD79" s="345">
        <f t="shared" ca="1" si="16"/>
        <v>0</v>
      </c>
      <c r="BE79" s="345">
        <f t="shared" ca="1" si="16"/>
        <v>0</v>
      </c>
      <c r="BF79" s="345">
        <f t="shared" ca="1" si="16"/>
        <v>0</v>
      </c>
      <c r="BG79" s="345">
        <f t="shared" ca="1" si="16"/>
        <v>0</v>
      </c>
      <c r="BH79" s="345">
        <f t="shared" ca="1" si="16"/>
        <v>0</v>
      </c>
      <c r="BI79" s="345">
        <f t="shared" ca="1" si="16"/>
        <v>0</v>
      </c>
    </row>
    <row r="80" spans="1:61" outlineLevel="1" x14ac:dyDescent="0.15">
      <c r="A80" s="355">
        <v>27</v>
      </c>
      <c r="B80" s="345" t="str">
        <f t="shared" ca="1" si="14"/>
        <v/>
      </c>
      <c r="C80" s="345" t="str">
        <f t="shared" ca="1" si="14"/>
        <v/>
      </c>
      <c r="D80" s="345" t="str">
        <f t="shared" ca="1" si="14"/>
        <v/>
      </c>
      <c r="E80" s="345" t="str">
        <f t="shared" ca="1" si="14"/>
        <v/>
      </c>
      <c r="F80" s="345" t="str">
        <f t="shared" ca="1" si="14"/>
        <v/>
      </c>
      <c r="G80" s="345" t="str">
        <f t="shared" ca="1" si="14"/>
        <v/>
      </c>
      <c r="H80" s="345" t="str">
        <f t="shared" ca="1" si="14"/>
        <v/>
      </c>
      <c r="I80" s="345" t="str">
        <f t="shared" ca="1" si="14"/>
        <v/>
      </c>
      <c r="J80" s="345" t="str">
        <f t="shared" ca="1" si="14"/>
        <v/>
      </c>
      <c r="K80" s="345" t="str">
        <f t="shared" ca="1" si="14"/>
        <v/>
      </c>
      <c r="L80" s="345" t="str">
        <f t="shared" ca="1" si="14"/>
        <v/>
      </c>
      <c r="M80" s="345" t="str">
        <f t="shared" ca="1" si="14"/>
        <v/>
      </c>
      <c r="N80" s="345" t="str">
        <f t="shared" ca="1" si="14"/>
        <v/>
      </c>
      <c r="O80" s="345" t="str">
        <f t="shared" ca="1" si="14"/>
        <v/>
      </c>
      <c r="P80" s="345" t="str">
        <f t="shared" ca="1" si="14"/>
        <v/>
      </c>
      <c r="Q80" s="345" t="str">
        <f t="shared" ca="1" si="14"/>
        <v/>
      </c>
      <c r="R80" s="345" t="str">
        <f t="shared" ca="1" si="16"/>
        <v/>
      </c>
      <c r="S80" s="345" t="str">
        <f t="shared" ca="1" si="16"/>
        <v/>
      </c>
      <c r="T80" s="345" t="str">
        <f t="shared" ca="1" si="16"/>
        <v/>
      </c>
      <c r="U80" s="345" t="str">
        <f t="shared" ca="1" si="16"/>
        <v/>
      </c>
      <c r="V80" s="345" t="str">
        <f t="shared" ca="1" si="16"/>
        <v/>
      </c>
      <c r="W80" s="345" t="str">
        <f t="shared" ca="1" si="16"/>
        <v/>
      </c>
      <c r="X80" s="345" t="str">
        <f t="shared" ca="1" si="16"/>
        <v/>
      </c>
      <c r="Y80" s="345" t="str">
        <f t="shared" ca="1" si="16"/>
        <v/>
      </c>
      <c r="Z80" s="345" t="str">
        <f t="shared" ca="1" si="16"/>
        <v/>
      </c>
      <c r="AA80" s="345" t="str">
        <f t="shared" ca="1" si="16"/>
        <v/>
      </c>
      <c r="AB80" s="345">
        <f t="shared" ca="1" si="16"/>
        <v>0</v>
      </c>
      <c r="AC80" s="345">
        <f t="shared" ca="1" si="16"/>
        <v>0</v>
      </c>
      <c r="AD80" s="345">
        <f t="shared" ca="1" si="16"/>
        <v>0</v>
      </c>
      <c r="AE80" s="345">
        <f t="shared" ca="1" si="16"/>
        <v>68125</v>
      </c>
      <c r="AF80" s="345">
        <f t="shared" ca="1" si="16"/>
        <v>90387</v>
      </c>
      <c r="AG80" s="345">
        <f t="shared" ca="1" si="16"/>
        <v>134825</v>
      </c>
      <c r="AH80" s="345">
        <f t="shared" ca="1" si="16"/>
        <v>0</v>
      </c>
      <c r="AI80" s="345">
        <f t="shared" ca="1" si="16"/>
        <v>0</v>
      </c>
      <c r="AJ80" s="345">
        <f t="shared" ca="1" si="16"/>
        <v>0</v>
      </c>
      <c r="AK80" s="345">
        <f t="shared" ca="1" si="16"/>
        <v>0</v>
      </c>
      <c r="AL80" s="345">
        <f t="shared" ca="1" si="16"/>
        <v>0</v>
      </c>
      <c r="AM80" s="345">
        <f t="shared" ca="1" si="16"/>
        <v>0</v>
      </c>
      <c r="AN80" s="345">
        <f t="shared" ca="1" si="16"/>
        <v>0</v>
      </c>
      <c r="AO80" s="345">
        <f t="shared" ca="1" si="16"/>
        <v>0</v>
      </c>
      <c r="AP80" s="345">
        <f t="shared" ca="1" si="16"/>
        <v>0</v>
      </c>
      <c r="AQ80" s="345">
        <f t="shared" ca="1" si="16"/>
        <v>0</v>
      </c>
      <c r="AR80" s="345">
        <f t="shared" ca="1" si="16"/>
        <v>0</v>
      </c>
      <c r="AS80" s="345">
        <f t="shared" ca="1" si="16"/>
        <v>0</v>
      </c>
      <c r="AT80" s="345">
        <f t="shared" ca="1" si="16"/>
        <v>0</v>
      </c>
      <c r="AU80" s="345">
        <f t="shared" ca="1" si="16"/>
        <v>0</v>
      </c>
      <c r="AV80" s="345">
        <f t="shared" ca="1" si="16"/>
        <v>0</v>
      </c>
      <c r="AW80" s="345">
        <f t="shared" ca="1" si="16"/>
        <v>0</v>
      </c>
      <c r="AX80" s="345">
        <f t="shared" ca="1" si="16"/>
        <v>0</v>
      </c>
      <c r="AY80" s="345">
        <f t="shared" ca="1" si="16"/>
        <v>0</v>
      </c>
      <c r="AZ80" s="345">
        <f t="shared" ca="1" si="16"/>
        <v>0</v>
      </c>
      <c r="BA80" s="345">
        <f t="shared" ca="1" si="16"/>
        <v>0</v>
      </c>
      <c r="BB80" s="345">
        <f t="shared" ca="1" si="16"/>
        <v>0</v>
      </c>
      <c r="BC80" s="345">
        <f t="shared" ca="1" si="16"/>
        <v>0</v>
      </c>
      <c r="BD80" s="345">
        <f t="shared" ca="1" si="16"/>
        <v>0</v>
      </c>
      <c r="BE80" s="345">
        <f t="shared" ca="1" si="16"/>
        <v>0</v>
      </c>
      <c r="BF80" s="345">
        <f t="shared" ca="1" si="16"/>
        <v>0</v>
      </c>
      <c r="BG80" s="345">
        <f t="shared" ca="1" si="16"/>
        <v>0</v>
      </c>
      <c r="BH80" s="345">
        <f t="shared" ca="1" si="16"/>
        <v>0</v>
      </c>
      <c r="BI80" s="345">
        <f t="shared" ref="BI80:DO84" ca="1" si="17">IF($A80&gt;BI$5,"",OFFSET(BI$53,0,-($A80-1)))</f>
        <v>0</v>
      </c>
    </row>
    <row r="81" spans="1:61" outlineLevel="1" x14ac:dyDescent="0.15">
      <c r="A81" s="355">
        <v>28</v>
      </c>
      <c r="B81" s="345" t="str">
        <f t="shared" ca="1" si="14"/>
        <v/>
      </c>
      <c r="C81" s="345" t="str">
        <f t="shared" ca="1" si="14"/>
        <v/>
      </c>
      <c r="D81" s="345" t="str">
        <f t="shared" ca="1" si="14"/>
        <v/>
      </c>
      <c r="E81" s="345" t="str">
        <f t="shared" ca="1" si="14"/>
        <v/>
      </c>
      <c r="F81" s="345" t="str">
        <f t="shared" ca="1" si="14"/>
        <v/>
      </c>
      <c r="G81" s="345" t="str">
        <f t="shared" ca="1" si="14"/>
        <v/>
      </c>
      <c r="H81" s="345" t="str">
        <f t="shared" ca="1" si="14"/>
        <v/>
      </c>
      <c r="I81" s="345" t="str">
        <f t="shared" ca="1" si="14"/>
        <v/>
      </c>
      <c r="J81" s="345" t="str">
        <f t="shared" ca="1" si="14"/>
        <v/>
      </c>
      <c r="K81" s="345" t="str">
        <f t="shared" ca="1" si="14"/>
        <v/>
      </c>
      <c r="L81" s="345" t="str">
        <f t="shared" ca="1" si="14"/>
        <v/>
      </c>
      <c r="M81" s="345" t="str">
        <f t="shared" ca="1" si="14"/>
        <v/>
      </c>
      <c r="N81" s="345" t="str">
        <f t="shared" ca="1" si="14"/>
        <v/>
      </c>
      <c r="O81" s="345" t="str">
        <f t="shared" ca="1" si="14"/>
        <v/>
      </c>
      <c r="P81" s="345" t="str">
        <f t="shared" ca="1" si="14"/>
        <v/>
      </c>
      <c r="Q81" s="345" t="str">
        <f t="shared" ca="1" si="14"/>
        <v/>
      </c>
      <c r="R81" s="345" t="str">
        <f t="shared" ref="R81:BX85" ca="1" si="18">IF($A81&gt;R$5,"",OFFSET(R$53,0,-($A81-1)))</f>
        <v/>
      </c>
      <c r="S81" s="345" t="str">
        <f t="shared" ca="1" si="18"/>
        <v/>
      </c>
      <c r="T81" s="345" t="str">
        <f t="shared" ca="1" si="18"/>
        <v/>
      </c>
      <c r="U81" s="345" t="str">
        <f t="shared" ca="1" si="18"/>
        <v/>
      </c>
      <c r="V81" s="345" t="str">
        <f t="shared" ca="1" si="18"/>
        <v/>
      </c>
      <c r="W81" s="345" t="str">
        <f t="shared" ca="1" si="18"/>
        <v/>
      </c>
      <c r="X81" s="345" t="str">
        <f t="shared" ca="1" si="18"/>
        <v/>
      </c>
      <c r="Y81" s="345" t="str">
        <f t="shared" ca="1" si="18"/>
        <v/>
      </c>
      <c r="Z81" s="345" t="str">
        <f t="shared" ca="1" si="18"/>
        <v/>
      </c>
      <c r="AA81" s="345" t="str">
        <f t="shared" ca="1" si="18"/>
        <v/>
      </c>
      <c r="AB81" s="345" t="str">
        <f t="shared" ca="1" si="18"/>
        <v/>
      </c>
      <c r="AC81" s="345">
        <f t="shared" ca="1" si="18"/>
        <v>0</v>
      </c>
      <c r="AD81" s="345">
        <f t="shared" ca="1" si="18"/>
        <v>0</v>
      </c>
      <c r="AE81" s="345">
        <f t="shared" ca="1" si="18"/>
        <v>0</v>
      </c>
      <c r="AF81" s="345">
        <f t="shared" ca="1" si="18"/>
        <v>68125</v>
      </c>
      <c r="AG81" s="345">
        <f t="shared" ca="1" si="18"/>
        <v>90387</v>
      </c>
      <c r="AH81" s="345">
        <f t="shared" ca="1" si="18"/>
        <v>134825</v>
      </c>
      <c r="AI81" s="345">
        <f t="shared" ca="1" si="18"/>
        <v>0</v>
      </c>
      <c r="AJ81" s="345">
        <f t="shared" ca="1" si="18"/>
        <v>0</v>
      </c>
      <c r="AK81" s="345">
        <f t="shared" ca="1" si="18"/>
        <v>0</v>
      </c>
      <c r="AL81" s="345">
        <f t="shared" ca="1" si="18"/>
        <v>0</v>
      </c>
      <c r="AM81" s="345">
        <f t="shared" ca="1" si="18"/>
        <v>0</v>
      </c>
      <c r="AN81" s="345">
        <f t="shared" ca="1" si="18"/>
        <v>0</v>
      </c>
      <c r="AO81" s="345">
        <f t="shared" ca="1" si="18"/>
        <v>0</v>
      </c>
      <c r="AP81" s="345">
        <f t="shared" ca="1" si="18"/>
        <v>0</v>
      </c>
      <c r="AQ81" s="345">
        <f t="shared" ca="1" si="18"/>
        <v>0</v>
      </c>
      <c r="AR81" s="345">
        <f t="shared" ca="1" si="18"/>
        <v>0</v>
      </c>
      <c r="AS81" s="345">
        <f t="shared" ca="1" si="18"/>
        <v>0</v>
      </c>
      <c r="AT81" s="345">
        <f t="shared" ca="1" si="18"/>
        <v>0</v>
      </c>
      <c r="AU81" s="345">
        <f t="shared" ca="1" si="18"/>
        <v>0</v>
      </c>
      <c r="AV81" s="345">
        <f t="shared" ca="1" si="18"/>
        <v>0</v>
      </c>
      <c r="AW81" s="345">
        <f t="shared" ca="1" si="18"/>
        <v>0</v>
      </c>
      <c r="AX81" s="345">
        <f t="shared" ca="1" si="18"/>
        <v>0</v>
      </c>
      <c r="AY81" s="345">
        <f t="shared" ca="1" si="18"/>
        <v>0</v>
      </c>
      <c r="AZ81" s="345">
        <f t="shared" ca="1" si="18"/>
        <v>0</v>
      </c>
      <c r="BA81" s="345">
        <f t="shared" ca="1" si="18"/>
        <v>0</v>
      </c>
      <c r="BB81" s="345">
        <f t="shared" ca="1" si="18"/>
        <v>0</v>
      </c>
      <c r="BC81" s="345">
        <f t="shared" ca="1" si="18"/>
        <v>0</v>
      </c>
      <c r="BD81" s="345">
        <f t="shared" ca="1" si="18"/>
        <v>0</v>
      </c>
      <c r="BE81" s="345">
        <f t="shared" ca="1" si="18"/>
        <v>0</v>
      </c>
      <c r="BF81" s="345">
        <f t="shared" ca="1" si="18"/>
        <v>0</v>
      </c>
      <c r="BG81" s="345">
        <f t="shared" ca="1" si="18"/>
        <v>0</v>
      </c>
      <c r="BH81" s="345">
        <f t="shared" ca="1" si="18"/>
        <v>0</v>
      </c>
      <c r="BI81" s="345">
        <f t="shared" ca="1" si="18"/>
        <v>0</v>
      </c>
    </row>
    <row r="82" spans="1:61" outlineLevel="1" x14ac:dyDescent="0.15">
      <c r="A82" s="355">
        <v>29</v>
      </c>
      <c r="B82" s="345" t="str">
        <f t="shared" ca="1" si="14"/>
        <v/>
      </c>
      <c r="C82" s="345" t="str">
        <f t="shared" ca="1" si="14"/>
        <v/>
      </c>
      <c r="D82" s="345" t="str">
        <f t="shared" ca="1" si="14"/>
        <v/>
      </c>
      <c r="E82" s="345" t="str">
        <f t="shared" ca="1" si="14"/>
        <v/>
      </c>
      <c r="F82" s="345" t="str">
        <f t="shared" ca="1" si="14"/>
        <v/>
      </c>
      <c r="G82" s="345" t="str">
        <f t="shared" ca="1" si="14"/>
        <v/>
      </c>
      <c r="H82" s="345" t="str">
        <f t="shared" ca="1" si="14"/>
        <v/>
      </c>
      <c r="I82" s="345" t="str">
        <f t="shared" ca="1" si="14"/>
        <v/>
      </c>
      <c r="J82" s="345" t="str">
        <f t="shared" ca="1" si="14"/>
        <v/>
      </c>
      <c r="K82" s="345" t="str">
        <f t="shared" ca="1" si="14"/>
        <v/>
      </c>
      <c r="L82" s="345" t="str">
        <f t="shared" ca="1" si="14"/>
        <v/>
      </c>
      <c r="M82" s="345" t="str">
        <f t="shared" ca="1" si="14"/>
        <v/>
      </c>
      <c r="N82" s="345" t="str">
        <f t="shared" ca="1" si="14"/>
        <v/>
      </c>
      <c r="O82" s="345" t="str">
        <f t="shared" ca="1" si="14"/>
        <v/>
      </c>
      <c r="P82" s="345" t="str">
        <f t="shared" ca="1" si="14"/>
        <v/>
      </c>
      <c r="Q82" s="345" t="str">
        <f t="shared" ca="1" si="14"/>
        <v/>
      </c>
      <c r="R82" s="345" t="str">
        <f t="shared" ca="1" si="18"/>
        <v/>
      </c>
      <c r="S82" s="345" t="str">
        <f t="shared" ca="1" si="18"/>
        <v/>
      </c>
      <c r="T82" s="345" t="str">
        <f t="shared" ca="1" si="18"/>
        <v/>
      </c>
      <c r="U82" s="345" t="str">
        <f t="shared" ca="1" si="18"/>
        <v/>
      </c>
      <c r="V82" s="345" t="str">
        <f t="shared" ca="1" si="18"/>
        <v/>
      </c>
      <c r="W82" s="345" t="str">
        <f t="shared" ca="1" si="18"/>
        <v/>
      </c>
      <c r="X82" s="345" t="str">
        <f t="shared" ca="1" si="18"/>
        <v/>
      </c>
      <c r="Y82" s="345" t="str">
        <f t="shared" ca="1" si="18"/>
        <v/>
      </c>
      <c r="Z82" s="345" t="str">
        <f t="shared" ca="1" si="18"/>
        <v/>
      </c>
      <c r="AA82" s="345" t="str">
        <f t="shared" ca="1" si="18"/>
        <v/>
      </c>
      <c r="AB82" s="345" t="str">
        <f t="shared" ca="1" si="18"/>
        <v/>
      </c>
      <c r="AC82" s="345" t="str">
        <f t="shared" ca="1" si="18"/>
        <v/>
      </c>
      <c r="AD82" s="345">
        <f t="shared" ca="1" si="18"/>
        <v>0</v>
      </c>
      <c r="AE82" s="345">
        <f t="shared" ca="1" si="18"/>
        <v>0</v>
      </c>
      <c r="AF82" s="345">
        <f t="shared" ca="1" si="18"/>
        <v>0</v>
      </c>
      <c r="AG82" s="345">
        <f t="shared" ca="1" si="18"/>
        <v>68125</v>
      </c>
      <c r="AH82" s="345">
        <f t="shared" ca="1" si="18"/>
        <v>90387</v>
      </c>
      <c r="AI82" s="345">
        <f t="shared" ca="1" si="18"/>
        <v>134825</v>
      </c>
      <c r="AJ82" s="345">
        <f t="shared" ca="1" si="18"/>
        <v>0</v>
      </c>
      <c r="AK82" s="345">
        <f t="shared" ca="1" si="18"/>
        <v>0</v>
      </c>
      <c r="AL82" s="345">
        <f t="shared" ca="1" si="18"/>
        <v>0</v>
      </c>
      <c r="AM82" s="345">
        <f t="shared" ca="1" si="18"/>
        <v>0</v>
      </c>
      <c r="AN82" s="345">
        <f t="shared" ca="1" si="18"/>
        <v>0</v>
      </c>
      <c r="AO82" s="345">
        <f t="shared" ca="1" si="18"/>
        <v>0</v>
      </c>
      <c r="AP82" s="345">
        <f t="shared" ca="1" si="18"/>
        <v>0</v>
      </c>
      <c r="AQ82" s="345">
        <f t="shared" ca="1" si="18"/>
        <v>0</v>
      </c>
      <c r="AR82" s="345">
        <f t="shared" ca="1" si="18"/>
        <v>0</v>
      </c>
      <c r="AS82" s="345">
        <f t="shared" ca="1" si="18"/>
        <v>0</v>
      </c>
      <c r="AT82" s="345">
        <f t="shared" ca="1" si="18"/>
        <v>0</v>
      </c>
      <c r="AU82" s="345">
        <f t="shared" ca="1" si="18"/>
        <v>0</v>
      </c>
      <c r="AV82" s="345">
        <f t="shared" ca="1" si="18"/>
        <v>0</v>
      </c>
      <c r="AW82" s="345">
        <f t="shared" ca="1" si="18"/>
        <v>0</v>
      </c>
      <c r="AX82" s="345">
        <f t="shared" ca="1" si="18"/>
        <v>0</v>
      </c>
      <c r="AY82" s="345">
        <f t="shared" ca="1" si="18"/>
        <v>0</v>
      </c>
      <c r="AZ82" s="345">
        <f t="shared" ca="1" si="18"/>
        <v>0</v>
      </c>
      <c r="BA82" s="345">
        <f t="shared" ca="1" si="18"/>
        <v>0</v>
      </c>
      <c r="BB82" s="345">
        <f t="shared" ca="1" si="18"/>
        <v>0</v>
      </c>
      <c r="BC82" s="345">
        <f t="shared" ca="1" si="18"/>
        <v>0</v>
      </c>
      <c r="BD82" s="345">
        <f t="shared" ca="1" si="18"/>
        <v>0</v>
      </c>
      <c r="BE82" s="345">
        <f t="shared" ca="1" si="18"/>
        <v>0</v>
      </c>
      <c r="BF82" s="345">
        <f t="shared" ca="1" si="18"/>
        <v>0</v>
      </c>
      <c r="BG82" s="345">
        <f t="shared" ca="1" si="18"/>
        <v>0</v>
      </c>
      <c r="BH82" s="345">
        <f t="shared" ca="1" si="18"/>
        <v>0</v>
      </c>
      <c r="BI82" s="345">
        <f t="shared" ca="1" si="18"/>
        <v>0</v>
      </c>
    </row>
    <row r="83" spans="1:61" outlineLevel="1" x14ac:dyDescent="0.15">
      <c r="A83" s="355">
        <v>30</v>
      </c>
      <c r="B83" s="345" t="str">
        <f t="shared" ca="1" si="14"/>
        <v/>
      </c>
      <c r="C83" s="345" t="str">
        <f t="shared" ca="1" si="14"/>
        <v/>
      </c>
      <c r="D83" s="345" t="str">
        <f t="shared" ca="1" si="14"/>
        <v/>
      </c>
      <c r="E83" s="345" t="str">
        <f t="shared" ca="1" si="14"/>
        <v/>
      </c>
      <c r="F83" s="345" t="str">
        <f t="shared" ca="1" si="14"/>
        <v/>
      </c>
      <c r="G83" s="345" t="str">
        <f t="shared" ca="1" si="14"/>
        <v/>
      </c>
      <c r="H83" s="345" t="str">
        <f t="shared" ca="1" si="14"/>
        <v/>
      </c>
      <c r="I83" s="345" t="str">
        <f t="shared" ca="1" si="14"/>
        <v/>
      </c>
      <c r="J83" s="345" t="str">
        <f t="shared" ca="1" si="14"/>
        <v/>
      </c>
      <c r="K83" s="345" t="str">
        <f t="shared" ca="1" si="14"/>
        <v/>
      </c>
      <c r="L83" s="345" t="str">
        <f t="shared" ca="1" si="14"/>
        <v/>
      </c>
      <c r="M83" s="345" t="str">
        <f t="shared" ca="1" si="14"/>
        <v/>
      </c>
      <c r="N83" s="345" t="str">
        <f t="shared" ca="1" si="14"/>
        <v/>
      </c>
      <c r="O83" s="345" t="str">
        <f t="shared" ca="1" si="14"/>
        <v/>
      </c>
      <c r="P83" s="345" t="str">
        <f t="shared" ca="1" si="14"/>
        <v/>
      </c>
      <c r="Q83" s="345" t="str">
        <f t="shared" ca="1" si="14"/>
        <v/>
      </c>
      <c r="R83" s="345" t="str">
        <f t="shared" ca="1" si="18"/>
        <v/>
      </c>
      <c r="S83" s="345" t="str">
        <f t="shared" ca="1" si="18"/>
        <v/>
      </c>
      <c r="T83" s="345" t="str">
        <f t="shared" ca="1" si="18"/>
        <v/>
      </c>
      <c r="U83" s="345" t="str">
        <f t="shared" ca="1" si="18"/>
        <v/>
      </c>
      <c r="V83" s="345" t="str">
        <f t="shared" ca="1" si="18"/>
        <v/>
      </c>
      <c r="W83" s="345" t="str">
        <f t="shared" ca="1" si="18"/>
        <v/>
      </c>
      <c r="X83" s="345" t="str">
        <f t="shared" ca="1" si="18"/>
        <v/>
      </c>
      <c r="Y83" s="345" t="str">
        <f t="shared" ca="1" si="18"/>
        <v/>
      </c>
      <c r="Z83" s="345" t="str">
        <f t="shared" ca="1" si="18"/>
        <v/>
      </c>
      <c r="AA83" s="345" t="str">
        <f t="shared" ca="1" si="18"/>
        <v/>
      </c>
      <c r="AB83" s="345" t="str">
        <f t="shared" ca="1" si="18"/>
        <v/>
      </c>
      <c r="AC83" s="345" t="str">
        <f t="shared" ca="1" si="18"/>
        <v/>
      </c>
      <c r="AD83" s="345" t="str">
        <f t="shared" ca="1" si="18"/>
        <v/>
      </c>
      <c r="AE83" s="345">
        <f t="shared" ca="1" si="18"/>
        <v>0</v>
      </c>
      <c r="AF83" s="345">
        <f t="shared" ca="1" si="18"/>
        <v>0</v>
      </c>
      <c r="AG83" s="345">
        <f t="shared" ca="1" si="18"/>
        <v>0</v>
      </c>
      <c r="AH83" s="345">
        <f t="shared" ca="1" si="18"/>
        <v>68125</v>
      </c>
      <c r="AI83" s="345">
        <f t="shared" ca="1" si="18"/>
        <v>90387</v>
      </c>
      <c r="AJ83" s="345">
        <f t="shared" ca="1" si="18"/>
        <v>134825</v>
      </c>
      <c r="AK83" s="345">
        <f t="shared" ca="1" si="18"/>
        <v>0</v>
      </c>
      <c r="AL83" s="345">
        <f t="shared" ca="1" si="18"/>
        <v>0</v>
      </c>
      <c r="AM83" s="345">
        <f t="shared" ca="1" si="18"/>
        <v>0</v>
      </c>
      <c r="AN83" s="345">
        <f t="shared" ca="1" si="18"/>
        <v>0</v>
      </c>
      <c r="AO83" s="345">
        <f t="shared" ca="1" si="18"/>
        <v>0</v>
      </c>
      <c r="AP83" s="345">
        <f t="shared" ca="1" si="18"/>
        <v>0</v>
      </c>
      <c r="AQ83" s="345">
        <f t="shared" ca="1" si="18"/>
        <v>0</v>
      </c>
      <c r="AR83" s="345">
        <f t="shared" ca="1" si="18"/>
        <v>0</v>
      </c>
      <c r="AS83" s="345">
        <f t="shared" ca="1" si="18"/>
        <v>0</v>
      </c>
      <c r="AT83" s="345">
        <f t="shared" ca="1" si="18"/>
        <v>0</v>
      </c>
      <c r="AU83" s="345">
        <f t="shared" ca="1" si="18"/>
        <v>0</v>
      </c>
      <c r="AV83" s="345">
        <f t="shared" ca="1" si="18"/>
        <v>0</v>
      </c>
      <c r="AW83" s="345">
        <f t="shared" ca="1" si="18"/>
        <v>0</v>
      </c>
      <c r="AX83" s="345">
        <f t="shared" ca="1" si="18"/>
        <v>0</v>
      </c>
      <c r="AY83" s="345">
        <f t="shared" ca="1" si="18"/>
        <v>0</v>
      </c>
      <c r="AZ83" s="345">
        <f t="shared" ca="1" si="18"/>
        <v>0</v>
      </c>
      <c r="BA83" s="345">
        <f t="shared" ca="1" si="18"/>
        <v>0</v>
      </c>
      <c r="BB83" s="345">
        <f t="shared" ca="1" si="18"/>
        <v>0</v>
      </c>
      <c r="BC83" s="345">
        <f t="shared" ca="1" si="18"/>
        <v>0</v>
      </c>
      <c r="BD83" s="345">
        <f t="shared" ca="1" si="18"/>
        <v>0</v>
      </c>
      <c r="BE83" s="345">
        <f t="shared" ca="1" si="18"/>
        <v>0</v>
      </c>
      <c r="BF83" s="345">
        <f t="shared" ca="1" si="18"/>
        <v>0</v>
      </c>
      <c r="BG83" s="345">
        <f t="shared" ca="1" si="18"/>
        <v>0</v>
      </c>
      <c r="BH83" s="345">
        <f t="shared" ca="1" si="18"/>
        <v>0</v>
      </c>
      <c r="BI83" s="345">
        <f t="shared" ca="1" si="18"/>
        <v>0</v>
      </c>
    </row>
    <row r="84" spans="1:61" outlineLevel="1" x14ac:dyDescent="0.15">
      <c r="A84" s="355">
        <v>31</v>
      </c>
      <c r="B84" s="345" t="str">
        <f t="shared" ca="1" si="14"/>
        <v/>
      </c>
      <c r="C84" s="345" t="str">
        <f t="shared" ca="1" si="14"/>
        <v/>
      </c>
      <c r="D84" s="345" t="str">
        <f t="shared" ca="1" si="14"/>
        <v/>
      </c>
      <c r="E84" s="345" t="str">
        <f t="shared" ca="1" si="14"/>
        <v/>
      </c>
      <c r="F84" s="345" t="str">
        <f t="shared" ca="1" si="14"/>
        <v/>
      </c>
      <c r="G84" s="345" t="str">
        <f t="shared" ca="1" si="14"/>
        <v/>
      </c>
      <c r="H84" s="345" t="str">
        <f t="shared" ca="1" si="14"/>
        <v/>
      </c>
      <c r="I84" s="345" t="str">
        <f t="shared" ca="1" si="14"/>
        <v/>
      </c>
      <c r="J84" s="345" t="str">
        <f t="shared" ca="1" si="14"/>
        <v/>
      </c>
      <c r="K84" s="345" t="str">
        <f t="shared" ca="1" si="14"/>
        <v/>
      </c>
      <c r="L84" s="345" t="str">
        <f t="shared" ca="1" si="14"/>
        <v/>
      </c>
      <c r="M84" s="345" t="str">
        <f t="shared" ca="1" si="14"/>
        <v/>
      </c>
      <c r="N84" s="345" t="str">
        <f t="shared" ca="1" si="14"/>
        <v/>
      </c>
      <c r="O84" s="345" t="str">
        <f t="shared" ca="1" si="14"/>
        <v/>
      </c>
      <c r="P84" s="345" t="str">
        <f t="shared" ca="1" si="14"/>
        <v/>
      </c>
      <c r="Q84" s="345" t="str">
        <f t="shared" ca="1" si="14"/>
        <v/>
      </c>
      <c r="R84" s="345" t="str">
        <f t="shared" ca="1" si="18"/>
        <v/>
      </c>
      <c r="S84" s="345" t="str">
        <f t="shared" ca="1" si="18"/>
        <v/>
      </c>
      <c r="T84" s="345" t="str">
        <f t="shared" ca="1" si="18"/>
        <v/>
      </c>
      <c r="U84" s="345" t="str">
        <f t="shared" ca="1" si="18"/>
        <v/>
      </c>
      <c r="V84" s="345" t="str">
        <f t="shared" ca="1" si="18"/>
        <v/>
      </c>
      <c r="W84" s="345" t="str">
        <f t="shared" ca="1" si="18"/>
        <v/>
      </c>
      <c r="X84" s="345" t="str">
        <f t="shared" ca="1" si="18"/>
        <v/>
      </c>
      <c r="Y84" s="345" t="str">
        <f t="shared" ca="1" si="18"/>
        <v/>
      </c>
      <c r="Z84" s="345" t="str">
        <f t="shared" ca="1" si="18"/>
        <v/>
      </c>
      <c r="AA84" s="345" t="str">
        <f t="shared" ca="1" si="18"/>
        <v/>
      </c>
      <c r="AB84" s="345" t="str">
        <f t="shared" ca="1" si="18"/>
        <v/>
      </c>
      <c r="AC84" s="345" t="str">
        <f t="shared" ca="1" si="18"/>
        <v/>
      </c>
      <c r="AD84" s="345" t="str">
        <f t="shared" ca="1" si="18"/>
        <v/>
      </c>
      <c r="AE84" s="345" t="str">
        <f t="shared" ca="1" si="18"/>
        <v/>
      </c>
      <c r="AF84" s="345">
        <f t="shared" ca="1" si="18"/>
        <v>0</v>
      </c>
      <c r="AG84" s="345">
        <f t="shared" ca="1" si="18"/>
        <v>0</v>
      </c>
      <c r="AH84" s="345">
        <f t="shared" ca="1" si="18"/>
        <v>0</v>
      </c>
      <c r="AI84" s="345">
        <f t="shared" ca="1" si="18"/>
        <v>68125</v>
      </c>
      <c r="AJ84" s="345">
        <f t="shared" ca="1" si="18"/>
        <v>90387</v>
      </c>
      <c r="AK84" s="345">
        <f t="shared" ca="1" si="18"/>
        <v>134825</v>
      </c>
      <c r="AL84" s="345">
        <f t="shared" ca="1" si="18"/>
        <v>0</v>
      </c>
      <c r="AM84" s="345">
        <f t="shared" ca="1" si="18"/>
        <v>0</v>
      </c>
      <c r="AN84" s="345">
        <f t="shared" ca="1" si="18"/>
        <v>0</v>
      </c>
      <c r="AO84" s="345">
        <f t="shared" ca="1" si="18"/>
        <v>0</v>
      </c>
      <c r="AP84" s="345">
        <f t="shared" ca="1" si="18"/>
        <v>0</v>
      </c>
      <c r="AQ84" s="345">
        <f t="shared" ca="1" si="18"/>
        <v>0</v>
      </c>
      <c r="AR84" s="345">
        <f t="shared" ca="1" si="18"/>
        <v>0</v>
      </c>
      <c r="AS84" s="345">
        <f t="shared" ca="1" si="18"/>
        <v>0</v>
      </c>
      <c r="AT84" s="345">
        <f t="shared" ca="1" si="18"/>
        <v>0</v>
      </c>
      <c r="AU84" s="345">
        <f t="shared" ca="1" si="18"/>
        <v>0</v>
      </c>
      <c r="AV84" s="345">
        <f t="shared" ca="1" si="18"/>
        <v>0</v>
      </c>
      <c r="AW84" s="345">
        <f t="shared" ca="1" si="18"/>
        <v>0</v>
      </c>
      <c r="AX84" s="345">
        <f t="shared" ca="1" si="18"/>
        <v>0</v>
      </c>
      <c r="AY84" s="345">
        <f t="shared" ca="1" si="18"/>
        <v>0</v>
      </c>
      <c r="AZ84" s="345">
        <f t="shared" ca="1" si="18"/>
        <v>0</v>
      </c>
      <c r="BA84" s="345">
        <f t="shared" ca="1" si="18"/>
        <v>0</v>
      </c>
      <c r="BB84" s="345">
        <f t="shared" ca="1" si="18"/>
        <v>0</v>
      </c>
      <c r="BC84" s="345">
        <f t="shared" ca="1" si="18"/>
        <v>0</v>
      </c>
      <c r="BD84" s="345">
        <f t="shared" ca="1" si="18"/>
        <v>0</v>
      </c>
      <c r="BE84" s="345">
        <f t="shared" ca="1" si="18"/>
        <v>0</v>
      </c>
      <c r="BF84" s="345">
        <f t="shared" ca="1" si="18"/>
        <v>0</v>
      </c>
      <c r="BG84" s="345">
        <f t="shared" ca="1" si="18"/>
        <v>0</v>
      </c>
      <c r="BH84" s="345">
        <f t="shared" ca="1" si="18"/>
        <v>0</v>
      </c>
      <c r="BI84" s="345">
        <f t="shared" ca="1" si="18"/>
        <v>0</v>
      </c>
    </row>
    <row r="85" spans="1:61" outlineLevel="1" x14ac:dyDescent="0.15">
      <c r="A85" s="355">
        <v>32</v>
      </c>
      <c r="B85" s="345" t="str">
        <f t="shared" ca="1" si="14"/>
        <v/>
      </c>
      <c r="C85" s="345" t="str">
        <f t="shared" ca="1" si="14"/>
        <v/>
      </c>
      <c r="D85" s="345" t="str">
        <f t="shared" ca="1" si="14"/>
        <v/>
      </c>
      <c r="E85" s="345" t="str">
        <f t="shared" ca="1" si="14"/>
        <v/>
      </c>
      <c r="F85" s="345" t="str">
        <f t="shared" ca="1" si="14"/>
        <v/>
      </c>
      <c r="G85" s="345" t="str">
        <f t="shared" ca="1" si="14"/>
        <v/>
      </c>
      <c r="H85" s="345" t="str">
        <f t="shared" ca="1" si="14"/>
        <v/>
      </c>
      <c r="I85" s="345" t="str">
        <f t="shared" ca="1" si="14"/>
        <v/>
      </c>
      <c r="J85" s="345" t="str">
        <f t="shared" ca="1" si="14"/>
        <v/>
      </c>
      <c r="K85" s="345" t="str">
        <f t="shared" ca="1" si="14"/>
        <v/>
      </c>
      <c r="L85" s="345" t="str">
        <f t="shared" ca="1" si="14"/>
        <v/>
      </c>
      <c r="M85" s="345" t="str">
        <f t="shared" ca="1" si="14"/>
        <v/>
      </c>
      <c r="N85" s="345" t="str">
        <f t="shared" ca="1" si="14"/>
        <v/>
      </c>
      <c r="O85" s="345" t="str">
        <f t="shared" ca="1" si="14"/>
        <v/>
      </c>
      <c r="P85" s="345" t="str">
        <f t="shared" ca="1" si="14"/>
        <v/>
      </c>
      <c r="Q85" s="345" t="str">
        <f t="shared" ref="Q85:BW90" ca="1" si="19">IF($A85&gt;Q$5,"",OFFSET(Q$53,0,-($A85-1)))</f>
        <v/>
      </c>
      <c r="R85" s="345" t="str">
        <f t="shared" ca="1" si="19"/>
        <v/>
      </c>
      <c r="S85" s="345" t="str">
        <f t="shared" ca="1" si="19"/>
        <v/>
      </c>
      <c r="T85" s="345" t="str">
        <f t="shared" ca="1" si="19"/>
        <v/>
      </c>
      <c r="U85" s="345" t="str">
        <f t="shared" ca="1" si="19"/>
        <v/>
      </c>
      <c r="V85" s="345" t="str">
        <f t="shared" ca="1" si="19"/>
        <v/>
      </c>
      <c r="W85" s="345" t="str">
        <f t="shared" ca="1" si="19"/>
        <v/>
      </c>
      <c r="X85" s="345" t="str">
        <f t="shared" ca="1" si="19"/>
        <v/>
      </c>
      <c r="Y85" s="345" t="str">
        <f t="shared" ca="1" si="19"/>
        <v/>
      </c>
      <c r="Z85" s="345" t="str">
        <f t="shared" ca="1" si="19"/>
        <v/>
      </c>
      <c r="AA85" s="345" t="str">
        <f t="shared" ca="1" si="19"/>
        <v/>
      </c>
      <c r="AB85" s="345" t="str">
        <f t="shared" ca="1" si="19"/>
        <v/>
      </c>
      <c r="AC85" s="345" t="str">
        <f t="shared" ca="1" si="19"/>
        <v/>
      </c>
      <c r="AD85" s="345" t="str">
        <f t="shared" ca="1" si="19"/>
        <v/>
      </c>
      <c r="AE85" s="345" t="str">
        <f t="shared" ca="1" si="19"/>
        <v/>
      </c>
      <c r="AF85" s="345" t="str">
        <f t="shared" ca="1" si="19"/>
        <v/>
      </c>
      <c r="AG85" s="345">
        <f t="shared" ca="1" si="19"/>
        <v>0</v>
      </c>
      <c r="AH85" s="345">
        <f t="shared" ca="1" si="19"/>
        <v>0</v>
      </c>
      <c r="AI85" s="345">
        <f t="shared" ca="1" si="19"/>
        <v>0</v>
      </c>
      <c r="AJ85" s="345">
        <f t="shared" ca="1" si="19"/>
        <v>68125</v>
      </c>
      <c r="AK85" s="345">
        <f t="shared" ca="1" si="19"/>
        <v>90387</v>
      </c>
      <c r="AL85" s="345">
        <f t="shared" ca="1" si="19"/>
        <v>134825</v>
      </c>
      <c r="AM85" s="345">
        <f t="shared" ca="1" si="19"/>
        <v>0</v>
      </c>
      <c r="AN85" s="345">
        <f t="shared" ca="1" si="19"/>
        <v>0</v>
      </c>
      <c r="AO85" s="345">
        <f t="shared" ca="1" si="19"/>
        <v>0</v>
      </c>
      <c r="AP85" s="345">
        <f t="shared" ca="1" si="19"/>
        <v>0</v>
      </c>
      <c r="AQ85" s="345">
        <f t="shared" ca="1" si="19"/>
        <v>0</v>
      </c>
      <c r="AR85" s="345">
        <f t="shared" ca="1" si="19"/>
        <v>0</v>
      </c>
      <c r="AS85" s="345">
        <f t="shared" ca="1" si="19"/>
        <v>0</v>
      </c>
      <c r="AT85" s="345">
        <f t="shared" ca="1" si="19"/>
        <v>0</v>
      </c>
      <c r="AU85" s="345">
        <f t="shared" ca="1" si="19"/>
        <v>0</v>
      </c>
      <c r="AV85" s="345">
        <f t="shared" ca="1" si="19"/>
        <v>0</v>
      </c>
      <c r="AW85" s="345">
        <f t="shared" ca="1" si="19"/>
        <v>0</v>
      </c>
      <c r="AX85" s="345">
        <f t="shared" ca="1" si="19"/>
        <v>0</v>
      </c>
      <c r="AY85" s="345">
        <f t="shared" ca="1" si="19"/>
        <v>0</v>
      </c>
      <c r="AZ85" s="345">
        <f t="shared" ca="1" si="19"/>
        <v>0</v>
      </c>
      <c r="BA85" s="345">
        <f t="shared" ca="1" si="19"/>
        <v>0</v>
      </c>
      <c r="BB85" s="345">
        <f t="shared" ca="1" si="19"/>
        <v>0</v>
      </c>
      <c r="BC85" s="345">
        <f t="shared" ca="1" si="19"/>
        <v>0</v>
      </c>
      <c r="BD85" s="345">
        <f t="shared" ca="1" si="19"/>
        <v>0</v>
      </c>
      <c r="BE85" s="345">
        <f t="shared" ca="1" si="19"/>
        <v>0</v>
      </c>
      <c r="BF85" s="345">
        <f t="shared" ca="1" si="19"/>
        <v>0</v>
      </c>
      <c r="BG85" s="345">
        <f t="shared" ca="1" si="19"/>
        <v>0</v>
      </c>
      <c r="BH85" s="345">
        <f t="shared" ca="1" si="19"/>
        <v>0</v>
      </c>
      <c r="BI85" s="345">
        <f t="shared" ca="1" si="19"/>
        <v>0</v>
      </c>
    </row>
    <row r="86" spans="1:61" outlineLevel="1" x14ac:dyDescent="0.15">
      <c r="A86" s="355">
        <v>33</v>
      </c>
      <c r="B86" s="345" t="str">
        <f t="shared" ref="B86:Q113" ca="1" si="20">IF($A86&gt;B$5,"",OFFSET(B$53,0,-($A86-1)))</f>
        <v/>
      </c>
      <c r="C86" s="345" t="str">
        <f t="shared" ca="1" si="20"/>
        <v/>
      </c>
      <c r="D86" s="345" t="str">
        <f t="shared" ca="1" si="20"/>
        <v/>
      </c>
      <c r="E86" s="345" t="str">
        <f t="shared" ca="1" si="20"/>
        <v/>
      </c>
      <c r="F86" s="345" t="str">
        <f t="shared" ca="1" si="20"/>
        <v/>
      </c>
      <c r="G86" s="345" t="str">
        <f t="shared" ca="1" si="20"/>
        <v/>
      </c>
      <c r="H86" s="345" t="str">
        <f t="shared" ca="1" si="20"/>
        <v/>
      </c>
      <c r="I86" s="345" t="str">
        <f t="shared" ca="1" si="20"/>
        <v/>
      </c>
      <c r="J86" s="345" t="str">
        <f t="shared" ca="1" si="20"/>
        <v/>
      </c>
      <c r="K86" s="345" t="str">
        <f t="shared" ca="1" si="20"/>
        <v/>
      </c>
      <c r="L86" s="345" t="str">
        <f t="shared" ca="1" si="20"/>
        <v/>
      </c>
      <c r="M86" s="345" t="str">
        <f t="shared" ca="1" si="20"/>
        <v/>
      </c>
      <c r="N86" s="345" t="str">
        <f t="shared" ca="1" si="20"/>
        <v/>
      </c>
      <c r="O86" s="345" t="str">
        <f t="shared" ca="1" si="20"/>
        <v/>
      </c>
      <c r="P86" s="345" t="str">
        <f t="shared" ca="1" si="20"/>
        <v/>
      </c>
      <c r="Q86" s="345" t="str">
        <f t="shared" ca="1" si="20"/>
        <v/>
      </c>
      <c r="R86" s="345" t="str">
        <f t="shared" ca="1" si="19"/>
        <v/>
      </c>
      <c r="S86" s="345" t="str">
        <f t="shared" ca="1" si="19"/>
        <v/>
      </c>
      <c r="T86" s="345" t="str">
        <f t="shared" ca="1" si="19"/>
        <v/>
      </c>
      <c r="U86" s="345" t="str">
        <f t="shared" ca="1" si="19"/>
        <v/>
      </c>
      <c r="V86" s="345" t="str">
        <f t="shared" ca="1" si="19"/>
        <v/>
      </c>
      <c r="W86" s="345" t="str">
        <f t="shared" ca="1" si="19"/>
        <v/>
      </c>
      <c r="X86" s="345" t="str">
        <f t="shared" ca="1" si="19"/>
        <v/>
      </c>
      <c r="Y86" s="345" t="str">
        <f t="shared" ca="1" si="19"/>
        <v/>
      </c>
      <c r="Z86" s="345" t="str">
        <f t="shared" ca="1" si="19"/>
        <v/>
      </c>
      <c r="AA86" s="345" t="str">
        <f t="shared" ca="1" si="19"/>
        <v/>
      </c>
      <c r="AB86" s="345" t="str">
        <f t="shared" ca="1" si="19"/>
        <v/>
      </c>
      <c r="AC86" s="345" t="str">
        <f t="shared" ca="1" si="19"/>
        <v/>
      </c>
      <c r="AD86" s="345" t="str">
        <f t="shared" ca="1" si="19"/>
        <v/>
      </c>
      <c r="AE86" s="345" t="str">
        <f t="shared" ca="1" si="19"/>
        <v/>
      </c>
      <c r="AF86" s="345" t="str">
        <f t="shared" ca="1" si="19"/>
        <v/>
      </c>
      <c r="AG86" s="345" t="str">
        <f t="shared" ca="1" si="19"/>
        <v/>
      </c>
      <c r="AH86" s="345">
        <f t="shared" ca="1" si="19"/>
        <v>0</v>
      </c>
      <c r="AI86" s="345">
        <f t="shared" ca="1" si="19"/>
        <v>0</v>
      </c>
      <c r="AJ86" s="345">
        <f t="shared" ca="1" si="19"/>
        <v>0</v>
      </c>
      <c r="AK86" s="345">
        <f t="shared" ca="1" si="19"/>
        <v>68125</v>
      </c>
      <c r="AL86" s="345">
        <f t="shared" ca="1" si="19"/>
        <v>90387</v>
      </c>
      <c r="AM86" s="345">
        <f t="shared" ca="1" si="19"/>
        <v>134825</v>
      </c>
      <c r="AN86" s="345">
        <f t="shared" ca="1" si="19"/>
        <v>0</v>
      </c>
      <c r="AO86" s="345">
        <f t="shared" ca="1" si="19"/>
        <v>0</v>
      </c>
      <c r="AP86" s="345">
        <f t="shared" ca="1" si="19"/>
        <v>0</v>
      </c>
      <c r="AQ86" s="345">
        <f t="shared" ca="1" si="19"/>
        <v>0</v>
      </c>
      <c r="AR86" s="345">
        <f t="shared" ca="1" si="19"/>
        <v>0</v>
      </c>
      <c r="AS86" s="345">
        <f t="shared" ca="1" si="19"/>
        <v>0</v>
      </c>
      <c r="AT86" s="345">
        <f t="shared" ca="1" si="19"/>
        <v>0</v>
      </c>
      <c r="AU86" s="345">
        <f t="shared" ca="1" si="19"/>
        <v>0</v>
      </c>
      <c r="AV86" s="345">
        <f t="shared" ca="1" si="19"/>
        <v>0</v>
      </c>
      <c r="AW86" s="345">
        <f t="shared" ca="1" si="19"/>
        <v>0</v>
      </c>
      <c r="AX86" s="345">
        <f t="shared" ca="1" si="19"/>
        <v>0</v>
      </c>
      <c r="AY86" s="345">
        <f t="shared" ca="1" si="19"/>
        <v>0</v>
      </c>
      <c r="AZ86" s="345">
        <f t="shared" ca="1" si="19"/>
        <v>0</v>
      </c>
      <c r="BA86" s="345">
        <f t="shared" ca="1" si="19"/>
        <v>0</v>
      </c>
      <c r="BB86" s="345">
        <f t="shared" ca="1" si="19"/>
        <v>0</v>
      </c>
      <c r="BC86" s="345">
        <f t="shared" ca="1" si="19"/>
        <v>0</v>
      </c>
      <c r="BD86" s="345">
        <f t="shared" ca="1" si="19"/>
        <v>0</v>
      </c>
      <c r="BE86" s="345">
        <f t="shared" ca="1" si="19"/>
        <v>0</v>
      </c>
      <c r="BF86" s="345">
        <f t="shared" ca="1" si="19"/>
        <v>0</v>
      </c>
      <c r="BG86" s="345">
        <f t="shared" ca="1" si="19"/>
        <v>0</v>
      </c>
      <c r="BH86" s="345">
        <f t="shared" ca="1" si="19"/>
        <v>0</v>
      </c>
      <c r="BI86" s="345">
        <f t="shared" ca="1" si="19"/>
        <v>0</v>
      </c>
    </row>
    <row r="87" spans="1:61" outlineLevel="1" x14ac:dyDescent="0.15">
      <c r="A87" s="355">
        <v>34</v>
      </c>
      <c r="B87" s="345" t="str">
        <f t="shared" ca="1" si="20"/>
        <v/>
      </c>
      <c r="C87" s="345" t="str">
        <f t="shared" ca="1" si="20"/>
        <v/>
      </c>
      <c r="D87" s="345" t="str">
        <f t="shared" ca="1" si="20"/>
        <v/>
      </c>
      <c r="E87" s="345" t="str">
        <f t="shared" ca="1" si="20"/>
        <v/>
      </c>
      <c r="F87" s="345" t="str">
        <f t="shared" ca="1" si="20"/>
        <v/>
      </c>
      <c r="G87" s="345" t="str">
        <f t="shared" ca="1" si="20"/>
        <v/>
      </c>
      <c r="H87" s="345" t="str">
        <f t="shared" ca="1" si="20"/>
        <v/>
      </c>
      <c r="I87" s="345" t="str">
        <f t="shared" ca="1" si="20"/>
        <v/>
      </c>
      <c r="J87" s="345" t="str">
        <f t="shared" ca="1" si="20"/>
        <v/>
      </c>
      <c r="K87" s="345" t="str">
        <f t="shared" ca="1" si="20"/>
        <v/>
      </c>
      <c r="L87" s="345" t="str">
        <f t="shared" ca="1" si="20"/>
        <v/>
      </c>
      <c r="M87" s="345" t="str">
        <f t="shared" ca="1" si="20"/>
        <v/>
      </c>
      <c r="N87" s="345" t="str">
        <f t="shared" ca="1" si="20"/>
        <v/>
      </c>
      <c r="O87" s="345" t="str">
        <f t="shared" ca="1" si="20"/>
        <v/>
      </c>
      <c r="P87" s="345" t="str">
        <f t="shared" ca="1" si="20"/>
        <v/>
      </c>
      <c r="Q87" s="345" t="str">
        <f t="shared" ca="1" si="20"/>
        <v/>
      </c>
      <c r="R87" s="345" t="str">
        <f t="shared" ca="1" si="19"/>
        <v/>
      </c>
      <c r="S87" s="345" t="str">
        <f t="shared" ca="1" si="19"/>
        <v/>
      </c>
      <c r="T87" s="345" t="str">
        <f t="shared" ca="1" si="19"/>
        <v/>
      </c>
      <c r="U87" s="345" t="str">
        <f t="shared" ca="1" si="19"/>
        <v/>
      </c>
      <c r="V87" s="345" t="str">
        <f t="shared" ca="1" si="19"/>
        <v/>
      </c>
      <c r="W87" s="345" t="str">
        <f t="shared" ca="1" si="19"/>
        <v/>
      </c>
      <c r="X87" s="345" t="str">
        <f t="shared" ca="1" si="19"/>
        <v/>
      </c>
      <c r="Y87" s="345" t="str">
        <f t="shared" ca="1" si="19"/>
        <v/>
      </c>
      <c r="Z87" s="345" t="str">
        <f t="shared" ca="1" si="19"/>
        <v/>
      </c>
      <c r="AA87" s="345" t="str">
        <f t="shared" ca="1" si="19"/>
        <v/>
      </c>
      <c r="AB87" s="345" t="str">
        <f t="shared" ca="1" si="19"/>
        <v/>
      </c>
      <c r="AC87" s="345" t="str">
        <f t="shared" ca="1" si="19"/>
        <v/>
      </c>
      <c r="AD87" s="345" t="str">
        <f t="shared" ca="1" si="19"/>
        <v/>
      </c>
      <c r="AE87" s="345" t="str">
        <f t="shared" ca="1" si="19"/>
        <v/>
      </c>
      <c r="AF87" s="345" t="str">
        <f t="shared" ca="1" si="19"/>
        <v/>
      </c>
      <c r="AG87" s="345" t="str">
        <f t="shared" ca="1" si="19"/>
        <v/>
      </c>
      <c r="AH87" s="345" t="str">
        <f t="shared" ca="1" si="19"/>
        <v/>
      </c>
      <c r="AI87" s="345">
        <f t="shared" ca="1" si="19"/>
        <v>0</v>
      </c>
      <c r="AJ87" s="345">
        <f t="shared" ca="1" si="19"/>
        <v>0</v>
      </c>
      <c r="AK87" s="345">
        <f t="shared" ca="1" si="19"/>
        <v>0</v>
      </c>
      <c r="AL87" s="345">
        <f t="shared" ca="1" si="19"/>
        <v>68125</v>
      </c>
      <c r="AM87" s="345">
        <f t="shared" ca="1" si="19"/>
        <v>90387</v>
      </c>
      <c r="AN87" s="345">
        <f t="shared" ca="1" si="19"/>
        <v>134825</v>
      </c>
      <c r="AO87" s="345">
        <f t="shared" ca="1" si="19"/>
        <v>0</v>
      </c>
      <c r="AP87" s="345">
        <f t="shared" ca="1" si="19"/>
        <v>0</v>
      </c>
      <c r="AQ87" s="345">
        <f t="shared" ca="1" si="19"/>
        <v>0</v>
      </c>
      <c r="AR87" s="345">
        <f t="shared" ca="1" si="19"/>
        <v>0</v>
      </c>
      <c r="AS87" s="345">
        <f t="shared" ca="1" si="19"/>
        <v>0</v>
      </c>
      <c r="AT87" s="345">
        <f t="shared" ca="1" si="19"/>
        <v>0</v>
      </c>
      <c r="AU87" s="345">
        <f t="shared" ca="1" si="19"/>
        <v>0</v>
      </c>
      <c r="AV87" s="345">
        <f t="shared" ca="1" si="19"/>
        <v>0</v>
      </c>
      <c r="AW87" s="345">
        <f t="shared" ca="1" si="19"/>
        <v>0</v>
      </c>
      <c r="AX87" s="345">
        <f t="shared" ca="1" si="19"/>
        <v>0</v>
      </c>
      <c r="AY87" s="345">
        <f t="shared" ca="1" si="19"/>
        <v>0</v>
      </c>
      <c r="AZ87" s="345">
        <f t="shared" ca="1" si="19"/>
        <v>0</v>
      </c>
      <c r="BA87" s="345">
        <f t="shared" ca="1" si="19"/>
        <v>0</v>
      </c>
      <c r="BB87" s="345">
        <f t="shared" ca="1" si="19"/>
        <v>0</v>
      </c>
      <c r="BC87" s="345">
        <f t="shared" ca="1" si="19"/>
        <v>0</v>
      </c>
      <c r="BD87" s="345">
        <f t="shared" ca="1" si="19"/>
        <v>0</v>
      </c>
      <c r="BE87" s="345">
        <f t="shared" ca="1" si="19"/>
        <v>0</v>
      </c>
      <c r="BF87" s="345">
        <f t="shared" ca="1" si="19"/>
        <v>0</v>
      </c>
      <c r="BG87" s="345">
        <f t="shared" ca="1" si="19"/>
        <v>0</v>
      </c>
      <c r="BH87" s="345">
        <f t="shared" ca="1" si="19"/>
        <v>0</v>
      </c>
      <c r="BI87" s="345">
        <f t="shared" ca="1" si="19"/>
        <v>0</v>
      </c>
    </row>
    <row r="88" spans="1:61" outlineLevel="1" x14ac:dyDescent="0.15">
      <c r="A88" s="355">
        <v>35</v>
      </c>
      <c r="B88" s="345" t="str">
        <f t="shared" ca="1" si="20"/>
        <v/>
      </c>
      <c r="C88" s="345" t="str">
        <f t="shared" ca="1" si="20"/>
        <v/>
      </c>
      <c r="D88" s="345" t="str">
        <f t="shared" ca="1" si="20"/>
        <v/>
      </c>
      <c r="E88" s="345" t="str">
        <f t="shared" ca="1" si="20"/>
        <v/>
      </c>
      <c r="F88" s="345" t="str">
        <f t="shared" ca="1" si="20"/>
        <v/>
      </c>
      <c r="G88" s="345" t="str">
        <f t="shared" ca="1" si="20"/>
        <v/>
      </c>
      <c r="H88" s="345" t="str">
        <f t="shared" ca="1" si="20"/>
        <v/>
      </c>
      <c r="I88" s="345" t="str">
        <f t="shared" ca="1" si="20"/>
        <v/>
      </c>
      <c r="J88" s="345" t="str">
        <f t="shared" ca="1" si="20"/>
        <v/>
      </c>
      <c r="K88" s="345" t="str">
        <f t="shared" ca="1" si="20"/>
        <v/>
      </c>
      <c r="L88" s="345" t="str">
        <f t="shared" ca="1" si="20"/>
        <v/>
      </c>
      <c r="M88" s="345" t="str">
        <f t="shared" ca="1" si="20"/>
        <v/>
      </c>
      <c r="N88" s="345" t="str">
        <f t="shared" ca="1" si="20"/>
        <v/>
      </c>
      <c r="O88" s="345" t="str">
        <f t="shared" ca="1" si="20"/>
        <v/>
      </c>
      <c r="P88" s="345" t="str">
        <f t="shared" ca="1" si="20"/>
        <v/>
      </c>
      <c r="Q88" s="345" t="str">
        <f t="shared" ca="1" si="20"/>
        <v/>
      </c>
      <c r="R88" s="345" t="str">
        <f t="shared" ca="1" si="19"/>
        <v/>
      </c>
      <c r="S88" s="345" t="str">
        <f t="shared" ca="1" si="19"/>
        <v/>
      </c>
      <c r="T88" s="345" t="str">
        <f t="shared" ca="1" si="19"/>
        <v/>
      </c>
      <c r="U88" s="345" t="str">
        <f t="shared" ca="1" si="19"/>
        <v/>
      </c>
      <c r="V88" s="345" t="str">
        <f t="shared" ca="1" si="19"/>
        <v/>
      </c>
      <c r="W88" s="345" t="str">
        <f t="shared" ca="1" si="19"/>
        <v/>
      </c>
      <c r="X88" s="345" t="str">
        <f t="shared" ca="1" si="19"/>
        <v/>
      </c>
      <c r="Y88" s="345" t="str">
        <f t="shared" ca="1" si="19"/>
        <v/>
      </c>
      <c r="Z88" s="345" t="str">
        <f t="shared" ca="1" si="19"/>
        <v/>
      </c>
      <c r="AA88" s="345" t="str">
        <f t="shared" ca="1" si="19"/>
        <v/>
      </c>
      <c r="AB88" s="345" t="str">
        <f t="shared" ca="1" si="19"/>
        <v/>
      </c>
      <c r="AC88" s="345" t="str">
        <f t="shared" ca="1" si="19"/>
        <v/>
      </c>
      <c r="AD88" s="345" t="str">
        <f t="shared" ca="1" si="19"/>
        <v/>
      </c>
      <c r="AE88" s="345" t="str">
        <f t="shared" ca="1" si="19"/>
        <v/>
      </c>
      <c r="AF88" s="345" t="str">
        <f t="shared" ca="1" si="19"/>
        <v/>
      </c>
      <c r="AG88" s="345" t="str">
        <f t="shared" ca="1" si="19"/>
        <v/>
      </c>
      <c r="AH88" s="345" t="str">
        <f t="shared" ca="1" si="19"/>
        <v/>
      </c>
      <c r="AI88" s="345" t="str">
        <f t="shared" ca="1" si="19"/>
        <v/>
      </c>
      <c r="AJ88" s="345">
        <f t="shared" ca="1" si="19"/>
        <v>0</v>
      </c>
      <c r="AK88" s="345">
        <f t="shared" ca="1" si="19"/>
        <v>0</v>
      </c>
      <c r="AL88" s="345">
        <f t="shared" ca="1" si="19"/>
        <v>0</v>
      </c>
      <c r="AM88" s="345">
        <f t="shared" ca="1" si="19"/>
        <v>68125</v>
      </c>
      <c r="AN88" s="345">
        <f t="shared" ca="1" si="19"/>
        <v>90387</v>
      </c>
      <c r="AO88" s="345">
        <f t="shared" ca="1" si="19"/>
        <v>134825</v>
      </c>
      <c r="AP88" s="345">
        <f t="shared" ca="1" si="19"/>
        <v>0</v>
      </c>
      <c r="AQ88" s="345">
        <f t="shared" ca="1" si="19"/>
        <v>0</v>
      </c>
      <c r="AR88" s="345">
        <f t="shared" ca="1" si="19"/>
        <v>0</v>
      </c>
      <c r="AS88" s="345">
        <f t="shared" ca="1" si="19"/>
        <v>0</v>
      </c>
      <c r="AT88" s="345">
        <f t="shared" ca="1" si="19"/>
        <v>0</v>
      </c>
      <c r="AU88" s="345">
        <f t="shared" ca="1" si="19"/>
        <v>0</v>
      </c>
      <c r="AV88" s="345">
        <f t="shared" ca="1" si="19"/>
        <v>0</v>
      </c>
      <c r="AW88" s="345">
        <f t="shared" ca="1" si="19"/>
        <v>0</v>
      </c>
      <c r="AX88" s="345">
        <f t="shared" ca="1" si="19"/>
        <v>0</v>
      </c>
      <c r="AY88" s="345">
        <f t="shared" ca="1" si="19"/>
        <v>0</v>
      </c>
      <c r="AZ88" s="345">
        <f t="shared" ca="1" si="19"/>
        <v>0</v>
      </c>
      <c r="BA88" s="345">
        <f t="shared" ca="1" si="19"/>
        <v>0</v>
      </c>
      <c r="BB88" s="345">
        <f t="shared" ca="1" si="19"/>
        <v>0</v>
      </c>
      <c r="BC88" s="345">
        <f t="shared" ca="1" si="19"/>
        <v>0</v>
      </c>
      <c r="BD88" s="345">
        <f t="shared" ca="1" si="19"/>
        <v>0</v>
      </c>
      <c r="BE88" s="345">
        <f t="shared" ca="1" si="19"/>
        <v>0</v>
      </c>
      <c r="BF88" s="345">
        <f t="shared" ca="1" si="19"/>
        <v>0</v>
      </c>
      <c r="BG88" s="345">
        <f t="shared" ca="1" si="19"/>
        <v>0</v>
      </c>
      <c r="BH88" s="345">
        <f t="shared" ca="1" si="19"/>
        <v>0</v>
      </c>
      <c r="BI88" s="345">
        <f t="shared" ca="1" si="19"/>
        <v>0</v>
      </c>
    </row>
    <row r="89" spans="1:61" outlineLevel="1" x14ac:dyDescent="0.15">
      <c r="A89" s="355">
        <v>36</v>
      </c>
      <c r="B89" s="345" t="str">
        <f t="shared" ca="1" si="20"/>
        <v/>
      </c>
      <c r="C89" s="345" t="str">
        <f t="shared" ca="1" si="20"/>
        <v/>
      </c>
      <c r="D89" s="345" t="str">
        <f t="shared" ca="1" si="20"/>
        <v/>
      </c>
      <c r="E89" s="345" t="str">
        <f t="shared" ca="1" si="20"/>
        <v/>
      </c>
      <c r="F89" s="345" t="str">
        <f t="shared" ca="1" si="20"/>
        <v/>
      </c>
      <c r="G89" s="345" t="str">
        <f t="shared" ca="1" si="20"/>
        <v/>
      </c>
      <c r="H89" s="345" t="str">
        <f t="shared" ca="1" si="20"/>
        <v/>
      </c>
      <c r="I89" s="345" t="str">
        <f t="shared" ca="1" si="20"/>
        <v/>
      </c>
      <c r="J89" s="345" t="str">
        <f t="shared" ca="1" si="20"/>
        <v/>
      </c>
      <c r="K89" s="345" t="str">
        <f t="shared" ca="1" si="20"/>
        <v/>
      </c>
      <c r="L89" s="345" t="str">
        <f t="shared" ca="1" si="20"/>
        <v/>
      </c>
      <c r="M89" s="345" t="str">
        <f t="shared" ca="1" si="20"/>
        <v/>
      </c>
      <c r="N89" s="345" t="str">
        <f t="shared" ca="1" si="20"/>
        <v/>
      </c>
      <c r="O89" s="345" t="str">
        <f t="shared" ca="1" si="20"/>
        <v/>
      </c>
      <c r="P89" s="345" t="str">
        <f t="shared" ca="1" si="20"/>
        <v/>
      </c>
      <c r="Q89" s="345" t="str">
        <f t="shared" ca="1" si="20"/>
        <v/>
      </c>
      <c r="R89" s="345" t="str">
        <f t="shared" ca="1" si="19"/>
        <v/>
      </c>
      <c r="S89" s="345" t="str">
        <f t="shared" ca="1" si="19"/>
        <v/>
      </c>
      <c r="T89" s="345" t="str">
        <f t="shared" ca="1" si="19"/>
        <v/>
      </c>
      <c r="U89" s="345" t="str">
        <f t="shared" ca="1" si="19"/>
        <v/>
      </c>
      <c r="V89" s="345" t="str">
        <f t="shared" ca="1" si="19"/>
        <v/>
      </c>
      <c r="W89" s="345" t="str">
        <f t="shared" ca="1" si="19"/>
        <v/>
      </c>
      <c r="X89" s="345" t="str">
        <f t="shared" ca="1" si="19"/>
        <v/>
      </c>
      <c r="Y89" s="345" t="str">
        <f t="shared" ca="1" si="19"/>
        <v/>
      </c>
      <c r="Z89" s="345" t="str">
        <f t="shared" ca="1" si="19"/>
        <v/>
      </c>
      <c r="AA89" s="345" t="str">
        <f t="shared" ca="1" si="19"/>
        <v/>
      </c>
      <c r="AB89" s="345" t="str">
        <f t="shared" ca="1" si="19"/>
        <v/>
      </c>
      <c r="AC89" s="345" t="str">
        <f t="shared" ca="1" si="19"/>
        <v/>
      </c>
      <c r="AD89" s="345" t="str">
        <f t="shared" ca="1" si="19"/>
        <v/>
      </c>
      <c r="AE89" s="345" t="str">
        <f t="shared" ca="1" si="19"/>
        <v/>
      </c>
      <c r="AF89" s="345" t="str">
        <f t="shared" ca="1" si="19"/>
        <v/>
      </c>
      <c r="AG89" s="345" t="str">
        <f t="shared" ca="1" si="19"/>
        <v/>
      </c>
      <c r="AH89" s="345" t="str">
        <f t="shared" ca="1" si="19"/>
        <v/>
      </c>
      <c r="AI89" s="345" t="str">
        <f t="shared" ca="1" si="19"/>
        <v/>
      </c>
      <c r="AJ89" s="345" t="str">
        <f t="shared" ca="1" si="19"/>
        <v/>
      </c>
      <c r="AK89" s="345">
        <f t="shared" ca="1" si="19"/>
        <v>0</v>
      </c>
      <c r="AL89" s="345">
        <f t="shared" ca="1" si="19"/>
        <v>0</v>
      </c>
      <c r="AM89" s="345">
        <f t="shared" ca="1" si="19"/>
        <v>0</v>
      </c>
      <c r="AN89" s="345">
        <f t="shared" ca="1" si="19"/>
        <v>68125</v>
      </c>
      <c r="AO89" s="345">
        <f t="shared" ca="1" si="19"/>
        <v>90387</v>
      </c>
      <c r="AP89" s="345">
        <f t="shared" ca="1" si="19"/>
        <v>134825</v>
      </c>
      <c r="AQ89" s="345">
        <f t="shared" ca="1" si="19"/>
        <v>0</v>
      </c>
      <c r="AR89" s="345">
        <f t="shared" ca="1" si="19"/>
        <v>0</v>
      </c>
      <c r="AS89" s="345">
        <f t="shared" ca="1" si="19"/>
        <v>0</v>
      </c>
      <c r="AT89" s="345">
        <f t="shared" ca="1" si="19"/>
        <v>0</v>
      </c>
      <c r="AU89" s="345">
        <f t="shared" ca="1" si="19"/>
        <v>0</v>
      </c>
      <c r="AV89" s="345">
        <f t="shared" ca="1" si="19"/>
        <v>0</v>
      </c>
      <c r="AW89" s="345">
        <f t="shared" ca="1" si="19"/>
        <v>0</v>
      </c>
      <c r="AX89" s="345">
        <f t="shared" ca="1" si="19"/>
        <v>0</v>
      </c>
      <c r="AY89" s="345">
        <f t="shared" ca="1" si="19"/>
        <v>0</v>
      </c>
      <c r="AZ89" s="345">
        <f t="shared" ca="1" si="19"/>
        <v>0</v>
      </c>
      <c r="BA89" s="345">
        <f t="shared" ca="1" si="19"/>
        <v>0</v>
      </c>
      <c r="BB89" s="345">
        <f t="shared" ca="1" si="19"/>
        <v>0</v>
      </c>
      <c r="BC89" s="345">
        <f t="shared" ca="1" si="19"/>
        <v>0</v>
      </c>
      <c r="BD89" s="345">
        <f t="shared" ca="1" si="19"/>
        <v>0</v>
      </c>
      <c r="BE89" s="345">
        <f t="shared" ca="1" si="19"/>
        <v>0</v>
      </c>
      <c r="BF89" s="345">
        <f t="shared" ca="1" si="19"/>
        <v>0</v>
      </c>
      <c r="BG89" s="345">
        <f t="shared" ca="1" si="19"/>
        <v>0</v>
      </c>
      <c r="BH89" s="345">
        <f t="shared" ca="1" si="19"/>
        <v>0</v>
      </c>
      <c r="BI89" s="345">
        <f t="shared" ca="1" si="19"/>
        <v>0</v>
      </c>
    </row>
    <row r="90" spans="1:61" outlineLevel="1" x14ac:dyDescent="0.15">
      <c r="A90" s="355">
        <v>37</v>
      </c>
      <c r="B90" s="345" t="str">
        <f t="shared" ca="1" si="20"/>
        <v/>
      </c>
      <c r="C90" s="345" t="str">
        <f t="shared" ca="1" si="20"/>
        <v/>
      </c>
      <c r="D90" s="345" t="str">
        <f t="shared" ca="1" si="20"/>
        <v/>
      </c>
      <c r="E90" s="345" t="str">
        <f t="shared" ca="1" si="20"/>
        <v/>
      </c>
      <c r="F90" s="345" t="str">
        <f t="shared" ca="1" si="20"/>
        <v/>
      </c>
      <c r="G90" s="345" t="str">
        <f t="shared" ca="1" si="20"/>
        <v/>
      </c>
      <c r="H90" s="345" t="str">
        <f t="shared" ca="1" si="20"/>
        <v/>
      </c>
      <c r="I90" s="345" t="str">
        <f t="shared" ca="1" si="20"/>
        <v/>
      </c>
      <c r="J90" s="345" t="str">
        <f t="shared" ca="1" si="20"/>
        <v/>
      </c>
      <c r="K90" s="345" t="str">
        <f t="shared" ca="1" si="20"/>
        <v/>
      </c>
      <c r="L90" s="345" t="str">
        <f t="shared" ca="1" si="20"/>
        <v/>
      </c>
      <c r="M90" s="345" t="str">
        <f t="shared" ca="1" si="20"/>
        <v/>
      </c>
      <c r="N90" s="345" t="str">
        <f t="shared" ca="1" si="20"/>
        <v/>
      </c>
      <c r="O90" s="345" t="str">
        <f t="shared" ca="1" si="20"/>
        <v/>
      </c>
      <c r="P90" s="345" t="str">
        <f t="shared" ca="1" si="20"/>
        <v/>
      </c>
      <c r="Q90" s="345" t="str">
        <f t="shared" ca="1" si="20"/>
        <v/>
      </c>
      <c r="R90" s="345" t="str">
        <f t="shared" ca="1" si="19"/>
        <v/>
      </c>
      <c r="S90" s="345" t="str">
        <f t="shared" ca="1" si="19"/>
        <v/>
      </c>
      <c r="T90" s="345" t="str">
        <f t="shared" ca="1" si="19"/>
        <v/>
      </c>
      <c r="U90" s="345" t="str">
        <f t="shared" ca="1" si="19"/>
        <v/>
      </c>
      <c r="V90" s="345" t="str">
        <f t="shared" ca="1" si="19"/>
        <v/>
      </c>
      <c r="W90" s="345" t="str">
        <f t="shared" ca="1" si="19"/>
        <v/>
      </c>
      <c r="X90" s="345" t="str">
        <f t="shared" ca="1" si="19"/>
        <v/>
      </c>
      <c r="Y90" s="345" t="str">
        <f t="shared" ca="1" si="19"/>
        <v/>
      </c>
      <c r="Z90" s="345" t="str">
        <f t="shared" ca="1" si="19"/>
        <v/>
      </c>
      <c r="AA90" s="345" t="str">
        <f t="shared" ca="1" si="19"/>
        <v/>
      </c>
      <c r="AB90" s="345" t="str">
        <f t="shared" ca="1" si="19"/>
        <v/>
      </c>
      <c r="AC90" s="345" t="str">
        <f t="shared" ca="1" si="19"/>
        <v/>
      </c>
      <c r="AD90" s="345" t="str">
        <f t="shared" ca="1" si="19"/>
        <v/>
      </c>
      <c r="AE90" s="345" t="str">
        <f t="shared" ca="1" si="19"/>
        <v/>
      </c>
      <c r="AF90" s="345" t="str">
        <f t="shared" ca="1" si="19"/>
        <v/>
      </c>
      <c r="AG90" s="345" t="str">
        <f t="shared" ca="1" si="19"/>
        <v/>
      </c>
      <c r="AH90" s="345" t="str">
        <f t="shared" ca="1" si="19"/>
        <v/>
      </c>
      <c r="AI90" s="345" t="str">
        <f t="shared" ca="1" si="19"/>
        <v/>
      </c>
      <c r="AJ90" s="345" t="str">
        <f t="shared" ca="1" si="19"/>
        <v/>
      </c>
      <c r="AK90" s="345" t="str">
        <f t="shared" ca="1" si="19"/>
        <v/>
      </c>
      <c r="AL90" s="345">
        <f t="shared" ca="1" si="19"/>
        <v>0</v>
      </c>
      <c r="AM90" s="345">
        <f t="shared" ca="1" si="19"/>
        <v>0</v>
      </c>
      <c r="AN90" s="345">
        <f t="shared" ca="1" si="19"/>
        <v>0</v>
      </c>
      <c r="AO90" s="345">
        <f t="shared" ca="1" si="19"/>
        <v>68125</v>
      </c>
      <c r="AP90" s="345">
        <f t="shared" ca="1" si="19"/>
        <v>90387</v>
      </c>
      <c r="AQ90" s="345">
        <f t="shared" ca="1" si="19"/>
        <v>134825</v>
      </c>
      <c r="AR90" s="345">
        <f t="shared" ca="1" si="19"/>
        <v>0</v>
      </c>
      <c r="AS90" s="345">
        <f t="shared" ca="1" si="19"/>
        <v>0</v>
      </c>
      <c r="AT90" s="345">
        <f t="shared" ca="1" si="19"/>
        <v>0</v>
      </c>
      <c r="AU90" s="345">
        <f t="shared" ca="1" si="19"/>
        <v>0</v>
      </c>
      <c r="AV90" s="345">
        <f t="shared" ca="1" si="19"/>
        <v>0</v>
      </c>
      <c r="AW90" s="345">
        <f t="shared" ca="1" si="19"/>
        <v>0</v>
      </c>
      <c r="AX90" s="345">
        <f t="shared" ca="1" si="19"/>
        <v>0</v>
      </c>
      <c r="AY90" s="345">
        <f t="shared" ca="1" si="19"/>
        <v>0</v>
      </c>
      <c r="AZ90" s="345">
        <f t="shared" ref="AZ90:DF95" ca="1" si="21">IF($A90&gt;AZ$5,"",OFFSET(AZ$53,0,-($A90-1)))</f>
        <v>0</v>
      </c>
      <c r="BA90" s="345">
        <f t="shared" ca="1" si="21"/>
        <v>0</v>
      </c>
      <c r="BB90" s="345">
        <f t="shared" ca="1" si="21"/>
        <v>0</v>
      </c>
      <c r="BC90" s="345">
        <f t="shared" ca="1" si="21"/>
        <v>0</v>
      </c>
      <c r="BD90" s="345">
        <f t="shared" ca="1" si="21"/>
        <v>0</v>
      </c>
      <c r="BE90" s="345">
        <f t="shared" ca="1" si="21"/>
        <v>0</v>
      </c>
      <c r="BF90" s="345">
        <f t="shared" ca="1" si="21"/>
        <v>0</v>
      </c>
      <c r="BG90" s="345">
        <f t="shared" ca="1" si="21"/>
        <v>0</v>
      </c>
      <c r="BH90" s="345">
        <f t="shared" ca="1" si="21"/>
        <v>0</v>
      </c>
      <c r="BI90" s="345">
        <f t="shared" ca="1" si="21"/>
        <v>0</v>
      </c>
    </row>
    <row r="91" spans="1:61" outlineLevel="1" x14ac:dyDescent="0.15">
      <c r="A91" s="355">
        <v>38</v>
      </c>
      <c r="B91" s="345" t="str">
        <f t="shared" ca="1" si="20"/>
        <v/>
      </c>
      <c r="C91" s="345" t="str">
        <f t="shared" ca="1" si="20"/>
        <v/>
      </c>
      <c r="D91" s="345" t="str">
        <f t="shared" ca="1" si="20"/>
        <v/>
      </c>
      <c r="E91" s="345" t="str">
        <f t="shared" ca="1" si="20"/>
        <v/>
      </c>
      <c r="F91" s="345" t="str">
        <f t="shared" ca="1" si="20"/>
        <v/>
      </c>
      <c r="G91" s="345" t="str">
        <f t="shared" ca="1" si="20"/>
        <v/>
      </c>
      <c r="H91" s="345" t="str">
        <f t="shared" ca="1" si="20"/>
        <v/>
      </c>
      <c r="I91" s="345" t="str">
        <f t="shared" ca="1" si="20"/>
        <v/>
      </c>
      <c r="J91" s="345" t="str">
        <f t="shared" ca="1" si="20"/>
        <v/>
      </c>
      <c r="K91" s="345" t="str">
        <f t="shared" ca="1" si="20"/>
        <v/>
      </c>
      <c r="L91" s="345" t="str">
        <f t="shared" ca="1" si="20"/>
        <v/>
      </c>
      <c r="M91" s="345" t="str">
        <f t="shared" ca="1" si="20"/>
        <v/>
      </c>
      <c r="N91" s="345" t="str">
        <f t="shared" ca="1" si="20"/>
        <v/>
      </c>
      <c r="O91" s="345" t="str">
        <f t="shared" ca="1" si="20"/>
        <v/>
      </c>
      <c r="P91" s="345" t="str">
        <f t="shared" ca="1" si="20"/>
        <v/>
      </c>
      <c r="Q91" s="345" t="str">
        <f t="shared" ca="1" si="20"/>
        <v/>
      </c>
      <c r="R91" s="345" t="str">
        <f t="shared" ref="R91:BX96" ca="1" si="22">IF($A91&gt;R$5,"",OFFSET(R$53,0,-($A91-1)))</f>
        <v/>
      </c>
      <c r="S91" s="345" t="str">
        <f t="shared" ca="1" si="22"/>
        <v/>
      </c>
      <c r="T91" s="345" t="str">
        <f t="shared" ca="1" si="22"/>
        <v/>
      </c>
      <c r="U91" s="345" t="str">
        <f t="shared" ca="1" si="22"/>
        <v/>
      </c>
      <c r="V91" s="345" t="str">
        <f t="shared" ca="1" si="22"/>
        <v/>
      </c>
      <c r="W91" s="345" t="str">
        <f t="shared" ca="1" si="22"/>
        <v/>
      </c>
      <c r="X91" s="345" t="str">
        <f t="shared" ca="1" si="22"/>
        <v/>
      </c>
      <c r="Y91" s="345" t="str">
        <f t="shared" ca="1" si="22"/>
        <v/>
      </c>
      <c r="Z91" s="345" t="str">
        <f t="shared" ca="1" si="22"/>
        <v/>
      </c>
      <c r="AA91" s="345" t="str">
        <f t="shared" ca="1" si="22"/>
        <v/>
      </c>
      <c r="AB91" s="345" t="str">
        <f t="shared" ca="1" si="22"/>
        <v/>
      </c>
      <c r="AC91" s="345" t="str">
        <f t="shared" ca="1" si="22"/>
        <v/>
      </c>
      <c r="AD91" s="345" t="str">
        <f t="shared" ca="1" si="22"/>
        <v/>
      </c>
      <c r="AE91" s="345" t="str">
        <f t="shared" ca="1" si="22"/>
        <v/>
      </c>
      <c r="AF91" s="345" t="str">
        <f t="shared" ca="1" si="22"/>
        <v/>
      </c>
      <c r="AG91" s="345" t="str">
        <f t="shared" ca="1" si="22"/>
        <v/>
      </c>
      <c r="AH91" s="345" t="str">
        <f t="shared" ca="1" si="22"/>
        <v/>
      </c>
      <c r="AI91" s="345" t="str">
        <f t="shared" ca="1" si="22"/>
        <v/>
      </c>
      <c r="AJ91" s="345" t="str">
        <f t="shared" ca="1" si="22"/>
        <v/>
      </c>
      <c r="AK91" s="345" t="str">
        <f t="shared" ca="1" si="22"/>
        <v/>
      </c>
      <c r="AL91" s="345" t="str">
        <f t="shared" ca="1" si="22"/>
        <v/>
      </c>
      <c r="AM91" s="345">
        <f t="shared" ca="1" si="22"/>
        <v>0</v>
      </c>
      <c r="AN91" s="345">
        <f t="shared" ca="1" si="22"/>
        <v>0</v>
      </c>
      <c r="AO91" s="345">
        <f t="shared" ca="1" si="22"/>
        <v>0</v>
      </c>
      <c r="AP91" s="345">
        <f t="shared" ca="1" si="22"/>
        <v>68125</v>
      </c>
      <c r="AQ91" s="345">
        <f t="shared" ca="1" si="22"/>
        <v>90387</v>
      </c>
      <c r="AR91" s="345">
        <f t="shared" ca="1" si="22"/>
        <v>134825</v>
      </c>
      <c r="AS91" s="345">
        <f t="shared" ca="1" si="22"/>
        <v>0</v>
      </c>
      <c r="AT91" s="345">
        <f t="shared" ca="1" si="22"/>
        <v>0</v>
      </c>
      <c r="AU91" s="345">
        <f t="shared" ca="1" si="22"/>
        <v>0</v>
      </c>
      <c r="AV91" s="345">
        <f t="shared" ca="1" si="22"/>
        <v>0</v>
      </c>
      <c r="AW91" s="345">
        <f t="shared" ca="1" si="22"/>
        <v>0</v>
      </c>
      <c r="AX91" s="345">
        <f t="shared" ca="1" si="22"/>
        <v>0</v>
      </c>
      <c r="AY91" s="345">
        <f t="shared" ca="1" si="22"/>
        <v>0</v>
      </c>
      <c r="AZ91" s="345">
        <f t="shared" ca="1" si="22"/>
        <v>0</v>
      </c>
      <c r="BA91" s="345">
        <f t="shared" ca="1" si="22"/>
        <v>0</v>
      </c>
      <c r="BB91" s="345">
        <f t="shared" ca="1" si="22"/>
        <v>0</v>
      </c>
      <c r="BC91" s="345">
        <f t="shared" ca="1" si="22"/>
        <v>0</v>
      </c>
      <c r="BD91" s="345">
        <f t="shared" ca="1" si="22"/>
        <v>0</v>
      </c>
      <c r="BE91" s="345">
        <f t="shared" ca="1" si="22"/>
        <v>0</v>
      </c>
      <c r="BF91" s="345">
        <f t="shared" ca="1" si="22"/>
        <v>0</v>
      </c>
      <c r="BG91" s="345">
        <f t="shared" ca="1" si="22"/>
        <v>0</v>
      </c>
      <c r="BH91" s="345">
        <f t="shared" ca="1" si="22"/>
        <v>0</v>
      </c>
      <c r="BI91" s="345">
        <f t="shared" ca="1" si="22"/>
        <v>0</v>
      </c>
    </row>
    <row r="92" spans="1:61" outlineLevel="1" x14ac:dyDescent="0.15">
      <c r="A92" s="355">
        <v>39</v>
      </c>
      <c r="B92" s="345" t="str">
        <f t="shared" ca="1" si="20"/>
        <v/>
      </c>
      <c r="C92" s="345" t="str">
        <f t="shared" ca="1" si="20"/>
        <v/>
      </c>
      <c r="D92" s="345" t="str">
        <f t="shared" ca="1" si="20"/>
        <v/>
      </c>
      <c r="E92" s="345" t="str">
        <f t="shared" ca="1" si="20"/>
        <v/>
      </c>
      <c r="F92" s="345" t="str">
        <f t="shared" ca="1" si="20"/>
        <v/>
      </c>
      <c r="G92" s="345" t="str">
        <f t="shared" ca="1" si="20"/>
        <v/>
      </c>
      <c r="H92" s="345" t="str">
        <f t="shared" ca="1" si="20"/>
        <v/>
      </c>
      <c r="I92" s="345" t="str">
        <f t="shared" ca="1" si="20"/>
        <v/>
      </c>
      <c r="J92" s="345" t="str">
        <f t="shared" ca="1" si="20"/>
        <v/>
      </c>
      <c r="K92" s="345" t="str">
        <f t="shared" ca="1" si="20"/>
        <v/>
      </c>
      <c r="L92" s="345" t="str">
        <f t="shared" ca="1" si="20"/>
        <v/>
      </c>
      <c r="M92" s="345" t="str">
        <f t="shared" ca="1" si="20"/>
        <v/>
      </c>
      <c r="N92" s="345" t="str">
        <f t="shared" ca="1" si="20"/>
        <v/>
      </c>
      <c r="O92" s="345" t="str">
        <f t="shared" ca="1" si="20"/>
        <v/>
      </c>
      <c r="P92" s="345" t="str">
        <f t="shared" ca="1" si="20"/>
        <v/>
      </c>
      <c r="Q92" s="345" t="str">
        <f t="shared" ca="1" si="20"/>
        <v/>
      </c>
      <c r="R92" s="345" t="str">
        <f t="shared" ca="1" si="22"/>
        <v/>
      </c>
      <c r="S92" s="345" t="str">
        <f t="shared" ca="1" si="22"/>
        <v/>
      </c>
      <c r="T92" s="345" t="str">
        <f t="shared" ca="1" si="22"/>
        <v/>
      </c>
      <c r="U92" s="345" t="str">
        <f t="shared" ca="1" si="22"/>
        <v/>
      </c>
      <c r="V92" s="345" t="str">
        <f t="shared" ca="1" si="22"/>
        <v/>
      </c>
      <c r="W92" s="345" t="str">
        <f t="shared" ca="1" si="22"/>
        <v/>
      </c>
      <c r="X92" s="345" t="str">
        <f t="shared" ca="1" si="22"/>
        <v/>
      </c>
      <c r="Y92" s="345" t="str">
        <f t="shared" ca="1" si="22"/>
        <v/>
      </c>
      <c r="Z92" s="345" t="str">
        <f t="shared" ca="1" si="22"/>
        <v/>
      </c>
      <c r="AA92" s="345" t="str">
        <f t="shared" ca="1" si="22"/>
        <v/>
      </c>
      <c r="AB92" s="345" t="str">
        <f t="shared" ca="1" si="22"/>
        <v/>
      </c>
      <c r="AC92" s="345" t="str">
        <f t="shared" ca="1" si="22"/>
        <v/>
      </c>
      <c r="AD92" s="345" t="str">
        <f t="shared" ca="1" si="22"/>
        <v/>
      </c>
      <c r="AE92" s="345" t="str">
        <f t="shared" ca="1" si="22"/>
        <v/>
      </c>
      <c r="AF92" s="345" t="str">
        <f t="shared" ca="1" si="22"/>
        <v/>
      </c>
      <c r="AG92" s="345" t="str">
        <f t="shared" ca="1" si="22"/>
        <v/>
      </c>
      <c r="AH92" s="345" t="str">
        <f t="shared" ca="1" si="22"/>
        <v/>
      </c>
      <c r="AI92" s="345" t="str">
        <f t="shared" ca="1" si="22"/>
        <v/>
      </c>
      <c r="AJ92" s="345" t="str">
        <f t="shared" ca="1" si="22"/>
        <v/>
      </c>
      <c r="AK92" s="345" t="str">
        <f t="shared" ca="1" si="22"/>
        <v/>
      </c>
      <c r="AL92" s="345" t="str">
        <f t="shared" ca="1" si="22"/>
        <v/>
      </c>
      <c r="AM92" s="345" t="str">
        <f t="shared" ca="1" si="22"/>
        <v/>
      </c>
      <c r="AN92" s="345">
        <f t="shared" ca="1" si="22"/>
        <v>0</v>
      </c>
      <c r="AO92" s="345">
        <f t="shared" ca="1" si="22"/>
        <v>0</v>
      </c>
      <c r="AP92" s="345">
        <f t="shared" ca="1" si="22"/>
        <v>0</v>
      </c>
      <c r="AQ92" s="345">
        <f t="shared" ca="1" si="22"/>
        <v>68125</v>
      </c>
      <c r="AR92" s="345">
        <f t="shared" ca="1" si="22"/>
        <v>90387</v>
      </c>
      <c r="AS92" s="345">
        <f t="shared" ca="1" si="22"/>
        <v>134825</v>
      </c>
      <c r="AT92" s="345">
        <f t="shared" ca="1" si="22"/>
        <v>0</v>
      </c>
      <c r="AU92" s="345">
        <f t="shared" ca="1" si="22"/>
        <v>0</v>
      </c>
      <c r="AV92" s="345">
        <f t="shared" ca="1" si="22"/>
        <v>0</v>
      </c>
      <c r="AW92" s="345">
        <f t="shared" ca="1" si="22"/>
        <v>0</v>
      </c>
      <c r="AX92" s="345">
        <f t="shared" ca="1" si="22"/>
        <v>0</v>
      </c>
      <c r="AY92" s="345">
        <f t="shared" ca="1" si="22"/>
        <v>0</v>
      </c>
      <c r="AZ92" s="345">
        <f t="shared" ca="1" si="22"/>
        <v>0</v>
      </c>
      <c r="BA92" s="345">
        <f t="shared" ca="1" si="22"/>
        <v>0</v>
      </c>
      <c r="BB92" s="345">
        <f t="shared" ca="1" si="22"/>
        <v>0</v>
      </c>
      <c r="BC92" s="345">
        <f t="shared" ca="1" si="22"/>
        <v>0</v>
      </c>
      <c r="BD92" s="345">
        <f t="shared" ca="1" si="22"/>
        <v>0</v>
      </c>
      <c r="BE92" s="345">
        <f t="shared" ca="1" si="22"/>
        <v>0</v>
      </c>
      <c r="BF92" s="345">
        <f t="shared" ca="1" si="22"/>
        <v>0</v>
      </c>
      <c r="BG92" s="345">
        <f t="shared" ca="1" si="22"/>
        <v>0</v>
      </c>
      <c r="BH92" s="345">
        <f t="shared" ca="1" si="22"/>
        <v>0</v>
      </c>
      <c r="BI92" s="345">
        <f t="shared" ca="1" si="22"/>
        <v>0</v>
      </c>
    </row>
    <row r="93" spans="1:61" outlineLevel="1" x14ac:dyDescent="0.15">
      <c r="A93" s="355">
        <v>40</v>
      </c>
      <c r="B93" s="345" t="str">
        <f t="shared" ca="1" si="20"/>
        <v/>
      </c>
      <c r="C93" s="345" t="str">
        <f t="shared" ca="1" si="20"/>
        <v/>
      </c>
      <c r="D93" s="345" t="str">
        <f t="shared" ca="1" si="20"/>
        <v/>
      </c>
      <c r="E93" s="345" t="str">
        <f t="shared" ca="1" si="20"/>
        <v/>
      </c>
      <c r="F93" s="345" t="str">
        <f t="shared" ca="1" si="20"/>
        <v/>
      </c>
      <c r="G93" s="345" t="str">
        <f t="shared" ca="1" si="20"/>
        <v/>
      </c>
      <c r="H93" s="345" t="str">
        <f t="shared" ca="1" si="20"/>
        <v/>
      </c>
      <c r="I93" s="345" t="str">
        <f t="shared" ca="1" si="20"/>
        <v/>
      </c>
      <c r="J93" s="345" t="str">
        <f t="shared" ca="1" si="20"/>
        <v/>
      </c>
      <c r="K93" s="345" t="str">
        <f t="shared" ca="1" si="20"/>
        <v/>
      </c>
      <c r="L93" s="345" t="str">
        <f t="shared" ca="1" si="20"/>
        <v/>
      </c>
      <c r="M93" s="345" t="str">
        <f t="shared" ca="1" si="20"/>
        <v/>
      </c>
      <c r="N93" s="345" t="str">
        <f t="shared" ca="1" si="20"/>
        <v/>
      </c>
      <c r="O93" s="345" t="str">
        <f t="shared" ca="1" si="20"/>
        <v/>
      </c>
      <c r="P93" s="345" t="str">
        <f t="shared" ca="1" si="20"/>
        <v/>
      </c>
      <c r="Q93" s="345" t="str">
        <f t="shared" ca="1" si="20"/>
        <v/>
      </c>
      <c r="R93" s="345" t="str">
        <f t="shared" ca="1" si="22"/>
        <v/>
      </c>
      <c r="S93" s="345" t="str">
        <f t="shared" ca="1" si="22"/>
        <v/>
      </c>
      <c r="T93" s="345" t="str">
        <f t="shared" ca="1" si="22"/>
        <v/>
      </c>
      <c r="U93" s="345" t="str">
        <f t="shared" ca="1" si="22"/>
        <v/>
      </c>
      <c r="V93" s="345" t="str">
        <f t="shared" ca="1" si="22"/>
        <v/>
      </c>
      <c r="W93" s="345" t="str">
        <f t="shared" ca="1" si="22"/>
        <v/>
      </c>
      <c r="X93" s="345" t="str">
        <f t="shared" ca="1" si="22"/>
        <v/>
      </c>
      <c r="Y93" s="345" t="str">
        <f t="shared" ca="1" si="22"/>
        <v/>
      </c>
      <c r="Z93" s="345" t="str">
        <f t="shared" ca="1" si="22"/>
        <v/>
      </c>
      <c r="AA93" s="345" t="str">
        <f t="shared" ca="1" si="22"/>
        <v/>
      </c>
      <c r="AB93" s="345" t="str">
        <f t="shared" ca="1" si="22"/>
        <v/>
      </c>
      <c r="AC93" s="345" t="str">
        <f t="shared" ca="1" si="22"/>
        <v/>
      </c>
      <c r="AD93" s="345" t="str">
        <f t="shared" ca="1" si="22"/>
        <v/>
      </c>
      <c r="AE93" s="345" t="str">
        <f t="shared" ca="1" si="22"/>
        <v/>
      </c>
      <c r="AF93" s="345" t="str">
        <f t="shared" ca="1" si="22"/>
        <v/>
      </c>
      <c r="AG93" s="345" t="str">
        <f t="shared" ca="1" si="22"/>
        <v/>
      </c>
      <c r="AH93" s="345" t="str">
        <f t="shared" ca="1" si="22"/>
        <v/>
      </c>
      <c r="AI93" s="345" t="str">
        <f t="shared" ca="1" si="22"/>
        <v/>
      </c>
      <c r="AJ93" s="345" t="str">
        <f t="shared" ca="1" si="22"/>
        <v/>
      </c>
      <c r="AK93" s="345" t="str">
        <f t="shared" ca="1" si="22"/>
        <v/>
      </c>
      <c r="AL93" s="345" t="str">
        <f t="shared" ca="1" si="22"/>
        <v/>
      </c>
      <c r="AM93" s="345" t="str">
        <f t="shared" ca="1" si="22"/>
        <v/>
      </c>
      <c r="AN93" s="345" t="str">
        <f t="shared" ca="1" si="22"/>
        <v/>
      </c>
      <c r="AO93" s="345">
        <f t="shared" ca="1" si="22"/>
        <v>0</v>
      </c>
      <c r="AP93" s="345">
        <f t="shared" ca="1" si="22"/>
        <v>0</v>
      </c>
      <c r="AQ93" s="345">
        <f t="shared" ca="1" si="22"/>
        <v>0</v>
      </c>
      <c r="AR93" s="345">
        <f t="shared" ca="1" si="22"/>
        <v>68125</v>
      </c>
      <c r="AS93" s="345">
        <f t="shared" ca="1" si="22"/>
        <v>90387</v>
      </c>
      <c r="AT93" s="345">
        <f t="shared" ca="1" si="22"/>
        <v>134825</v>
      </c>
      <c r="AU93" s="345">
        <f t="shared" ca="1" si="22"/>
        <v>0</v>
      </c>
      <c r="AV93" s="345">
        <f t="shared" ca="1" si="22"/>
        <v>0</v>
      </c>
      <c r="AW93" s="345">
        <f t="shared" ca="1" si="22"/>
        <v>0</v>
      </c>
      <c r="AX93" s="345">
        <f t="shared" ca="1" si="22"/>
        <v>0</v>
      </c>
      <c r="AY93" s="345">
        <f t="shared" ca="1" si="22"/>
        <v>0</v>
      </c>
      <c r="AZ93" s="345">
        <f t="shared" ca="1" si="22"/>
        <v>0</v>
      </c>
      <c r="BA93" s="345">
        <f t="shared" ca="1" si="22"/>
        <v>0</v>
      </c>
      <c r="BB93" s="345">
        <f t="shared" ca="1" si="22"/>
        <v>0</v>
      </c>
      <c r="BC93" s="345">
        <f t="shared" ca="1" si="22"/>
        <v>0</v>
      </c>
      <c r="BD93" s="345">
        <f t="shared" ca="1" si="22"/>
        <v>0</v>
      </c>
      <c r="BE93" s="345">
        <f t="shared" ca="1" si="22"/>
        <v>0</v>
      </c>
      <c r="BF93" s="345">
        <f t="shared" ca="1" si="22"/>
        <v>0</v>
      </c>
      <c r="BG93" s="345">
        <f t="shared" ca="1" si="22"/>
        <v>0</v>
      </c>
      <c r="BH93" s="345">
        <f t="shared" ca="1" si="22"/>
        <v>0</v>
      </c>
      <c r="BI93" s="345">
        <f t="shared" ca="1" si="22"/>
        <v>0</v>
      </c>
    </row>
    <row r="94" spans="1:61" outlineLevel="1" x14ac:dyDescent="0.15">
      <c r="A94" s="355">
        <v>41</v>
      </c>
      <c r="B94" s="345" t="str">
        <f t="shared" ca="1" si="20"/>
        <v/>
      </c>
      <c r="C94" s="345" t="str">
        <f t="shared" ca="1" si="20"/>
        <v/>
      </c>
      <c r="D94" s="345" t="str">
        <f t="shared" ca="1" si="20"/>
        <v/>
      </c>
      <c r="E94" s="345" t="str">
        <f t="shared" ca="1" si="20"/>
        <v/>
      </c>
      <c r="F94" s="345" t="str">
        <f t="shared" ca="1" si="20"/>
        <v/>
      </c>
      <c r="G94" s="345" t="str">
        <f t="shared" ca="1" si="20"/>
        <v/>
      </c>
      <c r="H94" s="345" t="str">
        <f t="shared" ca="1" si="20"/>
        <v/>
      </c>
      <c r="I94" s="345" t="str">
        <f t="shared" ca="1" si="20"/>
        <v/>
      </c>
      <c r="J94" s="345" t="str">
        <f t="shared" ca="1" si="20"/>
        <v/>
      </c>
      <c r="K94" s="345" t="str">
        <f t="shared" ca="1" si="20"/>
        <v/>
      </c>
      <c r="L94" s="345" t="str">
        <f t="shared" ca="1" si="20"/>
        <v/>
      </c>
      <c r="M94" s="345" t="str">
        <f t="shared" ca="1" si="20"/>
        <v/>
      </c>
      <c r="N94" s="345" t="str">
        <f t="shared" ca="1" si="20"/>
        <v/>
      </c>
      <c r="O94" s="345" t="str">
        <f t="shared" ca="1" si="20"/>
        <v/>
      </c>
      <c r="P94" s="345" t="str">
        <f t="shared" ca="1" si="20"/>
        <v/>
      </c>
      <c r="Q94" s="345" t="str">
        <f t="shared" ca="1" si="20"/>
        <v/>
      </c>
      <c r="R94" s="345" t="str">
        <f t="shared" ca="1" si="22"/>
        <v/>
      </c>
      <c r="S94" s="345" t="str">
        <f t="shared" ca="1" si="22"/>
        <v/>
      </c>
      <c r="T94" s="345" t="str">
        <f t="shared" ca="1" si="22"/>
        <v/>
      </c>
      <c r="U94" s="345" t="str">
        <f t="shared" ca="1" si="22"/>
        <v/>
      </c>
      <c r="V94" s="345" t="str">
        <f t="shared" ca="1" si="22"/>
        <v/>
      </c>
      <c r="W94" s="345" t="str">
        <f t="shared" ca="1" si="22"/>
        <v/>
      </c>
      <c r="X94" s="345" t="str">
        <f t="shared" ca="1" si="22"/>
        <v/>
      </c>
      <c r="Y94" s="345" t="str">
        <f t="shared" ca="1" si="22"/>
        <v/>
      </c>
      <c r="Z94" s="345" t="str">
        <f t="shared" ca="1" si="22"/>
        <v/>
      </c>
      <c r="AA94" s="345" t="str">
        <f t="shared" ca="1" si="22"/>
        <v/>
      </c>
      <c r="AB94" s="345" t="str">
        <f t="shared" ca="1" si="22"/>
        <v/>
      </c>
      <c r="AC94" s="345" t="str">
        <f t="shared" ca="1" si="22"/>
        <v/>
      </c>
      <c r="AD94" s="345" t="str">
        <f t="shared" ca="1" si="22"/>
        <v/>
      </c>
      <c r="AE94" s="345" t="str">
        <f t="shared" ca="1" si="22"/>
        <v/>
      </c>
      <c r="AF94" s="345" t="str">
        <f t="shared" ca="1" si="22"/>
        <v/>
      </c>
      <c r="AG94" s="345" t="str">
        <f t="shared" ca="1" si="22"/>
        <v/>
      </c>
      <c r="AH94" s="345" t="str">
        <f t="shared" ca="1" si="22"/>
        <v/>
      </c>
      <c r="AI94" s="345" t="str">
        <f t="shared" ca="1" si="22"/>
        <v/>
      </c>
      <c r="AJ94" s="345" t="str">
        <f t="shared" ca="1" si="22"/>
        <v/>
      </c>
      <c r="AK94" s="345" t="str">
        <f t="shared" ca="1" si="22"/>
        <v/>
      </c>
      <c r="AL94" s="345" t="str">
        <f t="shared" ca="1" si="22"/>
        <v/>
      </c>
      <c r="AM94" s="345" t="str">
        <f t="shared" ca="1" si="22"/>
        <v/>
      </c>
      <c r="AN94" s="345" t="str">
        <f t="shared" ca="1" si="22"/>
        <v/>
      </c>
      <c r="AO94" s="345" t="str">
        <f t="shared" ca="1" si="22"/>
        <v/>
      </c>
      <c r="AP94" s="345">
        <f t="shared" ca="1" si="22"/>
        <v>0</v>
      </c>
      <c r="AQ94" s="345">
        <f t="shared" ca="1" si="22"/>
        <v>0</v>
      </c>
      <c r="AR94" s="345">
        <f t="shared" ca="1" si="22"/>
        <v>0</v>
      </c>
      <c r="AS94" s="345">
        <f t="shared" ca="1" si="22"/>
        <v>68125</v>
      </c>
      <c r="AT94" s="345">
        <f t="shared" ca="1" si="22"/>
        <v>90387</v>
      </c>
      <c r="AU94" s="345">
        <f t="shared" ca="1" si="22"/>
        <v>134825</v>
      </c>
      <c r="AV94" s="345">
        <f t="shared" ca="1" si="22"/>
        <v>0</v>
      </c>
      <c r="AW94" s="345">
        <f t="shared" ca="1" si="22"/>
        <v>0</v>
      </c>
      <c r="AX94" s="345">
        <f t="shared" ca="1" si="22"/>
        <v>0</v>
      </c>
      <c r="AY94" s="345">
        <f t="shared" ca="1" si="22"/>
        <v>0</v>
      </c>
      <c r="AZ94" s="345">
        <f t="shared" ca="1" si="22"/>
        <v>0</v>
      </c>
      <c r="BA94" s="345">
        <f t="shared" ca="1" si="22"/>
        <v>0</v>
      </c>
      <c r="BB94" s="345">
        <f t="shared" ca="1" si="22"/>
        <v>0</v>
      </c>
      <c r="BC94" s="345">
        <f t="shared" ca="1" si="22"/>
        <v>0</v>
      </c>
      <c r="BD94" s="345">
        <f t="shared" ca="1" si="22"/>
        <v>0</v>
      </c>
      <c r="BE94" s="345">
        <f t="shared" ca="1" si="22"/>
        <v>0</v>
      </c>
      <c r="BF94" s="345">
        <f t="shared" ca="1" si="22"/>
        <v>0</v>
      </c>
      <c r="BG94" s="345">
        <f t="shared" ca="1" si="22"/>
        <v>0</v>
      </c>
      <c r="BH94" s="345">
        <f t="shared" ca="1" si="22"/>
        <v>0</v>
      </c>
      <c r="BI94" s="345">
        <f t="shared" ca="1" si="22"/>
        <v>0</v>
      </c>
    </row>
    <row r="95" spans="1:61" outlineLevel="1" x14ac:dyDescent="0.15">
      <c r="A95" s="355">
        <v>42</v>
      </c>
      <c r="B95" s="345" t="str">
        <f t="shared" ca="1" si="20"/>
        <v/>
      </c>
      <c r="C95" s="345" t="str">
        <f t="shared" ca="1" si="20"/>
        <v/>
      </c>
      <c r="D95" s="345" t="str">
        <f t="shared" ca="1" si="20"/>
        <v/>
      </c>
      <c r="E95" s="345" t="str">
        <f t="shared" ca="1" si="20"/>
        <v/>
      </c>
      <c r="F95" s="345" t="str">
        <f t="shared" ca="1" si="20"/>
        <v/>
      </c>
      <c r="G95" s="345" t="str">
        <f t="shared" ca="1" si="20"/>
        <v/>
      </c>
      <c r="H95" s="345" t="str">
        <f t="shared" ca="1" si="20"/>
        <v/>
      </c>
      <c r="I95" s="345" t="str">
        <f t="shared" ca="1" si="20"/>
        <v/>
      </c>
      <c r="J95" s="345" t="str">
        <f t="shared" ca="1" si="20"/>
        <v/>
      </c>
      <c r="K95" s="345" t="str">
        <f t="shared" ca="1" si="20"/>
        <v/>
      </c>
      <c r="L95" s="345" t="str">
        <f t="shared" ca="1" si="20"/>
        <v/>
      </c>
      <c r="M95" s="345" t="str">
        <f t="shared" ca="1" si="20"/>
        <v/>
      </c>
      <c r="N95" s="345" t="str">
        <f t="shared" ca="1" si="20"/>
        <v/>
      </c>
      <c r="O95" s="345" t="str">
        <f t="shared" ca="1" si="20"/>
        <v/>
      </c>
      <c r="P95" s="345" t="str">
        <f t="shared" ca="1" si="20"/>
        <v/>
      </c>
      <c r="Q95" s="345" t="str">
        <f t="shared" ca="1" si="20"/>
        <v/>
      </c>
      <c r="R95" s="345" t="str">
        <f t="shared" ca="1" si="22"/>
        <v/>
      </c>
      <c r="S95" s="345" t="str">
        <f t="shared" ca="1" si="22"/>
        <v/>
      </c>
      <c r="T95" s="345" t="str">
        <f t="shared" ca="1" si="22"/>
        <v/>
      </c>
      <c r="U95" s="345" t="str">
        <f t="shared" ca="1" si="22"/>
        <v/>
      </c>
      <c r="V95" s="345" t="str">
        <f t="shared" ca="1" si="22"/>
        <v/>
      </c>
      <c r="W95" s="345" t="str">
        <f t="shared" ca="1" si="22"/>
        <v/>
      </c>
      <c r="X95" s="345" t="str">
        <f t="shared" ca="1" si="22"/>
        <v/>
      </c>
      <c r="Y95" s="345" t="str">
        <f t="shared" ca="1" si="22"/>
        <v/>
      </c>
      <c r="Z95" s="345" t="str">
        <f t="shared" ca="1" si="22"/>
        <v/>
      </c>
      <c r="AA95" s="345" t="str">
        <f t="shared" ca="1" si="22"/>
        <v/>
      </c>
      <c r="AB95" s="345" t="str">
        <f t="shared" ca="1" si="22"/>
        <v/>
      </c>
      <c r="AC95" s="345" t="str">
        <f t="shared" ca="1" si="22"/>
        <v/>
      </c>
      <c r="AD95" s="345" t="str">
        <f t="shared" ca="1" si="22"/>
        <v/>
      </c>
      <c r="AE95" s="345" t="str">
        <f t="shared" ca="1" si="22"/>
        <v/>
      </c>
      <c r="AF95" s="345" t="str">
        <f t="shared" ca="1" si="22"/>
        <v/>
      </c>
      <c r="AG95" s="345" t="str">
        <f t="shared" ca="1" si="22"/>
        <v/>
      </c>
      <c r="AH95" s="345" t="str">
        <f t="shared" ca="1" si="22"/>
        <v/>
      </c>
      <c r="AI95" s="345" t="str">
        <f t="shared" ca="1" si="22"/>
        <v/>
      </c>
      <c r="AJ95" s="345" t="str">
        <f t="shared" ca="1" si="22"/>
        <v/>
      </c>
      <c r="AK95" s="345" t="str">
        <f t="shared" ca="1" si="22"/>
        <v/>
      </c>
      <c r="AL95" s="345" t="str">
        <f t="shared" ca="1" si="22"/>
        <v/>
      </c>
      <c r="AM95" s="345" t="str">
        <f t="shared" ca="1" si="22"/>
        <v/>
      </c>
      <c r="AN95" s="345" t="str">
        <f t="shared" ca="1" si="22"/>
        <v/>
      </c>
      <c r="AO95" s="345" t="str">
        <f t="shared" ca="1" si="22"/>
        <v/>
      </c>
      <c r="AP95" s="345" t="str">
        <f t="shared" ca="1" si="22"/>
        <v/>
      </c>
      <c r="AQ95" s="345">
        <f t="shared" ca="1" si="22"/>
        <v>0</v>
      </c>
      <c r="AR95" s="345">
        <f t="shared" ca="1" si="22"/>
        <v>0</v>
      </c>
      <c r="AS95" s="345">
        <f t="shared" ca="1" si="22"/>
        <v>0</v>
      </c>
      <c r="AT95" s="345">
        <f t="shared" ca="1" si="22"/>
        <v>68125</v>
      </c>
      <c r="AU95" s="345">
        <f t="shared" ca="1" si="22"/>
        <v>90387</v>
      </c>
      <c r="AV95" s="345">
        <f t="shared" ca="1" si="22"/>
        <v>134825</v>
      </c>
      <c r="AW95" s="345">
        <f t="shared" ca="1" si="22"/>
        <v>0</v>
      </c>
      <c r="AX95" s="345">
        <f t="shared" ca="1" si="22"/>
        <v>0</v>
      </c>
      <c r="AY95" s="345">
        <f t="shared" ca="1" si="22"/>
        <v>0</v>
      </c>
      <c r="AZ95" s="345">
        <f t="shared" ca="1" si="22"/>
        <v>0</v>
      </c>
      <c r="BA95" s="345">
        <f t="shared" ca="1" si="22"/>
        <v>0</v>
      </c>
      <c r="BB95" s="345">
        <f t="shared" ca="1" si="22"/>
        <v>0</v>
      </c>
      <c r="BC95" s="345">
        <f t="shared" ca="1" si="22"/>
        <v>0</v>
      </c>
      <c r="BD95" s="345">
        <f t="shared" ca="1" si="22"/>
        <v>0</v>
      </c>
      <c r="BE95" s="345">
        <f t="shared" ca="1" si="22"/>
        <v>0</v>
      </c>
      <c r="BF95" s="345">
        <f t="shared" ca="1" si="22"/>
        <v>0</v>
      </c>
      <c r="BG95" s="345">
        <f t="shared" ca="1" si="22"/>
        <v>0</v>
      </c>
      <c r="BH95" s="345">
        <f t="shared" ca="1" si="22"/>
        <v>0</v>
      </c>
      <c r="BI95" s="345">
        <f t="shared" ca="1" si="22"/>
        <v>0</v>
      </c>
    </row>
    <row r="96" spans="1:61" outlineLevel="1" x14ac:dyDescent="0.15">
      <c r="A96" s="355">
        <v>43</v>
      </c>
      <c r="B96" s="345" t="str">
        <f t="shared" ca="1" si="20"/>
        <v/>
      </c>
      <c r="C96" s="345" t="str">
        <f t="shared" ca="1" si="20"/>
        <v/>
      </c>
      <c r="D96" s="345" t="str">
        <f t="shared" ca="1" si="20"/>
        <v/>
      </c>
      <c r="E96" s="345" t="str">
        <f t="shared" ca="1" si="20"/>
        <v/>
      </c>
      <c r="F96" s="345" t="str">
        <f t="shared" ca="1" si="20"/>
        <v/>
      </c>
      <c r="G96" s="345" t="str">
        <f t="shared" ca="1" si="20"/>
        <v/>
      </c>
      <c r="H96" s="345" t="str">
        <f t="shared" ca="1" si="20"/>
        <v/>
      </c>
      <c r="I96" s="345" t="str">
        <f t="shared" ca="1" si="20"/>
        <v/>
      </c>
      <c r="J96" s="345" t="str">
        <f t="shared" ca="1" si="20"/>
        <v/>
      </c>
      <c r="K96" s="345" t="str">
        <f t="shared" ca="1" si="20"/>
        <v/>
      </c>
      <c r="L96" s="345" t="str">
        <f t="shared" ca="1" si="20"/>
        <v/>
      </c>
      <c r="M96" s="345" t="str">
        <f t="shared" ca="1" si="20"/>
        <v/>
      </c>
      <c r="N96" s="345" t="str">
        <f t="shared" ca="1" si="20"/>
        <v/>
      </c>
      <c r="O96" s="345" t="str">
        <f t="shared" ca="1" si="20"/>
        <v/>
      </c>
      <c r="P96" s="345" t="str">
        <f t="shared" ca="1" si="20"/>
        <v/>
      </c>
      <c r="Q96" s="345" t="str">
        <f t="shared" ca="1" si="20"/>
        <v/>
      </c>
      <c r="R96" s="345" t="str">
        <f t="shared" ca="1" si="22"/>
        <v/>
      </c>
      <c r="S96" s="345" t="str">
        <f t="shared" ca="1" si="22"/>
        <v/>
      </c>
      <c r="T96" s="345" t="str">
        <f t="shared" ca="1" si="22"/>
        <v/>
      </c>
      <c r="U96" s="345" t="str">
        <f t="shared" ca="1" si="22"/>
        <v/>
      </c>
      <c r="V96" s="345" t="str">
        <f t="shared" ca="1" si="22"/>
        <v/>
      </c>
      <c r="W96" s="345" t="str">
        <f t="shared" ca="1" si="22"/>
        <v/>
      </c>
      <c r="X96" s="345" t="str">
        <f t="shared" ca="1" si="22"/>
        <v/>
      </c>
      <c r="Y96" s="345" t="str">
        <f t="shared" ca="1" si="22"/>
        <v/>
      </c>
      <c r="Z96" s="345" t="str">
        <f t="shared" ca="1" si="22"/>
        <v/>
      </c>
      <c r="AA96" s="345" t="str">
        <f t="shared" ca="1" si="22"/>
        <v/>
      </c>
      <c r="AB96" s="345" t="str">
        <f t="shared" ca="1" si="22"/>
        <v/>
      </c>
      <c r="AC96" s="345" t="str">
        <f t="shared" ca="1" si="22"/>
        <v/>
      </c>
      <c r="AD96" s="345" t="str">
        <f t="shared" ca="1" si="22"/>
        <v/>
      </c>
      <c r="AE96" s="345" t="str">
        <f t="shared" ca="1" si="22"/>
        <v/>
      </c>
      <c r="AF96" s="345" t="str">
        <f t="shared" ca="1" si="22"/>
        <v/>
      </c>
      <c r="AG96" s="345" t="str">
        <f t="shared" ca="1" si="22"/>
        <v/>
      </c>
      <c r="AH96" s="345" t="str">
        <f t="shared" ca="1" si="22"/>
        <v/>
      </c>
      <c r="AI96" s="345" t="str">
        <f t="shared" ca="1" si="22"/>
        <v/>
      </c>
      <c r="AJ96" s="345" t="str">
        <f t="shared" ca="1" si="22"/>
        <v/>
      </c>
      <c r="AK96" s="345" t="str">
        <f t="shared" ca="1" si="22"/>
        <v/>
      </c>
      <c r="AL96" s="345" t="str">
        <f t="shared" ca="1" si="22"/>
        <v/>
      </c>
      <c r="AM96" s="345" t="str">
        <f t="shared" ca="1" si="22"/>
        <v/>
      </c>
      <c r="AN96" s="345" t="str">
        <f t="shared" ca="1" si="22"/>
        <v/>
      </c>
      <c r="AO96" s="345" t="str">
        <f t="shared" ca="1" si="22"/>
        <v/>
      </c>
      <c r="AP96" s="345" t="str">
        <f t="shared" ca="1" si="22"/>
        <v/>
      </c>
      <c r="AQ96" s="345" t="str">
        <f t="shared" ca="1" si="22"/>
        <v/>
      </c>
      <c r="AR96" s="345">
        <f t="shared" ca="1" si="22"/>
        <v>0</v>
      </c>
      <c r="AS96" s="345">
        <f t="shared" ca="1" si="22"/>
        <v>0</v>
      </c>
      <c r="AT96" s="345">
        <f t="shared" ca="1" si="22"/>
        <v>0</v>
      </c>
      <c r="AU96" s="345">
        <f t="shared" ca="1" si="22"/>
        <v>68125</v>
      </c>
      <c r="AV96" s="345">
        <f t="shared" ca="1" si="22"/>
        <v>90387</v>
      </c>
      <c r="AW96" s="345">
        <f t="shared" ca="1" si="22"/>
        <v>134825</v>
      </c>
      <c r="AX96" s="345">
        <f t="shared" ca="1" si="22"/>
        <v>0</v>
      </c>
      <c r="AY96" s="345">
        <f t="shared" ca="1" si="22"/>
        <v>0</v>
      </c>
      <c r="AZ96" s="345">
        <f t="shared" ca="1" si="22"/>
        <v>0</v>
      </c>
      <c r="BA96" s="345">
        <f t="shared" ref="BA96:DG100" ca="1" si="23">IF($A96&gt;BA$5,"",OFFSET(BA$53,0,-($A96-1)))</f>
        <v>0</v>
      </c>
      <c r="BB96" s="345">
        <f t="shared" ca="1" si="23"/>
        <v>0</v>
      </c>
      <c r="BC96" s="345">
        <f t="shared" ca="1" si="23"/>
        <v>0</v>
      </c>
      <c r="BD96" s="345">
        <f t="shared" ca="1" si="23"/>
        <v>0</v>
      </c>
      <c r="BE96" s="345">
        <f t="shared" ca="1" si="23"/>
        <v>0</v>
      </c>
      <c r="BF96" s="345">
        <f t="shared" ca="1" si="23"/>
        <v>0</v>
      </c>
      <c r="BG96" s="345">
        <f t="shared" ca="1" si="23"/>
        <v>0</v>
      </c>
      <c r="BH96" s="345">
        <f t="shared" ca="1" si="23"/>
        <v>0</v>
      </c>
      <c r="BI96" s="345">
        <f t="shared" ca="1" si="23"/>
        <v>0</v>
      </c>
    </row>
    <row r="97" spans="1:61" outlineLevel="1" x14ac:dyDescent="0.15">
      <c r="A97" s="355">
        <v>44</v>
      </c>
      <c r="B97" s="345" t="str">
        <f t="shared" ca="1" si="20"/>
        <v/>
      </c>
      <c r="C97" s="345" t="str">
        <f t="shared" ca="1" si="20"/>
        <v/>
      </c>
      <c r="D97" s="345" t="str">
        <f t="shared" ca="1" si="20"/>
        <v/>
      </c>
      <c r="E97" s="345" t="str">
        <f t="shared" ca="1" si="20"/>
        <v/>
      </c>
      <c r="F97" s="345" t="str">
        <f t="shared" ca="1" si="20"/>
        <v/>
      </c>
      <c r="G97" s="345" t="str">
        <f t="shared" ca="1" si="20"/>
        <v/>
      </c>
      <c r="H97" s="345" t="str">
        <f t="shared" ca="1" si="20"/>
        <v/>
      </c>
      <c r="I97" s="345" t="str">
        <f t="shared" ca="1" si="20"/>
        <v/>
      </c>
      <c r="J97" s="345" t="str">
        <f t="shared" ca="1" si="20"/>
        <v/>
      </c>
      <c r="K97" s="345" t="str">
        <f t="shared" ca="1" si="20"/>
        <v/>
      </c>
      <c r="L97" s="345" t="str">
        <f t="shared" ca="1" si="20"/>
        <v/>
      </c>
      <c r="M97" s="345" t="str">
        <f t="shared" ca="1" si="20"/>
        <v/>
      </c>
      <c r="N97" s="345" t="str">
        <f t="shared" ca="1" si="20"/>
        <v/>
      </c>
      <c r="O97" s="345" t="str">
        <f t="shared" ca="1" si="20"/>
        <v/>
      </c>
      <c r="P97" s="345" t="str">
        <f t="shared" ca="1" si="20"/>
        <v/>
      </c>
      <c r="Q97" s="345" t="str">
        <f t="shared" ca="1" si="20"/>
        <v/>
      </c>
      <c r="R97" s="345" t="str">
        <f t="shared" ref="R97:BX101" ca="1" si="24">IF($A97&gt;R$5,"",OFFSET(R$53,0,-($A97-1)))</f>
        <v/>
      </c>
      <c r="S97" s="345" t="str">
        <f t="shared" ca="1" si="24"/>
        <v/>
      </c>
      <c r="T97" s="345" t="str">
        <f t="shared" ca="1" si="24"/>
        <v/>
      </c>
      <c r="U97" s="345" t="str">
        <f t="shared" ca="1" si="24"/>
        <v/>
      </c>
      <c r="V97" s="345" t="str">
        <f t="shared" ca="1" si="24"/>
        <v/>
      </c>
      <c r="W97" s="345" t="str">
        <f t="shared" ca="1" si="24"/>
        <v/>
      </c>
      <c r="X97" s="345" t="str">
        <f t="shared" ca="1" si="24"/>
        <v/>
      </c>
      <c r="Y97" s="345" t="str">
        <f t="shared" ca="1" si="24"/>
        <v/>
      </c>
      <c r="Z97" s="345" t="str">
        <f t="shared" ca="1" si="24"/>
        <v/>
      </c>
      <c r="AA97" s="345" t="str">
        <f t="shared" ca="1" si="24"/>
        <v/>
      </c>
      <c r="AB97" s="345" t="str">
        <f t="shared" ca="1" si="24"/>
        <v/>
      </c>
      <c r="AC97" s="345" t="str">
        <f t="shared" ca="1" si="24"/>
        <v/>
      </c>
      <c r="AD97" s="345" t="str">
        <f t="shared" ca="1" si="24"/>
        <v/>
      </c>
      <c r="AE97" s="345" t="str">
        <f t="shared" ca="1" si="24"/>
        <v/>
      </c>
      <c r="AF97" s="345" t="str">
        <f t="shared" ca="1" si="24"/>
        <v/>
      </c>
      <c r="AG97" s="345" t="str">
        <f t="shared" ca="1" si="24"/>
        <v/>
      </c>
      <c r="AH97" s="345" t="str">
        <f t="shared" ca="1" si="24"/>
        <v/>
      </c>
      <c r="AI97" s="345" t="str">
        <f t="shared" ca="1" si="24"/>
        <v/>
      </c>
      <c r="AJ97" s="345" t="str">
        <f t="shared" ca="1" si="24"/>
        <v/>
      </c>
      <c r="AK97" s="345" t="str">
        <f t="shared" ca="1" si="24"/>
        <v/>
      </c>
      <c r="AL97" s="345" t="str">
        <f t="shared" ca="1" si="24"/>
        <v/>
      </c>
      <c r="AM97" s="345" t="str">
        <f t="shared" ca="1" si="24"/>
        <v/>
      </c>
      <c r="AN97" s="345" t="str">
        <f t="shared" ca="1" si="24"/>
        <v/>
      </c>
      <c r="AO97" s="345" t="str">
        <f t="shared" ca="1" si="24"/>
        <v/>
      </c>
      <c r="AP97" s="345" t="str">
        <f t="shared" ca="1" si="24"/>
        <v/>
      </c>
      <c r="AQ97" s="345" t="str">
        <f t="shared" ca="1" si="24"/>
        <v/>
      </c>
      <c r="AR97" s="345" t="str">
        <f t="shared" ca="1" si="24"/>
        <v/>
      </c>
      <c r="AS97" s="345">
        <f t="shared" ca="1" si="24"/>
        <v>0</v>
      </c>
      <c r="AT97" s="345">
        <f t="shared" ca="1" si="24"/>
        <v>0</v>
      </c>
      <c r="AU97" s="345">
        <f t="shared" ca="1" si="24"/>
        <v>0</v>
      </c>
      <c r="AV97" s="345">
        <f t="shared" ca="1" si="24"/>
        <v>68125</v>
      </c>
      <c r="AW97" s="345">
        <f t="shared" ca="1" si="24"/>
        <v>90387</v>
      </c>
      <c r="AX97" s="345">
        <f t="shared" ca="1" si="24"/>
        <v>134825</v>
      </c>
      <c r="AY97" s="345">
        <f t="shared" ca="1" si="24"/>
        <v>0</v>
      </c>
      <c r="AZ97" s="345">
        <f t="shared" ca="1" si="24"/>
        <v>0</v>
      </c>
      <c r="BA97" s="345">
        <f t="shared" ca="1" si="24"/>
        <v>0</v>
      </c>
      <c r="BB97" s="345">
        <f t="shared" ca="1" si="24"/>
        <v>0</v>
      </c>
      <c r="BC97" s="345">
        <f t="shared" ca="1" si="24"/>
        <v>0</v>
      </c>
      <c r="BD97" s="345">
        <f t="shared" ca="1" si="24"/>
        <v>0</v>
      </c>
      <c r="BE97" s="345">
        <f t="shared" ca="1" si="24"/>
        <v>0</v>
      </c>
      <c r="BF97" s="345">
        <f t="shared" ca="1" si="24"/>
        <v>0</v>
      </c>
      <c r="BG97" s="345">
        <f t="shared" ca="1" si="24"/>
        <v>0</v>
      </c>
      <c r="BH97" s="345">
        <f t="shared" ca="1" si="24"/>
        <v>0</v>
      </c>
      <c r="BI97" s="345">
        <f t="shared" ca="1" si="24"/>
        <v>0</v>
      </c>
    </row>
    <row r="98" spans="1:61" outlineLevel="1" x14ac:dyDescent="0.15">
      <c r="A98" s="355">
        <v>45</v>
      </c>
      <c r="B98" s="345" t="str">
        <f t="shared" ca="1" si="20"/>
        <v/>
      </c>
      <c r="C98" s="345" t="str">
        <f t="shared" ca="1" si="20"/>
        <v/>
      </c>
      <c r="D98" s="345" t="str">
        <f t="shared" ca="1" si="20"/>
        <v/>
      </c>
      <c r="E98" s="345" t="str">
        <f t="shared" ca="1" si="20"/>
        <v/>
      </c>
      <c r="F98" s="345" t="str">
        <f t="shared" ca="1" si="20"/>
        <v/>
      </c>
      <c r="G98" s="345" t="str">
        <f t="shared" ca="1" si="20"/>
        <v/>
      </c>
      <c r="H98" s="345" t="str">
        <f t="shared" ca="1" si="20"/>
        <v/>
      </c>
      <c r="I98" s="345" t="str">
        <f t="shared" ca="1" si="20"/>
        <v/>
      </c>
      <c r="J98" s="345" t="str">
        <f t="shared" ca="1" si="20"/>
        <v/>
      </c>
      <c r="K98" s="345" t="str">
        <f t="shared" ca="1" si="20"/>
        <v/>
      </c>
      <c r="L98" s="345" t="str">
        <f t="shared" ca="1" si="20"/>
        <v/>
      </c>
      <c r="M98" s="345" t="str">
        <f t="shared" ca="1" si="20"/>
        <v/>
      </c>
      <c r="N98" s="345" t="str">
        <f t="shared" ca="1" si="20"/>
        <v/>
      </c>
      <c r="O98" s="345" t="str">
        <f t="shared" ca="1" si="20"/>
        <v/>
      </c>
      <c r="P98" s="345" t="str">
        <f t="shared" ca="1" si="20"/>
        <v/>
      </c>
      <c r="Q98" s="345" t="str">
        <f t="shared" ca="1" si="20"/>
        <v/>
      </c>
      <c r="R98" s="345" t="str">
        <f t="shared" ca="1" si="24"/>
        <v/>
      </c>
      <c r="S98" s="345" t="str">
        <f t="shared" ca="1" si="24"/>
        <v/>
      </c>
      <c r="T98" s="345" t="str">
        <f t="shared" ca="1" si="24"/>
        <v/>
      </c>
      <c r="U98" s="345" t="str">
        <f t="shared" ca="1" si="24"/>
        <v/>
      </c>
      <c r="V98" s="345" t="str">
        <f t="shared" ca="1" si="24"/>
        <v/>
      </c>
      <c r="W98" s="345" t="str">
        <f t="shared" ca="1" si="24"/>
        <v/>
      </c>
      <c r="X98" s="345" t="str">
        <f t="shared" ca="1" si="24"/>
        <v/>
      </c>
      <c r="Y98" s="345" t="str">
        <f t="shared" ca="1" si="24"/>
        <v/>
      </c>
      <c r="Z98" s="345" t="str">
        <f t="shared" ca="1" si="24"/>
        <v/>
      </c>
      <c r="AA98" s="345" t="str">
        <f t="shared" ca="1" si="24"/>
        <v/>
      </c>
      <c r="AB98" s="345" t="str">
        <f t="shared" ca="1" si="24"/>
        <v/>
      </c>
      <c r="AC98" s="345" t="str">
        <f t="shared" ca="1" si="24"/>
        <v/>
      </c>
      <c r="AD98" s="345" t="str">
        <f t="shared" ca="1" si="24"/>
        <v/>
      </c>
      <c r="AE98" s="345" t="str">
        <f t="shared" ca="1" si="24"/>
        <v/>
      </c>
      <c r="AF98" s="345" t="str">
        <f t="shared" ca="1" si="24"/>
        <v/>
      </c>
      <c r="AG98" s="345" t="str">
        <f t="shared" ca="1" si="24"/>
        <v/>
      </c>
      <c r="AH98" s="345" t="str">
        <f t="shared" ca="1" si="24"/>
        <v/>
      </c>
      <c r="AI98" s="345" t="str">
        <f t="shared" ca="1" si="24"/>
        <v/>
      </c>
      <c r="AJ98" s="345" t="str">
        <f t="shared" ca="1" si="24"/>
        <v/>
      </c>
      <c r="AK98" s="345" t="str">
        <f t="shared" ca="1" si="24"/>
        <v/>
      </c>
      <c r="AL98" s="345" t="str">
        <f t="shared" ca="1" si="24"/>
        <v/>
      </c>
      <c r="AM98" s="345" t="str">
        <f t="shared" ca="1" si="24"/>
        <v/>
      </c>
      <c r="AN98" s="345" t="str">
        <f t="shared" ca="1" si="24"/>
        <v/>
      </c>
      <c r="AO98" s="345" t="str">
        <f t="shared" ca="1" si="24"/>
        <v/>
      </c>
      <c r="AP98" s="345" t="str">
        <f t="shared" ca="1" si="24"/>
        <v/>
      </c>
      <c r="AQ98" s="345" t="str">
        <f t="shared" ca="1" si="24"/>
        <v/>
      </c>
      <c r="AR98" s="345" t="str">
        <f t="shared" ca="1" si="24"/>
        <v/>
      </c>
      <c r="AS98" s="345" t="str">
        <f t="shared" ca="1" si="24"/>
        <v/>
      </c>
      <c r="AT98" s="345">
        <f t="shared" ca="1" si="24"/>
        <v>0</v>
      </c>
      <c r="AU98" s="345">
        <f t="shared" ca="1" si="24"/>
        <v>0</v>
      </c>
      <c r="AV98" s="345">
        <f t="shared" ca="1" si="24"/>
        <v>0</v>
      </c>
      <c r="AW98" s="345">
        <f t="shared" ca="1" si="24"/>
        <v>68125</v>
      </c>
      <c r="AX98" s="345">
        <f t="shared" ca="1" si="24"/>
        <v>90387</v>
      </c>
      <c r="AY98" s="345">
        <f t="shared" ca="1" si="24"/>
        <v>134825</v>
      </c>
      <c r="AZ98" s="345">
        <f t="shared" ca="1" si="24"/>
        <v>0</v>
      </c>
      <c r="BA98" s="345">
        <f t="shared" ca="1" si="24"/>
        <v>0</v>
      </c>
      <c r="BB98" s="345">
        <f t="shared" ca="1" si="24"/>
        <v>0</v>
      </c>
      <c r="BC98" s="345">
        <f t="shared" ca="1" si="24"/>
        <v>0</v>
      </c>
      <c r="BD98" s="345">
        <f t="shared" ca="1" si="24"/>
        <v>0</v>
      </c>
      <c r="BE98" s="345">
        <f t="shared" ca="1" si="24"/>
        <v>0</v>
      </c>
      <c r="BF98" s="345">
        <f t="shared" ca="1" si="24"/>
        <v>0</v>
      </c>
      <c r="BG98" s="345">
        <f t="shared" ca="1" si="24"/>
        <v>0</v>
      </c>
      <c r="BH98" s="345">
        <f t="shared" ca="1" si="24"/>
        <v>0</v>
      </c>
      <c r="BI98" s="345">
        <f t="shared" ca="1" si="24"/>
        <v>0</v>
      </c>
    </row>
    <row r="99" spans="1:61" outlineLevel="1" x14ac:dyDescent="0.15">
      <c r="A99" s="355">
        <v>46</v>
      </c>
      <c r="B99" s="345" t="str">
        <f t="shared" ca="1" si="20"/>
        <v/>
      </c>
      <c r="C99" s="345" t="str">
        <f t="shared" ca="1" si="20"/>
        <v/>
      </c>
      <c r="D99" s="345" t="str">
        <f t="shared" ca="1" si="20"/>
        <v/>
      </c>
      <c r="E99" s="345" t="str">
        <f t="shared" ca="1" si="20"/>
        <v/>
      </c>
      <c r="F99" s="345" t="str">
        <f t="shared" ca="1" si="20"/>
        <v/>
      </c>
      <c r="G99" s="345" t="str">
        <f t="shared" ca="1" si="20"/>
        <v/>
      </c>
      <c r="H99" s="345" t="str">
        <f t="shared" ca="1" si="20"/>
        <v/>
      </c>
      <c r="I99" s="345" t="str">
        <f t="shared" ca="1" si="20"/>
        <v/>
      </c>
      <c r="J99" s="345" t="str">
        <f t="shared" ca="1" si="20"/>
        <v/>
      </c>
      <c r="K99" s="345" t="str">
        <f t="shared" ca="1" si="20"/>
        <v/>
      </c>
      <c r="L99" s="345" t="str">
        <f t="shared" ca="1" si="20"/>
        <v/>
      </c>
      <c r="M99" s="345" t="str">
        <f t="shared" ca="1" si="20"/>
        <v/>
      </c>
      <c r="N99" s="345" t="str">
        <f t="shared" ca="1" si="20"/>
        <v/>
      </c>
      <c r="O99" s="345" t="str">
        <f t="shared" ca="1" si="20"/>
        <v/>
      </c>
      <c r="P99" s="345" t="str">
        <f t="shared" ca="1" si="20"/>
        <v/>
      </c>
      <c r="Q99" s="345" t="str">
        <f t="shared" ca="1" si="20"/>
        <v/>
      </c>
      <c r="R99" s="345" t="str">
        <f t="shared" ca="1" si="24"/>
        <v/>
      </c>
      <c r="S99" s="345" t="str">
        <f t="shared" ca="1" si="24"/>
        <v/>
      </c>
      <c r="T99" s="345" t="str">
        <f t="shared" ca="1" si="24"/>
        <v/>
      </c>
      <c r="U99" s="345" t="str">
        <f t="shared" ca="1" si="24"/>
        <v/>
      </c>
      <c r="V99" s="345" t="str">
        <f t="shared" ca="1" si="24"/>
        <v/>
      </c>
      <c r="W99" s="345" t="str">
        <f t="shared" ca="1" si="24"/>
        <v/>
      </c>
      <c r="X99" s="345" t="str">
        <f t="shared" ca="1" si="24"/>
        <v/>
      </c>
      <c r="Y99" s="345" t="str">
        <f t="shared" ca="1" si="24"/>
        <v/>
      </c>
      <c r="Z99" s="345" t="str">
        <f t="shared" ca="1" si="24"/>
        <v/>
      </c>
      <c r="AA99" s="345" t="str">
        <f t="shared" ca="1" si="24"/>
        <v/>
      </c>
      <c r="AB99" s="345" t="str">
        <f t="shared" ca="1" si="24"/>
        <v/>
      </c>
      <c r="AC99" s="345" t="str">
        <f t="shared" ca="1" si="24"/>
        <v/>
      </c>
      <c r="AD99" s="345" t="str">
        <f t="shared" ca="1" si="24"/>
        <v/>
      </c>
      <c r="AE99" s="345" t="str">
        <f t="shared" ca="1" si="24"/>
        <v/>
      </c>
      <c r="AF99" s="345" t="str">
        <f t="shared" ca="1" si="24"/>
        <v/>
      </c>
      <c r="AG99" s="345" t="str">
        <f t="shared" ca="1" si="24"/>
        <v/>
      </c>
      <c r="AH99" s="345" t="str">
        <f t="shared" ca="1" si="24"/>
        <v/>
      </c>
      <c r="AI99" s="345" t="str">
        <f t="shared" ca="1" si="24"/>
        <v/>
      </c>
      <c r="AJ99" s="345" t="str">
        <f t="shared" ca="1" si="24"/>
        <v/>
      </c>
      <c r="AK99" s="345" t="str">
        <f t="shared" ca="1" si="24"/>
        <v/>
      </c>
      <c r="AL99" s="345" t="str">
        <f t="shared" ca="1" si="24"/>
        <v/>
      </c>
      <c r="AM99" s="345" t="str">
        <f t="shared" ca="1" si="24"/>
        <v/>
      </c>
      <c r="AN99" s="345" t="str">
        <f t="shared" ca="1" si="24"/>
        <v/>
      </c>
      <c r="AO99" s="345" t="str">
        <f t="shared" ca="1" si="24"/>
        <v/>
      </c>
      <c r="AP99" s="345" t="str">
        <f t="shared" ca="1" si="24"/>
        <v/>
      </c>
      <c r="AQ99" s="345" t="str">
        <f t="shared" ca="1" si="24"/>
        <v/>
      </c>
      <c r="AR99" s="345" t="str">
        <f t="shared" ca="1" si="24"/>
        <v/>
      </c>
      <c r="AS99" s="345" t="str">
        <f t="shared" ca="1" si="24"/>
        <v/>
      </c>
      <c r="AT99" s="345" t="str">
        <f t="shared" ca="1" si="24"/>
        <v/>
      </c>
      <c r="AU99" s="345">
        <f t="shared" ca="1" si="24"/>
        <v>0</v>
      </c>
      <c r="AV99" s="345">
        <f t="shared" ca="1" si="24"/>
        <v>0</v>
      </c>
      <c r="AW99" s="345">
        <f t="shared" ca="1" si="24"/>
        <v>0</v>
      </c>
      <c r="AX99" s="345">
        <f t="shared" ca="1" si="24"/>
        <v>68125</v>
      </c>
      <c r="AY99" s="345">
        <f t="shared" ca="1" si="24"/>
        <v>90387</v>
      </c>
      <c r="AZ99" s="345">
        <f t="shared" ca="1" si="24"/>
        <v>134825</v>
      </c>
      <c r="BA99" s="345">
        <f t="shared" ca="1" si="24"/>
        <v>0</v>
      </c>
      <c r="BB99" s="345">
        <f t="shared" ca="1" si="24"/>
        <v>0</v>
      </c>
      <c r="BC99" s="345">
        <f t="shared" ca="1" si="24"/>
        <v>0</v>
      </c>
      <c r="BD99" s="345">
        <f t="shared" ca="1" si="24"/>
        <v>0</v>
      </c>
      <c r="BE99" s="345">
        <f t="shared" ca="1" si="24"/>
        <v>0</v>
      </c>
      <c r="BF99" s="345">
        <f t="shared" ca="1" si="24"/>
        <v>0</v>
      </c>
      <c r="BG99" s="345">
        <f t="shared" ca="1" si="24"/>
        <v>0</v>
      </c>
      <c r="BH99" s="345">
        <f t="shared" ca="1" si="24"/>
        <v>0</v>
      </c>
      <c r="BI99" s="345">
        <f t="shared" ca="1" si="24"/>
        <v>0</v>
      </c>
    </row>
    <row r="100" spans="1:61" outlineLevel="1" x14ac:dyDescent="0.15">
      <c r="A100" s="355">
        <v>47</v>
      </c>
      <c r="B100" s="345" t="str">
        <f t="shared" ca="1" si="20"/>
        <v/>
      </c>
      <c r="C100" s="345" t="str">
        <f t="shared" ca="1" si="20"/>
        <v/>
      </c>
      <c r="D100" s="345" t="str">
        <f t="shared" ca="1" si="20"/>
        <v/>
      </c>
      <c r="E100" s="345" t="str">
        <f t="shared" ca="1" si="20"/>
        <v/>
      </c>
      <c r="F100" s="345" t="str">
        <f t="shared" ca="1" si="20"/>
        <v/>
      </c>
      <c r="G100" s="345" t="str">
        <f t="shared" ca="1" si="20"/>
        <v/>
      </c>
      <c r="H100" s="345" t="str">
        <f t="shared" ca="1" si="20"/>
        <v/>
      </c>
      <c r="I100" s="345" t="str">
        <f t="shared" ca="1" si="20"/>
        <v/>
      </c>
      <c r="J100" s="345" t="str">
        <f t="shared" ca="1" si="20"/>
        <v/>
      </c>
      <c r="K100" s="345" t="str">
        <f t="shared" ca="1" si="20"/>
        <v/>
      </c>
      <c r="L100" s="345" t="str">
        <f t="shared" ca="1" si="20"/>
        <v/>
      </c>
      <c r="M100" s="345" t="str">
        <f t="shared" ca="1" si="20"/>
        <v/>
      </c>
      <c r="N100" s="345" t="str">
        <f t="shared" ca="1" si="20"/>
        <v/>
      </c>
      <c r="O100" s="345" t="str">
        <f t="shared" ca="1" si="20"/>
        <v/>
      </c>
      <c r="P100" s="345" t="str">
        <f t="shared" ca="1" si="20"/>
        <v/>
      </c>
      <c r="Q100" s="345" t="str">
        <f t="shared" ca="1" si="20"/>
        <v/>
      </c>
      <c r="R100" s="345" t="str">
        <f t="shared" ca="1" si="24"/>
        <v/>
      </c>
      <c r="S100" s="345" t="str">
        <f t="shared" ca="1" si="24"/>
        <v/>
      </c>
      <c r="T100" s="345" t="str">
        <f t="shared" ca="1" si="24"/>
        <v/>
      </c>
      <c r="U100" s="345" t="str">
        <f t="shared" ca="1" si="24"/>
        <v/>
      </c>
      <c r="V100" s="345" t="str">
        <f t="shared" ca="1" si="24"/>
        <v/>
      </c>
      <c r="W100" s="345" t="str">
        <f t="shared" ca="1" si="24"/>
        <v/>
      </c>
      <c r="X100" s="345" t="str">
        <f t="shared" ca="1" si="24"/>
        <v/>
      </c>
      <c r="Y100" s="345" t="str">
        <f t="shared" ca="1" si="24"/>
        <v/>
      </c>
      <c r="Z100" s="345" t="str">
        <f t="shared" ca="1" si="24"/>
        <v/>
      </c>
      <c r="AA100" s="345" t="str">
        <f t="shared" ca="1" si="24"/>
        <v/>
      </c>
      <c r="AB100" s="345" t="str">
        <f t="shared" ca="1" si="24"/>
        <v/>
      </c>
      <c r="AC100" s="345" t="str">
        <f t="shared" ca="1" si="24"/>
        <v/>
      </c>
      <c r="AD100" s="345" t="str">
        <f t="shared" ca="1" si="24"/>
        <v/>
      </c>
      <c r="AE100" s="345" t="str">
        <f t="shared" ca="1" si="24"/>
        <v/>
      </c>
      <c r="AF100" s="345" t="str">
        <f t="shared" ca="1" si="24"/>
        <v/>
      </c>
      <c r="AG100" s="345" t="str">
        <f t="shared" ca="1" si="24"/>
        <v/>
      </c>
      <c r="AH100" s="345" t="str">
        <f t="shared" ca="1" si="24"/>
        <v/>
      </c>
      <c r="AI100" s="345" t="str">
        <f t="shared" ca="1" si="24"/>
        <v/>
      </c>
      <c r="AJ100" s="345" t="str">
        <f t="shared" ca="1" si="24"/>
        <v/>
      </c>
      <c r="AK100" s="345" t="str">
        <f t="shared" ca="1" si="24"/>
        <v/>
      </c>
      <c r="AL100" s="345" t="str">
        <f t="shared" ca="1" si="24"/>
        <v/>
      </c>
      <c r="AM100" s="345" t="str">
        <f t="shared" ca="1" si="24"/>
        <v/>
      </c>
      <c r="AN100" s="345" t="str">
        <f t="shared" ca="1" si="24"/>
        <v/>
      </c>
      <c r="AO100" s="345" t="str">
        <f t="shared" ca="1" si="24"/>
        <v/>
      </c>
      <c r="AP100" s="345" t="str">
        <f t="shared" ca="1" si="24"/>
        <v/>
      </c>
      <c r="AQ100" s="345" t="str">
        <f t="shared" ca="1" si="24"/>
        <v/>
      </c>
      <c r="AR100" s="345" t="str">
        <f t="shared" ca="1" si="24"/>
        <v/>
      </c>
      <c r="AS100" s="345" t="str">
        <f t="shared" ca="1" si="24"/>
        <v/>
      </c>
      <c r="AT100" s="345" t="str">
        <f t="shared" ca="1" si="24"/>
        <v/>
      </c>
      <c r="AU100" s="345" t="str">
        <f t="shared" ca="1" si="24"/>
        <v/>
      </c>
      <c r="AV100" s="345">
        <f t="shared" ca="1" si="24"/>
        <v>0</v>
      </c>
      <c r="AW100" s="345">
        <f t="shared" ca="1" si="24"/>
        <v>0</v>
      </c>
      <c r="AX100" s="345">
        <f t="shared" ca="1" si="24"/>
        <v>0</v>
      </c>
      <c r="AY100" s="345">
        <f t="shared" ca="1" si="24"/>
        <v>68125</v>
      </c>
      <c r="AZ100" s="345">
        <f t="shared" ca="1" si="24"/>
        <v>90387</v>
      </c>
      <c r="BA100" s="345">
        <f t="shared" ca="1" si="24"/>
        <v>134825</v>
      </c>
      <c r="BB100" s="345">
        <f t="shared" ca="1" si="24"/>
        <v>0</v>
      </c>
      <c r="BC100" s="345">
        <f t="shared" ca="1" si="24"/>
        <v>0</v>
      </c>
      <c r="BD100" s="345">
        <f t="shared" ca="1" si="24"/>
        <v>0</v>
      </c>
      <c r="BE100" s="345">
        <f t="shared" ca="1" si="24"/>
        <v>0</v>
      </c>
      <c r="BF100" s="345">
        <f t="shared" ca="1" si="24"/>
        <v>0</v>
      </c>
      <c r="BG100" s="345">
        <f t="shared" ca="1" si="24"/>
        <v>0</v>
      </c>
      <c r="BH100" s="345">
        <f t="shared" ca="1" si="24"/>
        <v>0</v>
      </c>
      <c r="BI100" s="345">
        <f t="shared" ca="1" si="24"/>
        <v>0</v>
      </c>
    </row>
    <row r="101" spans="1:61" outlineLevel="1" x14ac:dyDescent="0.15">
      <c r="A101" s="355">
        <v>48</v>
      </c>
      <c r="B101" s="345" t="str">
        <f t="shared" ca="1" si="20"/>
        <v/>
      </c>
      <c r="C101" s="345" t="str">
        <f t="shared" ca="1" si="20"/>
        <v/>
      </c>
      <c r="D101" s="345" t="str">
        <f t="shared" ca="1" si="20"/>
        <v/>
      </c>
      <c r="E101" s="345" t="str">
        <f t="shared" ca="1" si="20"/>
        <v/>
      </c>
      <c r="F101" s="345" t="str">
        <f t="shared" ca="1" si="20"/>
        <v/>
      </c>
      <c r="G101" s="345" t="str">
        <f t="shared" ca="1" si="20"/>
        <v/>
      </c>
      <c r="H101" s="345" t="str">
        <f t="shared" ca="1" si="20"/>
        <v/>
      </c>
      <c r="I101" s="345" t="str">
        <f t="shared" ca="1" si="20"/>
        <v/>
      </c>
      <c r="J101" s="345" t="str">
        <f t="shared" ca="1" si="20"/>
        <v/>
      </c>
      <c r="K101" s="345" t="str">
        <f t="shared" ca="1" si="20"/>
        <v/>
      </c>
      <c r="L101" s="345" t="str">
        <f t="shared" ca="1" si="20"/>
        <v/>
      </c>
      <c r="M101" s="345" t="str">
        <f t="shared" ca="1" si="20"/>
        <v/>
      </c>
      <c r="N101" s="345" t="str">
        <f t="shared" ca="1" si="20"/>
        <v/>
      </c>
      <c r="O101" s="345" t="str">
        <f t="shared" ca="1" si="20"/>
        <v/>
      </c>
      <c r="P101" s="345" t="str">
        <f t="shared" ca="1" si="20"/>
        <v/>
      </c>
      <c r="Q101" s="345" t="str">
        <f t="shared" ref="Q101:BW107" ca="1" si="25">IF($A101&gt;Q$5,"",OFFSET(Q$53,0,-($A101-1)))</f>
        <v/>
      </c>
      <c r="R101" s="345" t="str">
        <f t="shared" ca="1" si="25"/>
        <v/>
      </c>
      <c r="S101" s="345" t="str">
        <f t="shared" ca="1" si="25"/>
        <v/>
      </c>
      <c r="T101" s="345" t="str">
        <f t="shared" ca="1" si="25"/>
        <v/>
      </c>
      <c r="U101" s="345" t="str">
        <f t="shared" ca="1" si="25"/>
        <v/>
      </c>
      <c r="V101" s="345" t="str">
        <f t="shared" ca="1" si="25"/>
        <v/>
      </c>
      <c r="W101" s="345" t="str">
        <f t="shared" ca="1" si="25"/>
        <v/>
      </c>
      <c r="X101" s="345" t="str">
        <f t="shared" ca="1" si="25"/>
        <v/>
      </c>
      <c r="Y101" s="345" t="str">
        <f t="shared" ca="1" si="25"/>
        <v/>
      </c>
      <c r="Z101" s="345" t="str">
        <f t="shared" ca="1" si="25"/>
        <v/>
      </c>
      <c r="AA101" s="345" t="str">
        <f t="shared" ca="1" si="25"/>
        <v/>
      </c>
      <c r="AB101" s="345" t="str">
        <f t="shared" ca="1" si="25"/>
        <v/>
      </c>
      <c r="AC101" s="345" t="str">
        <f t="shared" ca="1" si="25"/>
        <v/>
      </c>
      <c r="AD101" s="345" t="str">
        <f t="shared" ca="1" si="25"/>
        <v/>
      </c>
      <c r="AE101" s="345" t="str">
        <f t="shared" ca="1" si="25"/>
        <v/>
      </c>
      <c r="AF101" s="345" t="str">
        <f t="shared" ca="1" si="25"/>
        <v/>
      </c>
      <c r="AG101" s="345" t="str">
        <f t="shared" ca="1" si="25"/>
        <v/>
      </c>
      <c r="AH101" s="345" t="str">
        <f t="shared" ca="1" si="25"/>
        <v/>
      </c>
      <c r="AI101" s="345" t="str">
        <f t="shared" ca="1" si="25"/>
        <v/>
      </c>
      <c r="AJ101" s="345" t="str">
        <f t="shared" ca="1" si="25"/>
        <v/>
      </c>
      <c r="AK101" s="345" t="str">
        <f t="shared" ca="1" si="25"/>
        <v/>
      </c>
      <c r="AL101" s="345" t="str">
        <f t="shared" ca="1" si="25"/>
        <v/>
      </c>
      <c r="AM101" s="345" t="str">
        <f t="shared" ca="1" si="25"/>
        <v/>
      </c>
      <c r="AN101" s="345" t="str">
        <f t="shared" ca="1" si="25"/>
        <v/>
      </c>
      <c r="AO101" s="345" t="str">
        <f t="shared" ca="1" si="25"/>
        <v/>
      </c>
      <c r="AP101" s="345" t="str">
        <f t="shared" ca="1" si="25"/>
        <v/>
      </c>
      <c r="AQ101" s="345" t="str">
        <f t="shared" ca="1" si="25"/>
        <v/>
      </c>
      <c r="AR101" s="345" t="str">
        <f t="shared" ca="1" si="25"/>
        <v/>
      </c>
      <c r="AS101" s="345" t="str">
        <f t="shared" ca="1" si="25"/>
        <v/>
      </c>
      <c r="AT101" s="345" t="str">
        <f t="shared" ca="1" si="25"/>
        <v/>
      </c>
      <c r="AU101" s="345" t="str">
        <f t="shared" ca="1" si="25"/>
        <v/>
      </c>
      <c r="AV101" s="345" t="str">
        <f t="shared" ca="1" si="25"/>
        <v/>
      </c>
      <c r="AW101" s="345">
        <f t="shared" ca="1" si="25"/>
        <v>0</v>
      </c>
      <c r="AX101" s="345">
        <f t="shared" ca="1" si="24"/>
        <v>0</v>
      </c>
      <c r="AY101" s="345">
        <f t="shared" ca="1" si="24"/>
        <v>0</v>
      </c>
      <c r="AZ101" s="345">
        <f t="shared" ca="1" si="24"/>
        <v>68125</v>
      </c>
      <c r="BA101" s="345">
        <f t="shared" ca="1" si="24"/>
        <v>90387</v>
      </c>
      <c r="BB101" s="345">
        <f t="shared" ca="1" si="24"/>
        <v>134825</v>
      </c>
      <c r="BC101" s="345">
        <f t="shared" ca="1" si="24"/>
        <v>0</v>
      </c>
      <c r="BD101" s="345">
        <f t="shared" ca="1" si="24"/>
        <v>0</v>
      </c>
      <c r="BE101" s="345">
        <f t="shared" ca="1" si="24"/>
        <v>0</v>
      </c>
      <c r="BF101" s="345">
        <f t="shared" ca="1" si="24"/>
        <v>0</v>
      </c>
      <c r="BG101" s="345">
        <f t="shared" ca="1" si="24"/>
        <v>0</v>
      </c>
      <c r="BH101" s="345">
        <f t="shared" ca="1" si="24"/>
        <v>0</v>
      </c>
      <c r="BI101" s="345">
        <f t="shared" ca="1" si="24"/>
        <v>0</v>
      </c>
    </row>
    <row r="102" spans="1:61" outlineLevel="1" x14ac:dyDescent="0.15">
      <c r="A102" s="355">
        <v>49</v>
      </c>
      <c r="B102" s="345" t="str">
        <f t="shared" ref="B102:Q129" ca="1" si="26">IF($A102&gt;B$5,"",OFFSET(B$53,0,-($A102-1)))</f>
        <v/>
      </c>
      <c r="C102" s="345" t="str">
        <f t="shared" ca="1" si="26"/>
        <v/>
      </c>
      <c r="D102" s="345" t="str">
        <f t="shared" ca="1" si="26"/>
        <v/>
      </c>
      <c r="E102" s="345" t="str">
        <f t="shared" ca="1" si="26"/>
        <v/>
      </c>
      <c r="F102" s="345" t="str">
        <f t="shared" ca="1" si="26"/>
        <v/>
      </c>
      <c r="G102" s="345" t="str">
        <f t="shared" ca="1" si="26"/>
        <v/>
      </c>
      <c r="H102" s="345" t="str">
        <f t="shared" ca="1" si="26"/>
        <v/>
      </c>
      <c r="I102" s="345" t="str">
        <f t="shared" ca="1" si="26"/>
        <v/>
      </c>
      <c r="J102" s="345" t="str">
        <f t="shared" ca="1" si="26"/>
        <v/>
      </c>
      <c r="K102" s="345" t="str">
        <f t="shared" ca="1" si="26"/>
        <v/>
      </c>
      <c r="L102" s="345" t="str">
        <f t="shared" ca="1" si="26"/>
        <v/>
      </c>
      <c r="M102" s="345" t="str">
        <f t="shared" ca="1" si="26"/>
        <v/>
      </c>
      <c r="N102" s="345" t="str">
        <f t="shared" ca="1" si="26"/>
        <v/>
      </c>
      <c r="O102" s="345" t="str">
        <f t="shared" ca="1" si="26"/>
        <v/>
      </c>
      <c r="P102" s="345" t="str">
        <f t="shared" ca="1" si="26"/>
        <v/>
      </c>
      <c r="Q102" s="345" t="str">
        <f t="shared" ca="1" si="26"/>
        <v/>
      </c>
      <c r="R102" s="345" t="str">
        <f t="shared" ca="1" si="25"/>
        <v/>
      </c>
      <c r="S102" s="345" t="str">
        <f t="shared" ca="1" si="25"/>
        <v/>
      </c>
      <c r="T102" s="345" t="str">
        <f t="shared" ca="1" si="25"/>
        <v/>
      </c>
      <c r="U102" s="345" t="str">
        <f t="shared" ca="1" si="25"/>
        <v/>
      </c>
      <c r="V102" s="345" t="str">
        <f t="shared" ca="1" si="25"/>
        <v/>
      </c>
      <c r="W102" s="345" t="str">
        <f t="shared" ca="1" si="25"/>
        <v/>
      </c>
      <c r="X102" s="345" t="str">
        <f t="shared" ca="1" si="25"/>
        <v/>
      </c>
      <c r="Y102" s="345" t="str">
        <f t="shared" ca="1" si="25"/>
        <v/>
      </c>
      <c r="Z102" s="345" t="str">
        <f t="shared" ca="1" si="25"/>
        <v/>
      </c>
      <c r="AA102" s="345" t="str">
        <f t="shared" ca="1" si="25"/>
        <v/>
      </c>
      <c r="AB102" s="345" t="str">
        <f t="shared" ca="1" si="25"/>
        <v/>
      </c>
      <c r="AC102" s="345" t="str">
        <f t="shared" ca="1" si="25"/>
        <v/>
      </c>
      <c r="AD102" s="345" t="str">
        <f t="shared" ca="1" si="25"/>
        <v/>
      </c>
      <c r="AE102" s="345" t="str">
        <f t="shared" ca="1" si="25"/>
        <v/>
      </c>
      <c r="AF102" s="345" t="str">
        <f t="shared" ca="1" si="25"/>
        <v/>
      </c>
      <c r="AG102" s="345" t="str">
        <f t="shared" ca="1" si="25"/>
        <v/>
      </c>
      <c r="AH102" s="345" t="str">
        <f t="shared" ca="1" si="25"/>
        <v/>
      </c>
      <c r="AI102" s="345" t="str">
        <f t="shared" ca="1" si="25"/>
        <v/>
      </c>
      <c r="AJ102" s="345" t="str">
        <f t="shared" ca="1" si="25"/>
        <v/>
      </c>
      <c r="AK102" s="345" t="str">
        <f t="shared" ca="1" si="25"/>
        <v/>
      </c>
      <c r="AL102" s="345" t="str">
        <f t="shared" ca="1" si="25"/>
        <v/>
      </c>
      <c r="AM102" s="345" t="str">
        <f t="shared" ca="1" si="25"/>
        <v/>
      </c>
      <c r="AN102" s="345" t="str">
        <f t="shared" ca="1" si="25"/>
        <v/>
      </c>
      <c r="AO102" s="345" t="str">
        <f t="shared" ca="1" si="25"/>
        <v/>
      </c>
      <c r="AP102" s="345" t="str">
        <f t="shared" ca="1" si="25"/>
        <v/>
      </c>
      <c r="AQ102" s="345" t="str">
        <f t="shared" ca="1" si="25"/>
        <v/>
      </c>
      <c r="AR102" s="345" t="str">
        <f t="shared" ca="1" si="25"/>
        <v/>
      </c>
      <c r="AS102" s="345" t="str">
        <f t="shared" ca="1" si="25"/>
        <v/>
      </c>
      <c r="AT102" s="345" t="str">
        <f t="shared" ca="1" si="25"/>
        <v/>
      </c>
      <c r="AU102" s="345" t="str">
        <f t="shared" ca="1" si="25"/>
        <v/>
      </c>
      <c r="AV102" s="345" t="str">
        <f t="shared" ca="1" si="25"/>
        <v/>
      </c>
      <c r="AW102" s="345" t="str">
        <f t="shared" ca="1" si="25"/>
        <v/>
      </c>
      <c r="AX102" s="345">
        <f t="shared" ca="1" si="25"/>
        <v>0</v>
      </c>
      <c r="AY102" s="345">
        <f t="shared" ca="1" si="25"/>
        <v>0</v>
      </c>
      <c r="AZ102" s="345">
        <f t="shared" ca="1" si="25"/>
        <v>0</v>
      </c>
      <c r="BA102" s="345">
        <f t="shared" ca="1" si="25"/>
        <v>68125</v>
      </c>
      <c r="BB102" s="345">
        <f t="shared" ca="1" si="25"/>
        <v>90387</v>
      </c>
      <c r="BC102" s="345">
        <f t="shared" ca="1" si="25"/>
        <v>134825</v>
      </c>
      <c r="BD102" s="345">
        <f t="shared" ca="1" si="25"/>
        <v>0</v>
      </c>
      <c r="BE102" s="345">
        <f t="shared" ca="1" si="25"/>
        <v>0</v>
      </c>
      <c r="BF102" s="345">
        <f t="shared" ca="1" si="25"/>
        <v>0</v>
      </c>
      <c r="BG102" s="345">
        <f t="shared" ca="1" si="25"/>
        <v>0</v>
      </c>
      <c r="BH102" s="345">
        <f t="shared" ca="1" si="25"/>
        <v>0</v>
      </c>
      <c r="BI102" s="345">
        <f t="shared" ca="1" si="25"/>
        <v>0</v>
      </c>
    </row>
    <row r="103" spans="1:61" outlineLevel="1" x14ac:dyDescent="0.15">
      <c r="A103" s="355">
        <v>50</v>
      </c>
      <c r="B103" s="345" t="str">
        <f t="shared" ca="1" si="26"/>
        <v/>
      </c>
      <c r="C103" s="345" t="str">
        <f t="shared" ca="1" si="26"/>
        <v/>
      </c>
      <c r="D103" s="345" t="str">
        <f t="shared" ca="1" si="26"/>
        <v/>
      </c>
      <c r="E103" s="345" t="str">
        <f t="shared" ca="1" si="26"/>
        <v/>
      </c>
      <c r="F103" s="345" t="str">
        <f t="shared" ca="1" si="26"/>
        <v/>
      </c>
      <c r="G103" s="345" t="str">
        <f t="shared" ca="1" si="26"/>
        <v/>
      </c>
      <c r="H103" s="345" t="str">
        <f t="shared" ca="1" si="26"/>
        <v/>
      </c>
      <c r="I103" s="345" t="str">
        <f t="shared" ca="1" si="26"/>
        <v/>
      </c>
      <c r="J103" s="345" t="str">
        <f t="shared" ca="1" si="26"/>
        <v/>
      </c>
      <c r="K103" s="345" t="str">
        <f t="shared" ca="1" si="26"/>
        <v/>
      </c>
      <c r="L103" s="345" t="str">
        <f t="shared" ca="1" si="26"/>
        <v/>
      </c>
      <c r="M103" s="345" t="str">
        <f t="shared" ca="1" si="26"/>
        <v/>
      </c>
      <c r="N103" s="345" t="str">
        <f t="shared" ca="1" si="26"/>
        <v/>
      </c>
      <c r="O103" s="345" t="str">
        <f t="shared" ca="1" si="26"/>
        <v/>
      </c>
      <c r="P103" s="345" t="str">
        <f t="shared" ca="1" si="26"/>
        <v/>
      </c>
      <c r="Q103" s="345" t="str">
        <f t="shared" ca="1" si="26"/>
        <v/>
      </c>
      <c r="R103" s="345" t="str">
        <f t="shared" ca="1" si="25"/>
        <v/>
      </c>
      <c r="S103" s="345" t="str">
        <f t="shared" ca="1" si="25"/>
        <v/>
      </c>
      <c r="T103" s="345" t="str">
        <f t="shared" ca="1" si="25"/>
        <v/>
      </c>
      <c r="U103" s="345" t="str">
        <f t="shared" ca="1" si="25"/>
        <v/>
      </c>
      <c r="V103" s="345" t="str">
        <f t="shared" ca="1" si="25"/>
        <v/>
      </c>
      <c r="W103" s="345" t="str">
        <f t="shared" ca="1" si="25"/>
        <v/>
      </c>
      <c r="X103" s="345" t="str">
        <f t="shared" ca="1" si="25"/>
        <v/>
      </c>
      <c r="Y103" s="345" t="str">
        <f t="shared" ca="1" si="25"/>
        <v/>
      </c>
      <c r="Z103" s="345" t="str">
        <f t="shared" ca="1" si="25"/>
        <v/>
      </c>
      <c r="AA103" s="345" t="str">
        <f t="shared" ca="1" si="25"/>
        <v/>
      </c>
      <c r="AB103" s="345" t="str">
        <f t="shared" ca="1" si="25"/>
        <v/>
      </c>
      <c r="AC103" s="345" t="str">
        <f t="shared" ca="1" si="25"/>
        <v/>
      </c>
      <c r="AD103" s="345" t="str">
        <f t="shared" ca="1" si="25"/>
        <v/>
      </c>
      <c r="AE103" s="345" t="str">
        <f t="shared" ca="1" si="25"/>
        <v/>
      </c>
      <c r="AF103" s="345" t="str">
        <f t="shared" ca="1" si="25"/>
        <v/>
      </c>
      <c r="AG103" s="345" t="str">
        <f t="shared" ca="1" si="25"/>
        <v/>
      </c>
      <c r="AH103" s="345" t="str">
        <f t="shared" ca="1" si="25"/>
        <v/>
      </c>
      <c r="AI103" s="345" t="str">
        <f t="shared" ca="1" si="25"/>
        <v/>
      </c>
      <c r="AJ103" s="345" t="str">
        <f t="shared" ca="1" si="25"/>
        <v/>
      </c>
      <c r="AK103" s="345" t="str">
        <f t="shared" ca="1" si="25"/>
        <v/>
      </c>
      <c r="AL103" s="345" t="str">
        <f t="shared" ca="1" si="25"/>
        <v/>
      </c>
      <c r="AM103" s="345" t="str">
        <f t="shared" ca="1" si="25"/>
        <v/>
      </c>
      <c r="AN103" s="345" t="str">
        <f t="shared" ca="1" si="25"/>
        <v/>
      </c>
      <c r="AO103" s="345" t="str">
        <f t="shared" ca="1" si="25"/>
        <v/>
      </c>
      <c r="AP103" s="345" t="str">
        <f t="shared" ca="1" si="25"/>
        <v/>
      </c>
      <c r="AQ103" s="345" t="str">
        <f t="shared" ca="1" si="25"/>
        <v/>
      </c>
      <c r="AR103" s="345" t="str">
        <f t="shared" ca="1" si="25"/>
        <v/>
      </c>
      <c r="AS103" s="345" t="str">
        <f t="shared" ca="1" si="25"/>
        <v/>
      </c>
      <c r="AT103" s="345" t="str">
        <f t="shared" ca="1" si="25"/>
        <v/>
      </c>
      <c r="AU103" s="345" t="str">
        <f t="shared" ca="1" si="25"/>
        <v/>
      </c>
      <c r="AV103" s="345" t="str">
        <f t="shared" ca="1" si="25"/>
        <v/>
      </c>
      <c r="AW103" s="345" t="str">
        <f t="shared" ca="1" si="25"/>
        <v/>
      </c>
      <c r="AX103" s="345" t="str">
        <f t="shared" ca="1" si="25"/>
        <v/>
      </c>
      <c r="AY103" s="345">
        <f t="shared" ca="1" si="25"/>
        <v>0</v>
      </c>
      <c r="AZ103" s="345">
        <f t="shared" ca="1" si="25"/>
        <v>0</v>
      </c>
      <c r="BA103" s="345">
        <f t="shared" ca="1" si="25"/>
        <v>0</v>
      </c>
      <c r="BB103" s="345">
        <f t="shared" ca="1" si="25"/>
        <v>68125</v>
      </c>
      <c r="BC103" s="345">
        <f t="shared" ca="1" si="25"/>
        <v>90387</v>
      </c>
      <c r="BD103" s="345">
        <f t="shared" ca="1" si="25"/>
        <v>134825</v>
      </c>
      <c r="BE103" s="345">
        <f t="shared" ca="1" si="25"/>
        <v>0</v>
      </c>
      <c r="BF103" s="345">
        <f t="shared" ca="1" si="25"/>
        <v>0</v>
      </c>
      <c r="BG103" s="345">
        <f t="shared" ca="1" si="25"/>
        <v>0</v>
      </c>
      <c r="BH103" s="345">
        <f t="shared" ca="1" si="25"/>
        <v>0</v>
      </c>
      <c r="BI103" s="345">
        <f t="shared" ca="1" si="25"/>
        <v>0</v>
      </c>
    </row>
    <row r="104" spans="1:61" outlineLevel="1" x14ac:dyDescent="0.15">
      <c r="A104" s="355">
        <v>51</v>
      </c>
      <c r="B104" s="345" t="str">
        <f t="shared" ca="1" si="26"/>
        <v/>
      </c>
      <c r="C104" s="345" t="str">
        <f t="shared" ca="1" si="26"/>
        <v/>
      </c>
      <c r="D104" s="345" t="str">
        <f t="shared" ca="1" si="26"/>
        <v/>
      </c>
      <c r="E104" s="345" t="str">
        <f t="shared" ca="1" si="26"/>
        <v/>
      </c>
      <c r="F104" s="345" t="str">
        <f t="shared" ca="1" si="26"/>
        <v/>
      </c>
      <c r="G104" s="345" t="str">
        <f t="shared" ca="1" si="26"/>
        <v/>
      </c>
      <c r="H104" s="345" t="str">
        <f t="shared" ca="1" si="26"/>
        <v/>
      </c>
      <c r="I104" s="345" t="str">
        <f t="shared" ca="1" si="26"/>
        <v/>
      </c>
      <c r="J104" s="345" t="str">
        <f t="shared" ca="1" si="26"/>
        <v/>
      </c>
      <c r="K104" s="345" t="str">
        <f t="shared" ca="1" si="26"/>
        <v/>
      </c>
      <c r="L104" s="345" t="str">
        <f t="shared" ca="1" si="26"/>
        <v/>
      </c>
      <c r="M104" s="345" t="str">
        <f t="shared" ca="1" si="26"/>
        <v/>
      </c>
      <c r="N104" s="345" t="str">
        <f t="shared" ca="1" si="26"/>
        <v/>
      </c>
      <c r="O104" s="345" t="str">
        <f t="shared" ca="1" si="26"/>
        <v/>
      </c>
      <c r="P104" s="345" t="str">
        <f t="shared" ca="1" si="26"/>
        <v/>
      </c>
      <c r="Q104" s="345" t="str">
        <f t="shared" ca="1" si="26"/>
        <v/>
      </c>
      <c r="R104" s="345" t="str">
        <f t="shared" ca="1" si="25"/>
        <v/>
      </c>
      <c r="S104" s="345" t="str">
        <f t="shared" ca="1" si="25"/>
        <v/>
      </c>
      <c r="T104" s="345" t="str">
        <f t="shared" ca="1" si="25"/>
        <v/>
      </c>
      <c r="U104" s="345" t="str">
        <f t="shared" ca="1" si="25"/>
        <v/>
      </c>
      <c r="V104" s="345" t="str">
        <f t="shared" ca="1" si="25"/>
        <v/>
      </c>
      <c r="W104" s="345" t="str">
        <f t="shared" ca="1" si="25"/>
        <v/>
      </c>
      <c r="X104" s="345" t="str">
        <f t="shared" ca="1" si="25"/>
        <v/>
      </c>
      <c r="Y104" s="345" t="str">
        <f t="shared" ca="1" si="25"/>
        <v/>
      </c>
      <c r="Z104" s="345" t="str">
        <f t="shared" ca="1" si="25"/>
        <v/>
      </c>
      <c r="AA104" s="345" t="str">
        <f t="shared" ca="1" si="25"/>
        <v/>
      </c>
      <c r="AB104" s="345" t="str">
        <f t="shared" ca="1" si="25"/>
        <v/>
      </c>
      <c r="AC104" s="345" t="str">
        <f t="shared" ca="1" si="25"/>
        <v/>
      </c>
      <c r="AD104" s="345" t="str">
        <f t="shared" ca="1" si="25"/>
        <v/>
      </c>
      <c r="AE104" s="345" t="str">
        <f t="shared" ca="1" si="25"/>
        <v/>
      </c>
      <c r="AF104" s="345" t="str">
        <f t="shared" ca="1" si="25"/>
        <v/>
      </c>
      <c r="AG104" s="345" t="str">
        <f t="shared" ca="1" si="25"/>
        <v/>
      </c>
      <c r="AH104" s="345" t="str">
        <f t="shared" ca="1" si="25"/>
        <v/>
      </c>
      <c r="AI104" s="345" t="str">
        <f t="shared" ca="1" si="25"/>
        <v/>
      </c>
      <c r="AJ104" s="345" t="str">
        <f t="shared" ca="1" si="25"/>
        <v/>
      </c>
      <c r="AK104" s="345" t="str">
        <f t="shared" ca="1" si="25"/>
        <v/>
      </c>
      <c r="AL104" s="345" t="str">
        <f t="shared" ca="1" si="25"/>
        <v/>
      </c>
      <c r="AM104" s="345" t="str">
        <f t="shared" ca="1" si="25"/>
        <v/>
      </c>
      <c r="AN104" s="345" t="str">
        <f t="shared" ca="1" si="25"/>
        <v/>
      </c>
      <c r="AO104" s="345" t="str">
        <f t="shared" ca="1" si="25"/>
        <v/>
      </c>
      <c r="AP104" s="345" t="str">
        <f t="shared" ca="1" si="25"/>
        <v/>
      </c>
      <c r="AQ104" s="345" t="str">
        <f t="shared" ca="1" si="25"/>
        <v/>
      </c>
      <c r="AR104" s="345" t="str">
        <f t="shared" ca="1" si="25"/>
        <v/>
      </c>
      <c r="AS104" s="345" t="str">
        <f t="shared" ca="1" si="25"/>
        <v/>
      </c>
      <c r="AT104" s="345" t="str">
        <f t="shared" ca="1" si="25"/>
        <v/>
      </c>
      <c r="AU104" s="345" t="str">
        <f t="shared" ca="1" si="25"/>
        <v/>
      </c>
      <c r="AV104" s="345" t="str">
        <f t="shared" ca="1" si="25"/>
        <v/>
      </c>
      <c r="AW104" s="345" t="str">
        <f t="shared" ca="1" si="25"/>
        <v/>
      </c>
      <c r="AX104" s="345" t="str">
        <f t="shared" ca="1" si="25"/>
        <v/>
      </c>
      <c r="AY104" s="345" t="str">
        <f t="shared" ca="1" si="25"/>
        <v/>
      </c>
      <c r="AZ104" s="345">
        <f t="shared" ca="1" si="25"/>
        <v>0</v>
      </c>
      <c r="BA104" s="345">
        <f t="shared" ca="1" si="25"/>
        <v>0</v>
      </c>
      <c r="BB104" s="345">
        <f t="shared" ca="1" si="25"/>
        <v>0</v>
      </c>
      <c r="BC104" s="345">
        <f t="shared" ca="1" si="25"/>
        <v>68125</v>
      </c>
      <c r="BD104" s="345">
        <f t="shared" ca="1" si="25"/>
        <v>90387</v>
      </c>
      <c r="BE104" s="345">
        <f t="shared" ca="1" si="25"/>
        <v>134825</v>
      </c>
      <c r="BF104" s="345">
        <f t="shared" ca="1" si="25"/>
        <v>0</v>
      </c>
      <c r="BG104" s="345">
        <f t="shared" ca="1" si="25"/>
        <v>0</v>
      </c>
      <c r="BH104" s="345">
        <f t="shared" ca="1" si="25"/>
        <v>0</v>
      </c>
      <c r="BI104" s="345">
        <f t="shared" ca="1" si="25"/>
        <v>0</v>
      </c>
    </row>
    <row r="105" spans="1:61" outlineLevel="1" x14ac:dyDescent="0.15">
      <c r="A105" s="355">
        <v>52</v>
      </c>
      <c r="B105" s="345" t="str">
        <f t="shared" ca="1" si="26"/>
        <v/>
      </c>
      <c r="C105" s="345" t="str">
        <f t="shared" ca="1" si="26"/>
        <v/>
      </c>
      <c r="D105" s="345" t="str">
        <f t="shared" ca="1" si="26"/>
        <v/>
      </c>
      <c r="E105" s="345" t="str">
        <f t="shared" ca="1" si="26"/>
        <v/>
      </c>
      <c r="F105" s="345" t="str">
        <f t="shared" ca="1" si="26"/>
        <v/>
      </c>
      <c r="G105" s="345" t="str">
        <f t="shared" ca="1" si="26"/>
        <v/>
      </c>
      <c r="H105" s="345" t="str">
        <f t="shared" ca="1" si="26"/>
        <v/>
      </c>
      <c r="I105" s="345" t="str">
        <f t="shared" ca="1" si="26"/>
        <v/>
      </c>
      <c r="J105" s="345" t="str">
        <f t="shared" ca="1" si="26"/>
        <v/>
      </c>
      <c r="K105" s="345" t="str">
        <f t="shared" ca="1" si="26"/>
        <v/>
      </c>
      <c r="L105" s="345" t="str">
        <f t="shared" ca="1" si="26"/>
        <v/>
      </c>
      <c r="M105" s="345" t="str">
        <f t="shared" ca="1" si="26"/>
        <v/>
      </c>
      <c r="N105" s="345" t="str">
        <f t="shared" ca="1" si="26"/>
        <v/>
      </c>
      <c r="O105" s="345" t="str">
        <f t="shared" ca="1" si="26"/>
        <v/>
      </c>
      <c r="P105" s="345" t="str">
        <f t="shared" ca="1" si="26"/>
        <v/>
      </c>
      <c r="Q105" s="345" t="str">
        <f t="shared" ca="1" si="26"/>
        <v/>
      </c>
      <c r="R105" s="345" t="str">
        <f t="shared" ca="1" si="25"/>
        <v/>
      </c>
      <c r="S105" s="345" t="str">
        <f t="shared" ca="1" si="25"/>
        <v/>
      </c>
      <c r="T105" s="345" t="str">
        <f t="shared" ca="1" si="25"/>
        <v/>
      </c>
      <c r="U105" s="345" t="str">
        <f t="shared" ca="1" si="25"/>
        <v/>
      </c>
      <c r="V105" s="345" t="str">
        <f t="shared" ca="1" si="25"/>
        <v/>
      </c>
      <c r="W105" s="345" t="str">
        <f t="shared" ca="1" si="25"/>
        <v/>
      </c>
      <c r="X105" s="345" t="str">
        <f t="shared" ca="1" si="25"/>
        <v/>
      </c>
      <c r="Y105" s="345" t="str">
        <f t="shared" ca="1" si="25"/>
        <v/>
      </c>
      <c r="Z105" s="345" t="str">
        <f t="shared" ca="1" si="25"/>
        <v/>
      </c>
      <c r="AA105" s="345" t="str">
        <f t="shared" ca="1" si="25"/>
        <v/>
      </c>
      <c r="AB105" s="345" t="str">
        <f t="shared" ca="1" si="25"/>
        <v/>
      </c>
      <c r="AC105" s="345" t="str">
        <f t="shared" ca="1" si="25"/>
        <v/>
      </c>
      <c r="AD105" s="345" t="str">
        <f t="shared" ca="1" si="25"/>
        <v/>
      </c>
      <c r="AE105" s="345" t="str">
        <f t="shared" ca="1" si="25"/>
        <v/>
      </c>
      <c r="AF105" s="345" t="str">
        <f t="shared" ca="1" si="25"/>
        <v/>
      </c>
      <c r="AG105" s="345" t="str">
        <f t="shared" ca="1" si="25"/>
        <v/>
      </c>
      <c r="AH105" s="345" t="str">
        <f t="shared" ca="1" si="25"/>
        <v/>
      </c>
      <c r="AI105" s="345" t="str">
        <f t="shared" ca="1" si="25"/>
        <v/>
      </c>
      <c r="AJ105" s="345" t="str">
        <f t="shared" ca="1" si="25"/>
        <v/>
      </c>
      <c r="AK105" s="345" t="str">
        <f t="shared" ca="1" si="25"/>
        <v/>
      </c>
      <c r="AL105" s="345" t="str">
        <f t="shared" ca="1" si="25"/>
        <v/>
      </c>
      <c r="AM105" s="345" t="str">
        <f t="shared" ca="1" si="25"/>
        <v/>
      </c>
      <c r="AN105" s="345" t="str">
        <f t="shared" ca="1" si="25"/>
        <v/>
      </c>
      <c r="AO105" s="345" t="str">
        <f t="shared" ca="1" si="25"/>
        <v/>
      </c>
      <c r="AP105" s="345" t="str">
        <f t="shared" ca="1" si="25"/>
        <v/>
      </c>
      <c r="AQ105" s="345" t="str">
        <f t="shared" ca="1" si="25"/>
        <v/>
      </c>
      <c r="AR105" s="345" t="str">
        <f t="shared" ca="1" si="25"/>
        <v/>
      </c>
      <c r="AS105" s="345" t="str">
        <f t="shared" ca="1" si="25"/>
        <v/>
      </c>
      <c r="AT105" s="345" t="str">
        <f t="shared" ca="1" si="25"/>
        <v/>
      </c>
      <c r="AU105" s="345" t="str">
        <f t="shared" ca="1" si="25"/>
        <v/>
      </c>
      <c r="AV105" s="345" t="str">
        <f t="shared" ca="1" si="25"/>
        <v/>
      </c>
      <c r="AW105" s="345" t="str">
        <f t="shared" ca="1" si="25"/>
        <v/>
      </c>
      <c r="AX105" s="345" t="str">
        <f t="shared" ca="1" si="25"/>
        <v/>
      </c>
      <c r="AY105" s="345" t="str">
        <f t="shared" ca="1" si="25"/>
        <v/>
      </c>
      <c r="AZ105" s="345" t="str">
        <f t="shared" ca="1" si="25"/>
        <v/>
      </c>
      <c r="BA105" s="345">
        <f t="shared" ca="1" si="25"/>
        <v>0</v>
      </c>
      <c r="BB105" s="345">
        <f t="shared" ca="1" si="25"/>
        <v>0</v>
      </c>
      <c r="BC105" s="345">
        <f t="shared" ca="1" si="25"/>
        <v>0</v>
      </c>
      <c r="BD105" s="345">
        <f t="shared" ca="1" si="25"/>
        <v>68125</v>
      </c>
      <c r="BE105" s="345">
        <f t="shared" ca="1" si="25"/>
        <v>90387</v>
      </c>
      <c r="BF105" s="345">
        <f t="shared" ca="1" si="25"/>
        <v>134825</v>
      </c>
      <c r="BG105" s="345">
        <f t="shared" ca="1" si="25"/>
        <v>0</v>
      </c>
      <c r="BH105" s="345">
        <f t="shared" ca="1" si="25"/>
        <v>0</v>
      </c>
      <c r="BI105" s="345">
        <f t="shared" ca="1" si="25"/>
        <v>0</v>
      </c>
    </row>
    <row r="106" spans="1:61" outlineLevel="1" x14ac:dyDescent="0.15">
      <c r="A106" s="355">
        <v>53</v>
      </c>
      <c r="B106" s="345" t="str">
        <f t="shared" ca="1" si="26"/>
        <v/>
      </c>
      <c r="C106" s="345" t="str">
        <f t="shared" ca="1" si="26"/>
        <v/>
      </c>
      <c r="D106" s="345" t="str">
        <f t="shared" ca="1" si="26"/>
        <v/>
      </c>
      <c r="E106" s="345" t="str">
        <f t="shared" ca="1" si="26"/>
        <v/>
      </c>
      <c r="F106" s="345" t="str">
        <f t="shared" ca="1" si="26"/>
        <v/>
      </c>
      <c r="G106" s="345" t="str">
        <f t="shared" ca="1" si="26"/>
        <v/>
      </c>
      <c r="H106" s="345" t="str">
        <f t="shared" ca="1" si="26"/>
        <v/>
      </c>
      <c r="I106" s="345" t="str">
        <f t="shared" ca="1" si="26"/>
        <v/>
      </c>
      <c r="J106" s="345" t="str">
        <f t="shared" ca="1" si="26"/>
        <v/>
      </c>
      <c r="K106" s="345" t="str">
        <f t="shared" ca="1" si="26"/>
        <v/>
      </c>
      <c r="L106" s="345" t="str">
        <f t="shared" ca="1" si="26"/>
        <v/>
      </c>
      <c r="M106" s="345" t="str">
        <f t="shared" ca="1" si="26"/>
        <v/>
      </c>
      <c r="N106" s="345" t="str">
        <f t="shared" ca="1" si="26"/>
        <v/>
      </c>
      <c r="O106" s="345" t="str">
        <f t="shared" ca="1" si="26"/>
        <v/>
      </c>
      <c r="P106" s="345" t="str">
        <f t="shared" ca="1" si="26"/>
        <v/>
      </c>
      <c r="Q106" s="345" t="str">
        <f t="shared" ca="1" si="26"/>
        <v/>
      </c>
      <c r="R106" s="345" t="str">
        <f t="shared" ca="1" si="25"/>
        <v/>
      </c>
      <c r="S106" s="345" t="str">
        <f t="shared" ca="1" si="25"/>
        <v/>
      </c>
      <c r="T106" s="345" t="str">
        <f t="shared" ca="1" si="25"/>
        <v/>
      </c>
      <c r="U106" s="345" t="str">
        <f t="shared" ca="1" si="25"/>
        <v/>
      </c>
      <c r="V106" s="345" t="str">
        <f t="shared" ca="1" si="25"/>
        <v/>
      </c>
      <c r="W106" s="345" t="str">
        <f t="shared" ca="1" si="25"/>
        <v/>
      </c>
      <c r="X106" s="345" t="str">
        <f t="shared" ca="1" si="25"/>
        <v/>
      </c>
      <c r="Y106" s="345" t="str">
        <f t="shared" ca="1" si="25"/>
        <v/>
      </c>
      <c r="Z106" s="345" t="str">
        <f t="shared" ca="1" si="25"/>
        <v/>
      </c>
      <c r="AA106" s="345" t="str">
        <f t="shared" ca="1" si="25"/>
        <v/>
      </c>
      <c r="AB106" s="345" t="str">
        <f t="shared" ca="1" si="25"/>
        <v/>
      </c>
      <c r="AC106" s="345" t="str">
        <f t="shared" ca="1" si="25"/>
        <v/>
      </c>
      <c r="AD106" s="345" t="str">
        <f t="shared" ca="1" si="25"/>
        <v/>
      </c>
      <c r="AE106" s="345" t="str">
        <f t="shared" ca="1" si="25"/>
        <v/>
      </c>
      <c r="AF106" s="345" t="str">
        <f t="shared" ca="1" si="25"/>
        <v/>
      </c>
      <c r="AG106" s="345" t="str">
        <f t="shared" ca="1" si="25"/>
        <v/>
      </c>
      <c r="AH106" s="345" t="str">
        <f t="shared" ca="1" si="25"/>
        <v/>
      </c>
      <c r="AI106" s="345" t="str">
        <f t="shared" ca="1" si="25"/>
        <v/>
      </c>
      <c r="AJ106" s="345" t="str">
        <f t="shared" ca="1" si="25"/>
        <v/>
      </c>
      <c r="AK106" s="345" t="str">
        <f t="shared" ca="1" si="25"/>
        <v/>
      </c>
      <c r="AL106" s="345" t="str">
        <f t="shared" ca="1" si="25"/>
        <v/>
      </c>
      <c r="AM106" s="345" t="str">
        <f t="shared" ca="1" si="25"/>
        <v/>
      </c>
      <c r="AN106" s="345" t="str">
        <f t="shared" ca="1" si="25"/>
        <v/>
      </c>
      <c r="AO106" s="345" t="str">
        <f t="shared" ca="1" si="25"/>
        <v/>
      </c>
      <c r="AP106" s="345" t="str">
        <f t="shared" ca="1" si="25"/>
        <v/>
      </c>
      <c r="AQ106" s="345" t="str">
        <f t="shared" ca="1" si="25"/>
        <v/>
      </c>
      <c r="AR106" s="345" t="str">
        <f t="shared" ca="1" si="25"/>
        <v/>
      </c>
      <c r="AS106" s="345" t="str">
        <f t="shared" ca="1" si="25"/>
        <v/>
      </c>
      <c r="AT106" s="345" t="str">
        <f t="shared" ca="1" si="25"/>
        <v/>
      </c>
      <c r="AU106" s="345" t="str">
        <f t="shared" ca="1" si="25"/>
        <v/>
      </c>
      <c r="AV106" s="345" t="str">
        <f t="shared" ca="1" si="25"/>
        <v/>
      </c>
      <c r="AW106" s="345" t="str">
        <f t="shared" ca="1" si="25"/>
        <v/>
      </c>
      <c r="AX106" s="345" t="str">
        <f t="shared" ca="1" si="25"/>
        <v/>
      </c>
      <c r="AY106" s="345" t="str">
        <f t="shared" ca="1" si="25"/>
        <v/>
      </c>
      <c r="AZ106" s="345" t="str">
        <f t="shared" ca="1" si="25"/>
        <v/>
      </c>
      <c r="BA106" s="345" t="str">
        <f t="shared" ca="1" si="25"/>
        <v/>
      </c>
      <c r="BB106" s="345">
        <f t="shared" ca="1" si="25"/>
        <v>0</v>
      </c>
      <c r="BC106" s="345">
        <f t="shared" ca="1" si="25"/>
        <v>0</v>
      </c>
      <c r="BD106" s="345">
        <f t="shared" ca="1" si="25"/>
        <v>0</v>
      </c>
      <c r="BE106" s="345">
        <f t="shared" ca="1" si="25"/>
        <v>68125</v>
      </c>
      <c r="BF106" s="345">
        <f t="shared" ca="1" si="25"/>
        <v>90387</v>
      </c>
      <c r="BG106" s="345">
        <f t="shared" ca="1" si="25"/>
        <v>134825</v>
      </c>
      <c r="BH106" s="345">
        <f t="shared" ca="1" si="25"/>
        <v>0</v>
      </c>
      <c r="BI106" s="345">
        <f t="shared" ca="1" si="25"/>
        <v>0</v>
      </c>
    </row>
    <row r="107" spans="1:61" outlineLevel="1" x14ac:dyDescent="0.15">
      <c r="A107" s="355">
        <v>54</v>
      </c>
      <c r="B107" s="345" t="str">
        <f t="shared" ca="1" si="26"/>
        <v/>
      </c>
      <c r="C107" s="345" t="str">
        <f t="shared" ca="1" si="26"/>
        <v/>
      </c>
      <c r="D107" s="345" t="str">
        <f t="shared" ca="1" si="26"/>
        <v/>
      </c>
      <c r="E107" s="345" t="str">
        <f t="shared" ca="1" si="26"/>
        <v/>
      </c>
      <c r="F107" s="345" t="str">
        <f t="shared" ca="1" si="26"/>
        <v/>
      </c>
      <c r="G107" s="345" t="str">
        <f t="shared" ca="1" si="26"/>
        <v/>
      </c>
      <c r="H107" s="345" t="str">
        <f t="shared" ca="1" si="26"/>
        <v/>
      </c>
      <c r="I107" s="345" t="str">
        <f t="shared" ca="1" si="26"/>
        <v/>
      </c>
      <c r="J107" s="345" t="str">
        <f t="shared" ca="1" si="26"/>
        <v/>
      </c>
      <c r="K107" s="345" t="str">
        <f t="shared" ca="1" si="26"/>
        <v/>
      </c>
      <c r="L107" s="345" t="str">
        <f t="shared" ca="1" si="26"/>
        <v/>
      </c>
      <c r="M107" s="345" t="str">
        <f t="shared" ca="1" si="26"/>
        <v/>
      </c>
      <c r="N107" s="345" t="str">
        <f t="shared" ca="1" si="26"/>
        <v/>
      </c>
      <c r="O107" s="345" t="str">
        <f t="shared" ca="1" si="26"/>
        <v/>
      </c>
      <c r="P107" s="345" t="str">
        <f t="shared" ca="1" si="26"/>
        <v/>
      </c>
      <c r="Q107" s="345" t="str">
        <f t="shared" ca="1" si="26"/>
        <v/>
      </c>
      <c r="R107" s="345" t="str">
        <f t="shared" ca="1" si="25"/>
        <v/>
      </c>
      <c r="S107" s="345" t="str">
        <f t="shared" ca="1" si="25"/>
        <v/>
      </c>
      <c r="T107" s="345" t="str">
        <f t="shared" ref="T107:BZ111" ca="1" si="27">IF($A107&gt;T$5,"",OFFSET(T$53,0,-($A107-1)))</f>
        <v/>
      </c>
      <c r="U107" s="345" t="str">
        <f t="shared" ca="1" si="27"/>
        <v/>
      </c>
      <c r="V107" s="345" t="str">
        <f t="shared" ca="1" si="27"/>
        <v/>
      </c>
      <c r="W107" s="345" t="str">
        <f t="shared" ca="1" si="27"/>
        <v/>
      </c>
      <c r="X107" s="345" t="str">
        <f t="shared" ca="1" si="27"/>
        <v/>
      </c>
      <c r="Y107" s="345" t="str">
        <f t="shared" ca="1" si="27"/>
        <v/>
      </c>
      <c r="Z107" s="345" t="str">
        <f t="shared" ca="1" si="27"/>
        <v/>
      </c>
      <c r="AA107" s="345" t="str">
        <f t="shared" ca="1" si="27"/>
        <v/>
      </c>
      <c r="AB107" s="345" t="str">
        <f t="shared" ca="1" si="27"/>
        <v/>
      </c>
      <c r="AC107" s="345" t="str">
        <f t="shared" ca="1" si="27"/>
        <v/>
      </c>
      <c r="AD107" s="345" t="str">
        <f t="shared" ca="1" si="27"/>
        <v/>
      </c>
      <c r="AE107" s="345" t="str">
        <f t="shared" ca="1" si="27"/>
        <v/>
      </c>
      <c r="AF107" s="345" t="str">
        <f t="shared" ca="1" si="27"/>
        <v/>
      </c>
      <c r="AG107" s="345" t="str">
        <f t="shared" ca="1" si="27"/>
        <v/>
      </c>
      <c r="AH107" s="345" t="str">
        <f t="shared" ca="1" si="27"/>
        <v/>
      </c>
      <c r="AI107" s="345" t="str">
        <f t="shared" ca="1" si="27"/>
        <v/>
      </c>
      <c r="AJ107" s="345" t="str">
        <f t="shared" ca="1" si="27"/>
        <v/>
      </c>
      <c r="AK107" s="345" t="str">
        <f t="shared" ca="1" si="27"/>
        <v/>
      </c>
      <c r="AL107" s="345" t="str">
        <f t="shared" ca="1" si="27"/>
        <v/>
      </c>
      <c r="AM107" s="345" t="str">
        <f t="shared" ca="1" si="27"/>
        <v/>
      </c>
      <c r="AN107" s="345" t="str">
        <f t="shared" ca="1" si="27"/>
        <v/>
      </c>
      <c r="AO107" s="345" t="str">
        <f t="shared" ca="1" si="27"/>
        <v/>
      </c>
      <c r="AP107" s="345" t="str">
        <f t="shared" ca="1" si="27"/>
        <v/>
      </c>
      <c r="AQ107" s="345" t="str">
        <f t="shared" ca="1" si="27"/>
        <v/>
      </c>
      <c r="AR107" s="345" t="str">
        <f t="shared" ca="1" si="27"/>
        <v/>
      </c>
      <c r="AS107" s="345" t="str">
        <f t="shared" ca="1" si="27"/>
        <v/>
      </c>
      <c r="AT107" s="345" t="str">
        <f t="shared" ca="1" si="27"/>
        <v/>
      </c>
      <c r="AU107" s="345" t="str">
        <f t="shared" ca="1" si="27"/>
        <v/>
      </c>
      <c r="AV107" s="345" t="str">
        <f t="shared" ca="1" si="27"/>
        <v/>
      </c>
      <c r="AW107" s="345" t="str">
        <f t="shared" ca="1" si="27"/>
        <v/>
      </c>
      <c r="AX107" s="345" t="str">
        <f t="shared" ca="1" si="27"/>
        <v/>
      </c>
      <c r="AY107" s="345" t="str">
        <f t="shared" ca="1" si="27"/>
        <v/>
      </c>
      <c r="AZ107" s="345" t="str">
        <f t="shared" ca="1" si="27"/>
        <v/>
      </c>
      <c r="BA107" s="345" t="str">
        <f t="shared" ca="1" si="27"/>
        <v/>
      </c>
      <c r="BB107" s="345" t="str">
        <f t="shared" ca="1" si="27"/>
        <v/>
      </c>
      <c r="BC107" s="345">
        <f t="shared" ca="1" si="27"/>
        <v>0</v>
      </c>
      <c r="BD107" s="345">
        <f t="shared" ca="1" si="27"/>
        <v>0</v>
      </c>
      <c r="BE107" s="345">
        <f t="shared" ca="1" si="27"/>
        <v>0</v>
      </c>
      <c r="BF107" s="345">
        <f t="shared" ca="1" si="27"/>
        <v>68125</v>
      </c>
      <c r="BG107" s="345">
        <f t="shared" ca="1" si="27"/>
        <v>90387</v>
      </c>
      <c r="BH107" s="345">
        <f t="shared" ca="1" si="27"/>
        <v>134825</v>
      </c>
      <c r="BI107" s="345">
        <f t="shared" ca="1" si="27"/>
        <v>0</v>
      </c>
    </row>
    <row r="108" spans="1:61" outlineLevel="1" x14ac:dyDescent="0.15">
      <c r="A108" s="355">
        <v>55</v>
      </c>
      <c r="B108" s="345" t="str">
        <f t="shared" ca="1" si="26"/>
        <v/>
      </c>
      <c r="C108" s="345" t="str">
        <f t="shared" ca="1" si="26"/>
        <v/>
      </c>
      <c r="D108" s="345" t="str">
        <f t="shared" ca="1" si="26"/>
        <v/>
      </c>
      <c r="E108" s="345" t="str">
        <f t="shared" ca="1" si="26"/>
        <v/>
      </c>
      <c r="F108" s="345" t="str">
        <f t="shared" ca="1" si="26"/>
        <v/>
      </c>
      <c r="G108" s="345" t="str">
        <f t="shared" ca="1" si="26"/>
        <v/>
      </c>
      <c r="H108" s="345" t="str">
        <f t="shared" ca="1" si="26"/>
        <v/>
      </c>
      <c r="I108" s="345" t="str">
        <f t="shared" ca="1" si="26"/>
        <v/>
      </c>
      <c r="J108" s="345" t="str">
        <f t="shared" ca="1" si="26"/>
        <v/>
      </c>
      <c r="K108" s="345" t="str">
        <f t="shared" ca="1" si="26"/>
        <v/>
      </c>
      <c r="L108" s="345" t="str">
        <f t="shared" ca="1" si="26"/>
        <v/>
      </c>
      <c r="M108" s="345" t="str">
        <f t="shared" ca="1" si="26"/>
        <v/>
      </c>
      <c r="N108" s="345" t="str">
        <f t="shared" ca="1" si="26"/>
        <v/>
      </c>
      <c r="O108" s="345" t="str">
        <f t="shared" ca="1" si="26"/>
        <v/>
      </c>
      <c r="P108" s="345" t="str">
        <f t="shared" ca="1" si="26"/>
        <v/>
      </c>
      <c r="Q108" s="345" t="str">
        <f t="shared" ca="1" si="26"/>
        <v/>
      </c>
      <c r="R108" s="345" t="str">
        <f t="shared" ref="R108:BX113" ca="1" si="28">IF($A108&gt;R$5,"",OFFSET(R$53,0,-($A108-1)))</f>
        <v/>
      </c>
      <c r="S108" s="345" t="str">
        <f t="shared" ca="1" si="28"/>
        <v/>
      </c>
      <c r="T108" s="345" t="str">
        <f t="shared" ca="1" si="28"/>
        <v/>
      </c>
      <c r="U108" s="345" t="str">
        <f t="shared" ca="1" si="28"/>
        <v/>
      </c>
      <c r="V108" s="345" t="str">
        <f t="shared" ca="1" si="28"/>
        <v/>
      </c>
      <c r="W108" s="345" t="str">
        <f t="shared" ca="1" si="28"/>
        <v/>
      </c>
      <c r="X108" s="345" t="str">
        <f t="shared" ca="1" si="28"/>
        <v/>
      </c>
      <c r="Y108" s="345" t="str">
        <f t="shared" ca="1" si="28"/>
        <v/>
      </c>
      <c r="Z108" s="345" t="str">
        <f t="shared" ca="1" si="28"/>
        <v/>
      </c>
      <c r="AA108" s="345" t="str">
        <f t="shared" ca="1" si="28"/>
        <v/>
      </c>
      <c r="AB108" s="345" t="str">
        <f t="shared" ca="1" si="28"/>
        <v/>
      </c>
      <c r="AC108" s="345" t="str">
        <f t="shared" ca="1" si="28"/>
        <v/>
      </c>
      <c r="AD108" s="345" t="str">
        <f t="shared" ca="1" si="28"/>
        <v/>
      </c>
      <c r="AE108" s="345" t="str">
        <f t="shared" ca="1" si="28"/>
        <v/>
      </c>
      <c r="AF108" s="345" t="str">
        <f t="shared" ca="1" si="28"/>
        <v/>
      </c>
      <c r="AG108" s="345" t="str">
        <f t="shared" ca="1" si="28"/>
        <v/>
      </c>
      <c r="AH108" s="345" t="str">
        <f t="shared" ca="1" si="28"/>
        <v/>
      </c>
      <c r="AI108" s="345" t="str">
        <f t="shared" ca="1" si="28"/>
        <v/>
      </c>
      <c r="AJ108" s="345" t="str">
        <f t="shared" ca="1" si="28"/>
        <v/>
      </c>
      <c r="AK108" s="345" t="str">
        <f t="shared" ca="1" si="28"/>
        <v/>
      </c>
      <c r="AL108" s="345" t="str">
        <f t="shared" ca="1" si="28"/>
        <v/>
      </c>
      <c r="AM108" s="345" t="str">
        <f t="shared" ca="1" si="28"/>
        <v/>
      </c>
      <c r="AN108" s="345" t="str">
        <f t="shared" ca="1" si="28"/>
        <v/>
      </c>
      <c r="AO108" s="345" t="str">
        <f t="shared" ca="1" si="28"/>
        <v/>
      </c>
      <c r="AP108" s="345" t="str">
        <f t="shared" ca="1" si="28"/>
        <v/>
      </c>
      <c r="AQ108" s="345" t="str">
        <f t="shared" ca="1" si="28"/>
        <v/>
      </c>
      <c r="AR108" s="345" t="str">
        <f t="shared" ca="1" si="28"/>
        <v/>
      </c>
      <c r="AS108" s="345" t="str">
        <f t="shared" ca="1" si="28"/>
        <v/>
      </c>
      <c r="AT108" s="345" t="str">
        <f t="shared" ca="1" si="28"/>
        <v/>
      </c>
      <c r="AU108" s="345" t="str">
        <f t="shared" ca="1" si="28"/>
        <v/>
      </c>
      <c r="AV108" s="345" t="str">
        <f t="shared" ca="1" si="28"/>
        <v/>
      </c>
      <c r="AW108" s="345" t="str">
        <f t="shared" ca="1" si="28"/>
        <v/>
      </c>
      <c r="AX108" s="345" t="str">
        <f t="shared" ca="1" si="28"/>
        <v/>
      </c>
      <c r="AY108" s="345" t="str">
        <f t="shared" ca="1" si="28"/>
        <v/>
      </c>
      <c r="AZ108" s="345" t="str">
        <f t="shared" ca="1" si="28"/>
        <v/>
      </c>
      <c r="BA108" s="345" t="str">
        <f t="shared" ca="1" si="28"/>
        <v/>
      </c>
      <c r="BB108" s="345" t="str">
        <f t="shared" ca="1" si="28"/>
        <v/>
      </c>
      <c r="BC108" s="345" t="str">
        <f t="shared" ca="1" si="28"/>
        <v/>
      </c>
      <c r="BD108" s="345">
        <f t="shared" ca="1" si="28"/>
        <v>0</v>
      </c>
      <c r="BE108" s="345">
        <f t="shared" ca="1" si="28"/>
        <v>0</v>
      </c>
      <c r="BF108" s="345">
        <f t="shared" ca="1" si="28"/>
        <v>0</v>
      </c>
      <c r="BG108" s="345">
        <f t="shared" ca="1" si="28"/>
        <v>68125</v>
      </c>
      <c r="BH108" s="345">
        <f t="shared" ca="1" si="28"/>
        <v>90387</v>
      </c>
      <c r="BI108" s="345">
        <f t="shared" ca="1" si="28"/>
        <v>134825</v>
      </c>
    </row>
    <row r="109" spans="1:61" outlineLevel="1" x14ac:dyDescent="0.15">
      <c r="A109" s="355">
        <v>56</v>
      </c>
      <c r="B109" s="345" t="str">
        <f t="shared" ca="1" si="26"/>
        <v/>
      </c>
      <c r="C109" s="345" t="str">
        <f t="shared" ca="1" si="26"/>
        <v/>
      </c>
      <c r="D109" s="345" t="str">
        <f t="shared" ca="1" si="26"/>
        <v/>
      </c>
      <c r="E109" s="345" t="str">
        <f t="shared" ca="1" si="26"/>
        <v/>
      </c>
      <c r="F109" s="345" t="str">
        <f t="shared" ca="1" si="26"/>
        <v/>
      </c>
      <c r="G109" s="345" t="str">
        <f t="shared" ca="1" si="26"/>
        <v/>
      </c>
      <c r="H109" s="345" t="str">
        <f t="shared" ca="1" si="26"/>
        <v/>
      </c>
      <c r="I109" s="345" t="str">
        <f t="shared" ca="1" si="26"/>
        <v/>
      </c>
      <c r="J109" s="345" t="str">
        <f t="shared" ca="1" si="26"/>
        <v/>
      </c>
      <c r="K109" s="345" t="str">
        <f t="shared" ca="1" si="26"/>
        <v/>
      </c>
      <c r="L109" s="345" t="str">
        <f t="shared" ca="1" si="26"/>
        <v/>
      </c>
      <c r="M109" s="345" t="str">
        <f t="shared" ca="1" si="26"/>
        <v/>
      </c>
      <c r="N109" s="345" t="str">
        <f t="shared" ca="1" si="26"/>
        <v/>
      </c>
      <c r="O109" s="345" t="str">
        <f t="shared" ca="1" si="26"/>
        <v/>
      </c>
      <c r="P109" s="345" t="str">
        <f t="shared" ca="1" si="26"/>
        <v/>
      </c>
      <c r="Q109" s="345" t="str">
        <f t="shared" ca="1" si="26"/>
        <v/>
      </c>
      <c r="R109" s="345" t="str">
        <f t="shared" ca="1" si="28"/>
        <v/>
      </c>
      <c r="S109" s="345" t="str">
        <f t="shared" ca="1" si="28"/>
        <v/>
      </c>
      <c r="T109" s="345" t="str">
        <f t="shared" ca="1" si="28"/>
        <v/>
      </c>
      <c r="U109" s="345" t="str">
        <f t="shared" ca="1" si="28"/>
        <v/>
      </c>
      <c r="V109" s="345" t="str">
        <f t="shared" ca="1" si="28"/>
        <v/>
      </c>
      <c r="W109" s="345" t="str">
        <f t="shared" ca="1" si="28"/>
        <v/>
      </c>
      <c r="X109" s="345" t="str">
        <f t="shared" ca="1" si="28"/>
        <v/>
      </c>
      <c r="Y109" s="345" t="str">
        <f t="shared" ca="1" si="28"/>
        <v/>
      </c>
      <c r="Z109" s="345" t="str">
        <f t="shared" ca="1" si="28"/>
        <v/>
      </c>
      <c r="AA109" s="345" t="str">
        <f t="shared" ca="1" si="28"/>
        <v/>
      </c>
      <c r="AB109" s="345" t="str">
        <f t="shared" ca="1" si="28"/>
        <v/>
      </c>
      <c r="AC109" s="345" t="str">
        <f t="shared" ca="1" si="28"/>
        <v/>
      </c>
      <c r="AD109" s="345" t="str">
        <f t="shared" ca="1" si="28"/>
        <v/>
      </c>
      <c r="AE109" s="345" t="str">
        <f t="shared" ca="1" si="28"/>
        <v/>
      </c>
      <c r="AF109" s="345" t="str">
        <f t="shared" ca="1" si="28"/>
        <v/>
      </c>
      <c r="AG109" s="345" t="str">
        <f t="shared" ca="1" si="28"/>
        <v/>
      </c>
      <c r="AH109" s="345" t="str">
        <f t="shared" ca="1" si="28"/>
        <v/>
      </c>
      <c r="AI109" s="345" t="str">
        <f t="shared" ca="1" si="28"/>
        <v/>
      </c>
      <c r="AJ109" s="345" t="str">
        <f t="shared" ca="1" si="28"/>
        <v/>
      </c>
      <c r="AK109" s="345" t="str">
        <f t="shared" ca="1" si="28"/>
        <v/>
      </c>
      <c r="AL109" s="345" t="str">
        <f t="shared" ca="1" si="28"/>
        <v/>
      </c>
      <c r="AM109" s="345" t="str">
        <f t="shared" ca="1" si="28"/>
        <v/>
      </c>
      <c r="AN109" s="345" t="str">
        <f t="shared" ca="1" si="28"/>
        <v/>
      </c>
      <c r="AO109" s="345" t="str">
        <f t="shared" ca="1" si="28"/>
        <v/>
      </c>
      <c r="AP109" s="345" t="str">
        <f t="shared" ca="1" si="28"/>
        <v/>
      </c>
      <c r="AQ109" s="345" t="str">
        <f t="shared" ca="1" si="28"/>
        <v/>
      </c>
      <c r="AR109" s="345" t="str">
        <f t="shared" ca="1" si="28"/>
        <v/>
      </c>
      <c r="AS109" s="345" t="str">
        <f t="shared" ca="1" si="28"/>
        <v/>
      </c>
      <c r="AT109" s="345" t="str">
        <f t="shared" ca="1" si="28"/>
        <v/>
      </c>
      <c r="AU109" s="345" t="str">
        <f t="shared" ca="1" si="28"/>
        <v/>
      </c>
      <c r="AV109" s="345" t="str">
        <f t="shared" ca="1" si="28"/>
        <v/>
      </c>
      <c r="AW109" s="345" t="str">
        <f t="shared" ca="1" si="28"/>
        <v/>
      </c>
      <c r="AX109" s="345" t="str">
        <f t="shared" ca="1" si="28"/>
        <v/>
      </c>
      <c r="AY109" s="345" t="str">
        <f t="shared" ca="1" si="28"/>
        <v/>
      </c>
      <c r="AZ109" s="345" t="str">
        <f t="shared" ca="1" si="28"/>
        <v/>
      </c>
      <c r="BA109" s="345" t="str">
        <f t="shared" ca="1" si="28"/>
        <v/>
      </c>
      <c r="BB109" s="345" t="str">
        <f t="shared" ca="1" si="28"/>
        <v/>
      </c>
      <c r="BC109" s="345" t="str">
        <f t="shared" ca="1" si="28"/>
        <v/>
      </c>
      <c r="BD109" s="345" t="str">
        <f t="shared" ca="1" si="28"/>
        <v/>
      </c>
      <c r="BE109" s="345">
        <f t="shared" ca="1" si="28"/>
        <v>0</v>
      </c>
      <c r="BF109" s="345">
        <f t="shared" ca="1" si="28"/>
        <v>0</v>
      </c>
      <c r="BG109" s="345">
        <f t="shared" ca="1" si="28"/>
        <v>0</v>
      </c>
      <c r="BH109" s="345">
        <f t="shared" ca="1" si="28"/>
        <v>68125</v>
      </c>
      <c r="BI109" s="345">
        <f t="shared" ca="1" si="28"/>
        <v>90387</v>
      </c>
    </row>
    <row r="110" spans="1:61" outlineLevel="1" x14ac:dyDescent="0.15">
      <c r="A110" s="355">
        <v>57</v>
      </c>
      <c r="B110" s="345" t="str">
        <f t="shared" ca="1" si="26"/>
        <v/>
      </c>
      <c r="C110" s="345" t="str">
        <f t="shared" ca="1" si="26"/>
        <v/>
      </c>
      <c r="D110" s="345" t="str">
        <f t="shared" ca="1" si="26"/>
        <v/>
      </c>
      <c r="E110" s="345" t="str">
        <f t="shared" ca="1" si="26"/>
        <v/>
      </c>
      <c r="F110" s="345" t="str">
        <f t="shared" ca="1" si="26"/>
        <v/>
      </c>
      <c r="G110" s="345" t="str">
        <f t="shared" ca="1" si="26"/>
        <v/>
      </c>
      <c r="H110" s="345" t="str">
        <f t="shared" ca="1" si="26"/>
        <v/>
      </c>
      <c r="I110" s="345" t="str">
        <f t="shared" ca="1" si="26"/>
        <v/>
      </c>
      <c r="J110" s="345" t="str">
        <f t="shared" ca="1" si="26"/>
        <v/>
      </c>
      <c r="K110" s="345" t="str">
        <f t="shared" ca="1" si="26"/>
        <v/>
      </c>
      <c r="L110" s="345" t="str">
        <f t="shared" ca="1" si="26"/>
        <v/>
      </c>
      <c r="M110" s="345" t="str">
        <f t="shared" ca="1" si="26"/>
        <v/>
      </c>
      <c r="N110" s="345" t="str">
        <f t="shared" ca="1" si="26"/>
        <v/>
      </c>
      <c r="O110" s="345" t="str">
        <f t="shared" ca="1" si="26"/>
        <v/>
      </c>
      <c r="P110" s="345" t="str">
        <f t="shared" ca="1" si="26"/>
        <v/>
      </c>
      <c r="Q110" s="345" t="str">
        <f t="shared" ca="1" si="26"/>
        <v/>
      </c>
      <c r="R110" s="345" t="str">
        <f t="shared" ca="1" si="28"/>
        <v/>
      </c>
      <c r="S110" s="345" t="str">
        <f t="shared" ca="1" si="28"/>
        <v/>
      </c>
      <c r="T110" s="345" t="str">
        <f t="shared" ca="1" si="28"/>
        <v/>
      </c>
      <c r="U110" s="345" t="str">
        <f t="shared" ca="1" si="28"/>
        <v/>
      </c>
      <c r="V110" s="345" t="str">
        <f t="shared" ca="1" si="28"/>
        <v/>
      </c>
      <c r="W110" s="345" t="str">
        <f t="shared" ca="1" si="28"/>
        <v/>
      </c>
      <c r="X110" s="345" t="str">
        <f t="shared" ca="1" si="28"/>
        <v/>
      </c>
      <c r="Y110" s="345" t="str">
        <f t="shared" ca="1" si="28"/>
        <v/>
      </c>
      <c r="Z110" s="345" t="str">
        <f t="shared" ca="1" si="28"/>
        <v/>
      </c>
      <c r="AA110" s="345" t="str">
        <f t="shared" ca="1" si="28"/>
        <v/>
      </c>
      <c r="AB110" s="345" t="str">
        <f t="shared" ca="1" si="28"/>
        <v/>
      </c>
      <c r="AC110" s="345" t="str">
        <f t="shared" ca="1" si="28"/>
        <v/>
      </c>
      <c r="AD110" s="345" t="str">
        <f t="shared" ca="1" si="28"/>
        <v/>
      </c>
      <c r="AE110" s="345" t="str">
        <f t="shared" ca="1" si="28"/>
        <v/>
      </c>
      <c r="AF110" s="345" t="str">
        <f t="shared" ca="1" si="28"/>
        <v/>
      </c>
      <c r="AG110" s="345" t="str">
        <f t="shared" ca="1" si="28"/>
        <v/>
      </c>
      <c r="AH110" s="345" t="str">
        <f t="shared" ca="1" si="28"/>
        <v/>
      </c>
      <c r="AI110" s="345" t="str">
        <f t="shared" ca="1" si="28"/>
        <v/>
      </c>
      <c r="AJ110" s="345" t="str">
        <f t="shared" ca="1" si="28"/>
        <v/>
      </c>
      <c r="AK110" s="345" t="str">
        <f t="shared" ca="1" si="28"/>
        <v/>
      </c>
      <c r="AL110" s="345" t="str">
        <f t="shared" ca="1" si="28"/>
        <v/>
      </c>
      <c r="AM110" s="345" t="str">
        <f t="shared" ca="1" si="28"/>
        <v/>
      </c>
      <c r="AN110" s="345" t="str">
        <f t="shared" ca="1" si="28"/>
        <v/>
      </c>
      <c r="AO110" s="345" t="str">
        <f t="shared" ca="1" si="28"/>
        <v/>
      </c>
      <c r="AP110" s="345" t="str">
        <f t="shared" ca="1" si="28"/>
        <v/>
      </c>
      <c r="AQ110" s="345" t="str">
        <f t="shared" ca="1" si="28"/>
        <v/>
      </c>
      <c r="AR110" s="345" t="str">
        <f t="shared" ca="1" si="28"/>
        <v/>
      </c>
      <c r="AS110" s="345" t="str">
        <f t="shared" ca="1" si="28"/>
        <v/>
      </c>
      <c r="AT110" s="345" t="str">
        <f t="shared" ca="1" si="28"/>
        <v/>
      </c>
      <c r="AU110" s="345" t="str">
        <f t="shared" ca="1" si="28"/>
        <v/>
      </c>
      <c r="AV110" s="345" t="str">
        <f t="shared" ca="1" si="28"/>
        <v/>
      </c>
      <c r="AW110" s="345" t="str">
        <f t="shared" ca="1" si="28"/>
        <v/>
      </c>
      <c r="AX110" s="345" t="str">
        <f t="shared" ca="1" si="28"/>
        <v/>
      </c>
      <c r="AY110" s="345" t="str">
        <f t="shared" ca="1" si="28"/>
        <v/>
      </c>
      <c r="AZ110" s="345" t="str">
        <f t="shared" ca="1" si="28"/>
        <v/>
      </c>
      <c r="BA110" s="345" t="str">
        <f t="shared" ca="1" si="28"/>
        <v/>
      </c>
      <c r="BB110" s="345" t="str">
        <f t="shared" ca="1" si="28"/>
        <v/>
      </c>
      <c r="BC110" s="345" t="str">
        <f t="shared" ca="1" si="28"/>
        <v/>
      </c>
      <c r="BD110" s="345" t="str">
        <f t="shared" ca="1" si="28"/>
        <v/>
      </c>
      <c r="BE110" s="345" t="str">
        <f t="shared" ca="1" si="28"/>
        <v/>
      </c>
      <c r="BF110" s="345">
        <f t="shared" ca="1" si="28"/>
        <v>0</v>
      </c>
      <c r="BG110" s="345">
        <f t="shared" ca="1" si="28"/>
        <v>0</v>
      </c>
      <c r="BH110" s="345">
        <f t="shared" ca="1" si="28"/>
        <v>0</v>
      </c>
      <c r="BI110" s="345">
        <f t="shared" ca="1" si="28"/>
        <v>68125</v>
      </c>
    </row>
    <row r="111" spans="1:61" outlineLevel="1" x14ac:dyDescent="0.15">
      <c r="A111" s="355">
        <v>58</v>
      </c>
      <c r="B111" s="345" t="str">
        <f t="shared" ca="1" si="26"/>
        <v/>
      </c>
      <c r="C111" s="345" t="str">
        <f t="shared" ca="1" si="26"/>
        <v/>
      </c>
      <c r="D111" s="345" t="str">
        <f t="shared" ca="1" si="26"/>
        <v/>
      </c>
      <c r="E111" s="345" t="str">
        <f t="shared" ca="1" si="26"/>
        <v/>
      </c>
      <c r="F111" s="345" t="str">
        <f t="shared" ca="1" si="26"/>
        <v/>
      </c>
      <c r="G111" s="345" t="str">
        <f t="shared" ca="1" si="26"/>
        <v/>
      </c>
      <c r="H111" s="345" t="str">
        <f t="shared" ca="1" si="26"/>
        <v/>
      </c>
      <c r="I111" s="345" t="str">
        <f t="shared" ca="1" si="26"/>
        <v/>
      </c>
      <c r="J111" s="345" t="str">
        <f t="shared" ca="1" si="26"/>
        <v/>
      </c>
      <c r="K111" s="345" t="str">
        <f t="shared" ca="1" si="26"/>
        <v/>
      </c>
      <c r="L111" s="345" t="str">
        <f t="shared" ca="1" si="26"/>
        <v/>
      </c>
      <c r="M111" s="345" t="str">
        <f t="shared" ca="1" si="26"/>
        <v/>
      </c>
      <c r="N111" s="345" t="str">
        <f t="shared" ca="1" si="26"/>
        <v/>
      </c>
      <c r="O111" s="345" t="str">
        <f t="shared" ca="1" si="26"/>
        <v/>
      </c>
      <c r="P111" s="345" t="str">
        <f t="shared" ca="1" si="26"/>
        <v/>
      </c>
      <c r="Q111" s="345" t="str">
        <f t="shared" ca="1" si="26"/>
        <v/>
      </c>
      <c r="R111" s="345" t="str">
        <f t="shared" ca="1" si="28"/>
        <v/>
      </c>
      <c r="S111" s="345" t="str">
        <f t="shared" ca="1" si="28"/>
        <v/>
      </c>
      <c r="T111" s="345" t="str">
        <f t="shared" ca="1" si="28"/>
        <v/>
      </c>
      <c r="U111" s="345" t="str">
        <f t="shared" ca="1" si="28"/>
        <v/>
      </c>
      <c r="V111" s="345" t="str">
        <f t="shared" ca="1" si="28"/>
        <v/>
      </c>
      <c r="W111" s="345" t="str">
        <f t="shared" ca="1" si="28"/>
        <v/>
      </c>
      <c r="X111" s="345" t="str">
        <f t="shared" ca="1" si="28"/>
        <v/>
      </c>
      <c r="Y111" s="345" t="str">
        <f t="shared" ca="1" si="28"/>
        <v/>
      </c>
      <c r="Z111" s="345" t="str">
        <f t="shared" ca="1" si="28"/>
        <v/>
      </c>
      <c r="AA111" s="345" t="str">
        <f t="shared" ca="1" si="28"/>
        <v/>
      </c>
      <c r="AB111" s="345" t="str">
        <f t="shared" ca="1" si="28"/>
        <v/>
      </c>
      <c r="AC111" s="345" t="str">
        <f t="shared" ca="1" si="28"/>
        <v/>
      </c>
      <c r="AD111" s="345" t="str">
        <f t="shared" ca="1" si="28"/>
        <v/>
      </c>
      <c r="AE111" s="345" t="str">
        <f t="shared" ca="1" si="28"/>
        <v/>
      </c>
      <c r="AF111" s="345" t="str">
        <f t="shared" ca="1" si="28"/>
        <v/>
      </c>
      <c r="AG111" s="345" t="str">
        <f t="shared" ca="1" si="28"/>
        <v/>
      </c>
      <c r="AH111" s="345" t="str">
        <f t="shared" ca="1" si="28"/>
        <v/>
      </c>
      <c r="AI111" s="345" t="str">
        <f t="shared" ca="1" si="28"/>
        <v/>
      </c>
      <c r="AJ111" s="345" t="str">
        <f t="shared" ca="1" si="28"/>
        <v/>
      </c>
      <c r="AK111" s="345" t="str">
        <f t="shared" ca="1" si="28"/>
        <v/>
      </c>
      <c r="AL111" s="345" t="str">
        <f t="shared" ca="1" si="28"/>
        <v/>
      </c>
      <c r="AM111" s="345" t="str">
        <f t="shared" ca="1" si="28"/>
        <v/>
      </c>
      <c r="AN111" s="345" t="str">
        <f t="shared" ca="1" si="28"/>
        <v/>
      </c>
      <c r="AO111" s="345" t="str">
        <f t="shared" ca="1" si="28"/>
        <v/>
      </c>
      <c r="AP111" s="345" t="str">
        <f t="shared" ca="1" si="28"/>
        <v/>
      </c>
      <c r="AQ111" s="345" t="str">
        <f t="shared" ca="1" si="28"/>
        <v/>
      </c>
      <c r="AR111" s="345" t="str">
        <f t="shared" ca="1" si="28"/>
        <v/>
      </c>
      <c r="AS111" s="345" t="str">
        <f t="shared" ca="1" si="28"/>
        <v/>
      </c>
      <c r="AT111" s="345" t="str">
        <f t="shared" ca="1" si="28"/>
        <v/>
      </c>
      <c r="AU111" s="345" t="str">
        <f t="shared" ca="1" si="28"/>
        <v/>
      </c>
      <c r="AV111" s="345" t="str">
        <f t="shared" ca="1" si="28"/>
        <v/>
      </c>
      <c r="AW111" s="345" t="str">
        <f t="shared" ca="1" si="28"/>
        <v/>
      </c>
      <c r="AX111" s="345" t="str">
        <f t="shared" ca="1" si="28"/>
        <v/>
      </c>
      <c r="AY111" s="345" t="str">
        <f t="shared" ca="1" si="28"/>
        <v/>
      </c>
      <c r="AZ111" s="345" t="str">
        <f t="shared" ca="1" si="28"/>
        <v/>
      </c>
      <c r="BA111" s="345" t="str">
        <f t="shared" ca="1" si="28"/>
        <v/>
      </c>
      <c r="BB111" s="345" t="str">
        <f t="shared" ca="1" si="28"/>
        <v/>
      </c>
      <c r="BC111" s="345" t="str">
        <f t="shared" ca="1" si="28"/>
        <v/>
      </c>
      <c r="BD111" s="345" t="str">
        <f t="shared" ca="1" si="28"/>
        <v/>
      </c>
      <c r="BE111" s="345" t="str">
        <f t="shared" ca="1" si="28"/>
        <v/>
      </c>
      <c r="BF111" s="345" t="str">
        <f t="shared" ca="1" si="28"/>
        <v/>
      </c>
      <c r="BG111" s="345">
        <f t="shared" ca="1" si="28"/>
        <v>0</v>
      </c>
      <c r="BH111" s="345">
        <f t="shared" ca="1" si="28"/>
        <v>0</v>
      </c>
      <c r="BI111" s="345">
        <f t="shared" ca="1" si="28"/>
        <v>0</v>
      </c>
    </row>
    <row r="112" spans="1:61" outlineLevel="1" x14ac:dyDescent="0.15">
      <c r="A112" s="355">
        <v>59</v>
      </c>
      <c r="B112" s="345" t="str">
        <f t="shared" ca="1" si="26"/>
        <v/>
      </c>
      <c r="C112" s="345" t="str">
        <f t="shared" ca="1" si="26"/>
        <v/>
      </c>
      <c r="D112" s="345" t="str">
        <f t="shared" ca="1" si="26"/>
        <v/>
      </c>
      <c r="E112" s="345" t="str">
        <f t="shared" ca="1" si="26"/>
        <v/>
      </c>
      <c r="F112" s="345" t="str">
        <f t="shared" ca="1" si="26"/>
        <v/>
      </c>
      <c r="G112" s="345" t="str">
        <f t="shared" ca="1" si="26"/>
        <v/>
      </c>
      <c r="H112" s="345" t="str">
        <f t="shared" ca="1" si="26"/>
        <v/>
      </c>
      <c r="I112" s="345" t="str">
        <f t="shared" ca="1" si="26"/>
        <v/>
      </c>
      <c r="J112" s="345" t="str">
        <f t="shared" ca="1" si="26"/>
        <v/>
      </c>
      <c r="K112" s="345" t="str">
        <f t="shared" ca="1" si="26"/>
        <v/>
      </c>
      <c r="L112" s="345" t="str">
        <f t="shared" ca="1" si="26"/>
        <v/>
      </c>
      <c r="M112" s="345" t="str">
        <f t="shared" ca="1" si="26"/>
        <v/>
      </c>
      <c r="N112" s="345" t="str">
        <f t="shared" ca="1" si="26"/>
        <v/>
      </c>
      <c r="O112" s="345" t="str">
        <f t="shared" ca="1" si="26"/>
        <v/>
      </c>
      <c r="P112" s="345" t="str">
        <f t="shared" ca="1" si="26"/>
        <v/>
      </c>
      <c r="Q112" s="345" t="str">
        <f t="shared" ca="1" si="26"/>
        <v/>
      </c>
      <c r="R112" s="345" t="str">
        <f t="shared" ca="1" si="28"/>
        <v/>
      </c>
      <c r="S112" s="345" t="str">
        <f t="shared" ca="1" si="28"/>
        <v/>
      </c>
      <c r="T112" s="345" t="str">
        <f t="shared" ca="1" si="28"/>
        <v/>
      </c>
      <c r="U112" s="345" t="str">
        <f t="shared" ca="1" si="28"/>
        <v/>
      </c>
      <c r="V112" s="345" t="str">
        <f t="shared" ca="1" si="28"/>
        <v/>
      </c>
      <c r="W112" s="345" t="str">
        <f t="shared" ca="1" si="28"/>
        <v/>
      </c>
      <c r="X112" s="345" t="str">
        <f t="shared" ca="1" si="28"/>
        <v/>
      </c>
      <c r="Y112" s="345" t="str">
        <f t="shared" ca="1" si="28"/>
        <v/>
      </c>
      <c r="Z112" s="345" t="str">
        <f t="shared" ca="1" si="28"/>
        <v/>
      </c>
      <c r="AA112" s="345" t="str">
        <f t="shared" ca="1" si="28"/>
        <v/>
      </c>
      <c r="AB112" s="345" t="str">
        <f t="shared" ca="1" si="28"/>
        <v/>
      </c>
      <c r="AC112" s="345" t="str">
        <f t="shared" ca="1" si="28"/>
        <v/>
      </c>
      <c r="AD112" s="345" t="str">
        <f t="shared" ca="1" si="28"/>
        <v/>
      </c>
      <c r="AE112" s="345" t="str">
        <f t="shared" ca="1" si="28"/>
        <v/>
      </c>
      <c r="AF112" s="345" t="str">
        <f t="shared" ca="1" si="28"/>
        <v/>
      </c>
      <c r="AG112" s="345" t="str">
        <f t="shared" ca="1" si="28"/>
        <v/>
      </c>
      <c r="AH112" s="345" t="str">
        <f t="shared" ca="1" si="28"/>
        <v/>
      </c>
      <c r="AI112" s="345" t="str">
        <f t="shared" ca="1" si="28"/>
        <v/>
      </c>
      <c r="AJ112" s="345" t="str">
        <f t="shared" ca="1" si="28"/>
        <v/>
      </c>
      <c r="AK112" s="345" t="str">
        <f t="shared" ca="1" si="28"/>
        <v/>
      </c>
      <c r="AL112" s="345" t="str">
        <f t="shared" ca="1" si="28"/>
        <v/>
      </c>
      <c r="AM112" s="345" t="str">
        <f t="shared" ca="1" si="28"/>
        <v/>
      </c>
      <c r="AN112" s="345" t="str">
        <f t="shared" ca="1" si="28"/>
        <v/>
      </c>
      <c r="AO112" s="345" t="str">
        <f t="shared" ca="1" si="28"/>
        <v/>
      </c>
      <c r="AP112" s="345" t="str">
        <f t="shared" ca="1" si="28"/>
        <v/>
      </c>
      <c r="AQ112" s="345" t="str">
        <f t="shared" ca="1" si="28"/>
        <v/>
      </c>
      <c r="AR112" s="345" t="str">
        <f t="shared" ca="1" si="28"/>
        <v/>
      </c>
      <c r="AS112" s="345" t="str">
        <f t="shared" ca="1" si="28"/>
        <v/>
      </c>
      <c r="AT112" s="345" t="str">
        <f t="shared" ca="1" si="28"/>
        <v/>
      </c>
      <c r="AU112" s="345" t="str">
        <f t="shared" ca="1" si="28"/>
        <v/>
      </c>
      <c r="AV112" s="345" t="str">
        <f t="shared" ca="1" si="28"/>
        <v/>
      </c>
      <c r="AW112" s="345" t="str">
        <f t="shared" ca="1" si="28"/>
        <v/>
      </c>
      <c r="AX112" s="345" t="str">
        <f t="shared" ca="1" si="28"/>
        <v/>
      </c>
      <c r="AY112" s="345" t="str">
        <f t="shared" ca="1" si="28"/>
        <v/>
      </c>
      <c r="AZ112" s="345" t="str">
        <f t="shared" ca="1" si="28"/>
        <v/>
      </c>
      <c r="BA112" s="345" t="str">
        <f t="shared" ca="1" si="28"/>
        <v/>
      </c>
      <c r="BB112" s="345" t="str">
        <f t="shared" ca="1" si="28"/>
        <v/>
      </c>
      <c r="BC112" s="345" t="str">
        <f t="shared" ca="1" si="28"/>
        <v/>
      </c>
      <c r="BD112" s="345" t="str">
        <f t="shared" ca="1" si="28"/>
        <v/>
      </c>
      <c r="BE112" s="345" t="str">
        <f t="shared" ca="1" si="28"/>
        <v/>
      </c>
      <c r="BF112" s="345" t="str">
        <f t="shared" ca="1" si="28"/>
        <v/>
      </c>
      <c r="BG112" s="345" t="str">
        <f t="shared" ca="1" si="28"/>
        <v/>
      </c>
      <c r="BH112" s="345">
        <f t="shared" ca="1" si="28"/>
        <v>0</v>
      </c>
      <c r="BI112" s="345">
        <f t="shared" ca="1" si="28"/>
        <v>0</v>
      </c>
    </row>
    <row r="113" spans="1:61" s="352" customFormat="1" x14ac:dyDescent="0.15">
      <c r="A113" s="355">
        <v>60</v>
      </c>
      <c r="B113" s="345" t="str">
        <f t="shared" ca="1" si="26"/>
        <v/>
      </c>
      <c r="C113" s="345" t="str">
        <f t="shared" ca="1" si="26"/>
        <v/>
      </c>
      <c r="D113" s="345" t="str">
        <f t="shared" ca="1" si="26"/>
        <v/>
      </c>
      <c r="E113" s="345" t="str">
        <f t="shared" ca="1" si="26"/>
        <v/>
      </c>
      <c r="F113" s="345" t="str">
        <f t="shared" ca="1" si="26"/>
        <v/>
      </c>
      <c r="G113" s="345" t="str">
        <f t="shared" ca="1" si="26"/>
        <v/>
      </c>
      <c r="H113" s="345" t="str">
        <f t="shared" ca="1" si="26"/>
        <v/>
      </c>
      <c r="I113" s="345" t="str">
        <f t="shared" ca="1" si="26"/>
        <v/>
      </c>
      <c r="J113" s="345" t="str">
        <f t="shared" ca="1" si="26"/>
        <v/>
      </c>
      <c r="K113" s="345" t="str">
        <f t="shared" ca="1" si="26"/>
        <v/>
      </c>
      <c r="L113" s="345" t="str">
        <f t="shared" ca="1" si="26"/>
        <v/>
      </c>
      <c r="M113" s="345" t="str">
        <f t="shared" ca="1" si="26"/>
        <v/>
      </c>
      <c r="N113" s="345" t="str">
        <f t="shared" ca="1" si="26"/>
        <v/>
      </c>
      <c r="O113" s="345" t="str">
        <f t="shared" ca="1" si="26"/>
        <v/>
      </c>
      <c r="P113" s="345" t="str">
        <f t="shared" ca="1" si="26"/>
        <v/>
      </c>
      <c r="Q113" s="345" t="str">
        <f t="shared" ca="1" si="26"/>
        <v/>
      </c>
      <c r="R113" s="345" t="str">
        <f t="shared" ca="1" si="28"/>
        <v/>
      </c>
      <c r="S113" s="345" t="str">
        <f t="shared" ca="1" si="28"/>
        <v/>
      </c>
      <c r="T113" s="345" t="str">
        <f t="shared" ca="1" si="28"/>
        <v/>
      </c>
      <c r="U113" s="345" t="str">
        <f t="shared" ca="1" si="28"/>
        <v/>
      </c>
      <c r="V113" s="345" t="str">
        <f t="shared" ca="1" si="28"/>
        <v/>
      </c>
      <c r="W113" s="345" t="str">
        <f t="shared" ca="1" si="28"/>
        <v/>
      </c>
      <c r="X113" s="345" t="str">
        <f t="shared" ca="1" si="28"/>
        <v/>
      </c>
      <c r="Y113" s="345" t="str">
        <f t="shared" ca="1" si="28"/>
        <v/>
      </c>
      <c r="Z113" s="345" t="str">
        <f t="shared" ca="1" si="28"/>
        <v/>
      </c>
      <c r="AA113" s="345" t="str">
        <f t="shared" ca="1" si="28"/>
        <v/>
      </c>
      <c r="AB113" s="345" t="str">
        <f t="shared" ca="1" si="28"/>
        <v/>
      </c>
      <c r="AC113" s="345" t="str">
        <f t="shared" ca="1" si="28"/>
        <v/>
      </c>
      <c r="AD113" s="345" t="str">
        <f t="shared" ca="1" si="28"/>
        <v/>
      </c>
      <c r="AE113" s="345" t="str">
        <f t="shared" ca="1" si="28"/>
        <v/>
      </c>
      <c r="AF113" s="345" t="str">
        <f t="shared" ca="1" si="28"/>
        <v/>
      </c>
      <c r="AG113" s="345" t="str">
        <f t="shared" ca="1" si="28"/>
        <v/>
      </c>
      <c r="AH113" s="345" t="str">
        <f t="shared" ca="1" si="28"/>
        <v/>
      </c>
      <c r="AI113" s="345" t="str">
        <f t="shared" ca="1" si="28"/>
        <v/>
      </c>
      <c r="AJ113" s="345" t="str">
        <f t="shared" ca="1" si="28"/>
        <v/>
      </c>
      <c r="AK113" s="345" t="str">
        <f t="shared" ca="1" si="28"/>
        <v/>
      </c>
      <c r="AL113" s="345" t="str">
        <f t="shared" ca="1" si="28"/>
        <v/>
      </c>
      <c r="AM113" s="345" t="str">
        <f t="shared" ca="1" si="28"/>
        <v/>
      </c>
      <c r="AN113" s="345" t="str">
        <f t="shared" ca="1" si="28"/>
        <v/>
      </c>
      <c r="AO113" s="345" t="str">
        <f t="shared" ca="1" si="28"/>
        <v/>
      </c>
      <c r="AP113" s="345" t="str">
        <f t="shared" ca="1" si="28"/>
        <v/>
      </c>
      <c r="AQ113" s="345" t="str">
        <f t="shared" ca="1" si="28"/>
        <v/>
      </c>
      <c r="AR113" s="345" t="str">
        <f t="shared" ca="1" si="28"/>
        <v/>
      </c>
      <c r="AS113" s="345" t="str">
        <f t="shared" ca="1" si="28"/>
        <v/>
      </c>
      <c r="AT113" s="345" t="str">
        <f t="shared" ca="1" si="28"/>
        <v/>
      </c>
      <c r="AU113" s="345" t="str">
        <f t="shared" ca="1" si="28"/>
        <v/>
      </c>
      <c r="AV113" s="345" t="str">
        <f t="shared" ca="1" si="28"/>
        <v/>
      </c>
      <c r="AW113" s="345" t="str">
        <f t="shared" ca="1" si="28"/>
        <v/>
      </c>
      <c r="AX113" s="345" t="str">
        <f t="shared" ca="1" si="28"/>
        <v/>
      </c>
      <c r="AY113" s="345" t="str">
        <f t="shared" ca="1" si="28"/>
        <v/>
      </c>
      <c r="AZ113" s="345" t="str">
        <f t="shared" ca="1" si="28"/>
        <v/>
      </c>
      <c r="BA113" s="345" t="str">
        <f t="shared" ref="BA113:DG116" ca="1" si="29">IF($A113&gt;BA$5,"",OFFSET(BA$53,0,-($A113-1)))</f>
        <v/>
      </c>
      <c r="BB113" s="345" t="str">
        <f t="shared" ca="1" si="29"/>
        <v/>
      </c>
      <c r="BC113" s="345" t="str">
        <f t="shared" ca="1" si="29"/>
        <v/>
      </c>
      <c r="BD113" s="345" t="str">
        <f t="shared" ca="1" si="29"/>
        <v/>
      </c>
      <c r="BE113" s="345" t="str">
        <f t="shared" ca="1" si="29"/>
        <v/>
      </c>
      <c r="BF113" s="345" t="str">
        <f t="shared" ca="1" si="29"/>
        <v/>
      </c>
      <c r="BG113" s="345" t="str">
        <f t="shared" ca="1" si="29"/>
        <v/>
      </c>
      <c r="BH113" s="345" t="str">
        <f t="shared" ca="1" si="29"/>
        <v/>
      </c>
      <c r="BI113" s="345">
        <f t="shared" ca="1" si="29"/>
        <v>0</v>
      </c>
    </row>
    <row r="114" spans="1:61" s="352" customFormat="1" x14ac:dyDescent="0.15">
      <c r="A114" s="355"/>
    </row>
    <row r="115" spans="1:61" x14ac:dyDescent="0.15">
      <c r="B115" s="345"/>
      <c r="C115" s="345"/>
      <c r="D115" s="345"/>
      <c r="E115" s="345"/>
      <c r="F115" s="345"/>
      <c r="G115" s="345"/>
      <c r="H115" s="345"/>
      <c r="I115" s="345"/>
      <c r="J115" s="345"/>
      <c r="K115" s="345"/>
      <c r="L115" s="345"/>
      <c r="M115" s="345"/>
      <c r="N115" s="345"/>
      <c r="O115" s="345"/>
      <c r="P115" s="345"/>
      <c r="Q115" s="345"/>
      <c r="R115" s="345"/>
      <c r="S115" s="345"/>
      <c r="T115" s="345"/>
      <c r="U115" s="345"/>
      <c r="V115" s="345"/>
      <c r="W115" s="345"/>
      <c r="X115" s="345"/>
      <c r="Y115" s="345"/>
      <c r="Z115" s="345"/>
      <c r="AA115" s="345"/>
      <c r="AB115" s="345"/>
      <c r="AC115" s="345"/>
      <c r="AD115" s="345"/>
      <c r="AE115" s="345"/>
      <c r="AF115" s="345"/>
      <c r="AG115" s="345"/>
      <c r="AH115" s="345"/>
      <c r="AI115" s="345"/>
      <c r="AJ115" s="345"/>
      <c r="AK115" s="345"/>
      <c r="AL115" s="345"/>
      <c r="AM115" s="345"/>
      <c r="AN115" s="345"/>
      <c r="AO115" s="345"/>
      <c r="AP115" s="345"/>
      <c r="AQ115" s="345"/>
      <c r="AR115" s="345"/>
      <c r="AS115" s="345"/>
      <c r="AT115" s="345"/>
      <c r="AU115" s="345"/>
      <c r="AV115" s="345"/>
      <c r="AW115" s="345"/>
      <c r="AX115" s="345"/>
      <c r="AY115" s="345"/>
      <c r="AZ115" s="345"/>
      <c r="BA115" s="345"/>
      <c r="BB115" s="345"/>
      <c r="BC115" s="345"/>
      <c r="BD115" s="345"/>
      <c r="BE115" s="345"/>
      <c r="BF115" s="345"/>
      <c r="BG115" s="345"/>
      <c r="BH115" s="345"/>
      <c r="BI115" s="345"/>
    </row>
    <row r="116" spans="1:61" x14ac:dyDescent="0.15">
      <c r="A116" s="356"/>
    </row>
    <row r="120" spans="1:61" x14ac:dyDescent="0.15">
      <c r="D120" s="350"/>
      <c r="E120" s="350"/>
      <c r="F120" s="350"/>
      <c r="G120" s="350"/>
      <c r="H120" s="350"/>
      <c r="I120" s="350"/>
      <c r="J120" s="350"/>
      <c r="N120" s="335"/>
      <c r="O120" s="335"/>
      <c r="S120" s="357"/>
    </row>
    <row r="121" spans="1:61" x14ac:dyDescent="0.15">
      <c r="E121" s="350"/>
      <c r="F121" s="350"/>
      <c r="G121" s="350"/>
      <c r="H121" s="350"/>
      <c r="I121" s="350"/>
      <c r="J121" s="350"/>
      <c r="S121" s="357"/>
    </row>
    <row r="122" spans="1:61" x14ac:dyDescent="0.15">
      <c r="F122" s="350"/>
      <c r="G122" s="350"/>
      <c r="H122" s="350"/>
      <c r="I122" s="350"/>
      <c r="J122" s="350"/>
      <c r="S122" s="357"/>
    </row>
    <row r="123" spans="1:61" x14ac:dyDescent="0.15">
      <c r="G123" s="350"/>
      <c r="H123" s="350"/>
      <c r="I123" s="350"/>
      <c r="J123" s="350"/>
      <c r="S123" s="357"/>
    </row>
    <row r="124" spans="1:61" x14ac:dyDescent="0.15">
      <c r="H124" s="350"/>
      <c r="I124" s="350"/>
      <c r="J124" s="350"/>
      <c r="S124" s="357"/>
    </row>
    <row r="125" spans="1:61" x14ac:dyDescent="0.15">
      <c r="S125" s="357"/>
    </row>
    <row r="126" spans="1:61" x14ac:dyDescent="0.15">
      <c r="S126" s="357"/>
    </row>
    <row r="127" spans="1:61" x14ac:dyDescent="0.15">
      <c r="S127" s="357"/>
    </row>
    <row r="128" spans="1:61" x14ac:dyDescent="0.15">
      <c r="S128" s="357"/>
    </row>
    <row r="129" spans="19:19" x14ac:dyDescent="0.15">
      <c r="S129" s="357"/>
    </row>
    <row r="130" spans="19:19" x14ac:dyDescent="0.15">
      <c r="S130" s="357"/>
    </row>
    <row r="131" spans="19:19" x14ac:dyDescent="0.15">
      <c r="S131" s="357"/>
    </row>
    <row r="132" spans="19:19" x14ac:dyDescent="0.15">
      <c r="S132" s="357"/>
    </row>
    <row r="133" spans="19:19" x14ac:dyDescent="0.15">
      <c r="S133" s="357"/>
    </row>
    <row r="134" spans="19:19" x14ac:dyDescent="0.15">
      <c r="S134" s="357"/>
    </row>
    <row r="135" spans="19:19" x14ac:dyDescent="0.15">
      <c r="S135" s="357"/>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10656-DABB-8E40-BB34-5AB03677608F}">
  <sheetPr codeName="Sheet1"/>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COF</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2026-05-13T03:45:47Z</dcterms:created>
  <dcterms:modified xsi:type="dcterms:W3CDTF">2026-05-13T03:46:45Z</dcterms:modified>
</cp:coreProperties>
</file>